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yacine/monte-carlo-valuation/excel/"/>
    </mc:Choice>
  </mc:AlternateContent>
  <xr:revisionPtr revIDLastSave="0" documentId="13_ncr:1_{3458047B-CA29-2C46-86B5-A254614DCC5E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Cover" sheetId="1" r:id="rId1"/>
    <sheet name="Independent" sheetId="2" r:id="rId2"/>
    <sheet name="Justified" sheetId="3" r:id="rId3"/>
    <sheet name="Correlated" sheetId="4" r:id="rId4"/>
    <sheet name="Validation" sheetId="5" r:id="rId5"/>
  </sheets>
  <definedNames>
    <definedName name="_xlnm.Print_Area" localSheetId="3">Correlated!$A$1:$J$95</definedName>
    <definedName name="_xlnm.Print_Area" localSheetId="0">Cover!$A$1:$G$38</definedName>
    <definedName name="_xlnm.Print_Area" localSheetId="1">Independent!$A$1:$J$68</definedName>
    <definedName name="_xlnm.Print_Area" localSheetId="2">Justified!$A$1:$J$78</definedName>
    <definedName name="_xlnm.Print_Area" localSheetId="4">Validation!$A$1:$I$14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" i="4" l="1"/>
  <c r="C61" i="4"/>
  <c r="C62" i="4" s="1"/>
  <c r="E12" i="5" s="1"/>
  <c r="C60" i="4"/>
  <c r="C59" i="4"/>
  <c r="C58" i="4"/>
  <c r="F15" i="1" s="1"/>
  <c r="C57" i="4"/>
  <c r="E15" i="1" s="1"/>
  <c r="C56" i="4"/>
  <c r="D15" i="1" s="1"/>
  <c r="C55" i="4"/>
  <c r="C63" i="4" s="1"/>
  <c r="E11" i="5" s="1"/>
  <c r="C54" i="4"/>
  <c r="D11" i="5" s="1"/>
  <c r="H42" i="4"/>
  <c r="G42" i="4"/>
  <c r="F42" i="4"/>
  <c r="E42" i="4"/>
  <c r="D42" i="4"/>
  <c r="C42" i="4"/>
  <c r="H40" i="4"/>
  <c r="G40" i="4"/>
  <c r="F40" i="4"/>
  <c r="E40" i="4"/>
  <c r="D40" i="4"/>
  <c r="C37" i="4"/>
  <c r="C41" i="4" s="1"/>
  <c r="C43" i="4" s="1"/>
  <c r="D32" i="4"/>
  <c r="C32" i="4"/>
  <c r="E32" i="4" s="1"/>
  <c r="G32" i="4" s="1"/>
  <c r="C29" i="4"/>
  <c r="C28" i="4"/>
  <c r="C24" i="4"/>
  <c r="C23" i="4"/>
  <c r="J21" i="4"/>
  <c r="E20" i="4"/>
  <c r="D20" i="4"/>
  <c r="D18" i="4"/>
  <c r="R5" i="4"/>
  <c r="Q7" i="4" s="1"/>
  <c r="C56" i="3"/>
  <c r="G14" i="1" s="1"/>
  <c r="C55" i="3"/>
  <c r="C54" i="3"/>
  <c r="C53" i="3"/>
  <c r="F14" i="1" s="1"/>
  <c r="C52" i="3"/>
  <c r="E14" i="1" s="1"/>
  <c r="C51" i="3"/>
  <c r="D14" i="1" s="1"/>
  <c r="C50" i="3"/>
  <c r="C58" i="3" s="1"/>
  <c r="E9" i="5" s="1"/>
  <c r="C49" i="3"/>
  <c r="D9" i="5" s="1"/>
  <c r="H37" i="3"/>
  <c r="G37" i="3"/>
  <c r="F37" i="3"/>
  <c r="E37" i="3"/>
  <c r="D37" i="3"/>
  <c r="C37" i="3"/>
  <c r="H35" i="3"/>
  <c r="G35" i="3"/>
  <c r="F35" i="3"/>
  <c r="E35" i="3"/>
  <c r="D35" i="3"/>
  <c r="C32" i="3"/>
  <c r="C36" i="3" s="1"/>
  <c r="C28" i="3"/>
  <c r="E19" i="3" s="1"/>
  <c r="C27" i="3"/>
  <c r="D19" i="3" s="1"/>
  <c r="I19" i="3" s="1"/>
  <c r="J19" i="3" s="1"/>
  <c r="C23" i="3"/>
  <c r="C22" i="3"/>
  <c r="I17" i="3" s="1"/>
  <c r="J17" i="3" s="1"/>
  <c r="J20" i="3"/>
  <c r="I18" i="3"/>
  <c r="J18" i="3" s="1"/>
  <c r="D17" i="3"/>
  <c r="R5" i="3"/>
  <c r="Q7" i="3" s="1"/>
  <c r="V7" i="3" s="1"/>
  <c r="C46" i="2"/>
  <c r="D8" i="5" s="1"/>
  <c r="C45" i="2"/>
  <c r="C44" i="2"/>
  <c r="C43" i="2"/>
  <c r="F13" i="1" s="1"/>
  <c r="C42" i="2"/>
  <c r="E13" i="1" s="1"/>
  <c r="C41" i="2"/>
  <c r="D13" i="1" s="1"/>
  <c r="C40" i="2"/>
  <c r="C48" i="2" s="1"/>
  <c r="E7" i="5" s="1"/>
  <c r="C39" i="2"/>
  <c r="D7" i="5" s="1"/>
  <c r="H27" i="2"/>
  <c r="G27" i="2"/>
  <c r="F27" i="2"/>
  <c r="E27" i="2"/>
  <c r="D27" i="2"/>
  <c r="C27" i="2"/>
  <c r="C26" i="2"/>
  <c r="C28" i="2" s="1"/>
  <c r="H25" i="2"/>
  <c r="G25" i="2"/>
  <c r="F25" i="2"/>
  <c r="E25" i="2"/>
  <c r="D25" i="2"/>
  <c r="C22" i="2"/>
  <c r="I18" i="2"/>
  <c r="J18" i="2" s="1"/>
  <c r="I17" i="2"/>
  <c r="J17" i="2" s="1"/>
  <c r="I16" i="2"/>
  <c r="J16" i="2" s="1"/>
  <c r="R5" i="2"/>
  <c r="Q7" i="2" s="1"/>
  <c r="B22" i="1"/>
  <c r="B21" i="1"/>
  <c r="B20" i="1"/>
  <c r="B19" i="1"/>
  <c r="C15" i="1"/>
  <c r="B15" i="1"/>
  <c r="C14" i="1"/>
  <c r="B14" i="1"/>
  <c r="B13" i="1"/>
  <c r="I20" i="4" l="1"/>
  <c r="J20" i="4" s="1"/>
  <c r="C44" i="3"/>
  <c r="D44" i="3" s="1"/>
  <c r="C34" i="2"/>
  <c r="D34" i="2" s="1"/>
  <c r="C45" i="3"/>
  <c r="D45" i="3" s="1"/>
  <c r="H9" i="5"/>
  <c r="I9" i="5" s="1"/>
  <c r="G15" i="1"/>
  <c r="E23" i="2"/>
  <c r="D23" i="2"/>
  <c r="G33" i="3"/>
  <c r="V7" i="2"/>
  <c r="R7" i="2"/>
  <c r="T7" i="2" s="1"/>
  <c r="V7" i="4"/>
  <c r="R7" i="4"/>
  <c r="T7" i="4" s="1"/>
  <c r="C38" i="3"/>
  <c r="D34" i="3"/>
  <c r="E24" i="2"/>
  <c r="H23" i="2"/>
  <c r="H24" i="2"/>
  <c r="D33" i="3"/>
  <c r="I18" i="4"/>
  <c r="H34" i="3"/>
  <c r="F34" i="3"/>
  <c r="E34" i="3"/>
  <c r="H33" i="3"/>
  <c r="E33" i="3"/>
  <c r="G34" i="3"/>
  <c r="H7" i="5"/>
  <c r="I7" i="5" s="1"/>
  <c r="C13" i="1"/>
  <c r="C35" i="2"/>
  <c r="D35" i="2" s="1"/>
  <c r="C47" i="2"/>
  <c r="E8" i="5" s="1"/>
  <c r="H8" i="5" s="1"/>
  <c r="I8" i="5" s="1"/>
  <c r="F33" i="3"/>
  <c r="D10" i="5"/>
  <c r="C57" i="3"/>
  <c r="E10" i="5" s="1"/>
  <c r="F23" i="2"/>
  <c r="D24" i="2"/>
  <c r="R7" i="3"/>
  <c r="C50" i="4"/>
  <c r="D50" i="4" s="1"/>
  <c r="C49" i="4"/>
  <c r="D49" i="4" s="1"/>
  <c r="G23" i="2"/>
  <c r="F24" i="2"/>
  <c r="G13" i="1"/>
  <c r="G24" i="2"/>
  <c r="F32" i="4"/>
  <c r="H32" i="4" s="1"/>
  <c r="I19" i="4" s="1"/>
  <c r="H11" i="5"/>
  <c r="I11" i="5" s="1"/>
  <c r="D12" i="5"/>
  <c r="H12" i="5" s="1"/>
  <c r="I12" i="5" s="1"/>
  <c r="S7" i="2" l="1"/>
  <c r="E26" i="2"/>
  <c r="E28" i="2" s="1"/>
  <c r="F36" i="3"/>
  <c r="F38" i="3" s="1"/>
  <c r="H36" i="3"/>
  <c r="H38" i="3" s="1"/>
  <c r="D26" i="2"/>
  <c r="D28" i="2" s="1"/>
  <c r="G36" i="3"/>
  <c r="G38" i="3" s="1"/>
  <c r="J19" i="4"/>
  <c r="O6" i="4"/>
  <c r="Q8" i="3"/>
  <c r="N6" i="4"/>
  <c r="J18" i="4"/>
  <c r="S7" i="4"/>
  <c r="F26" i="2"/>
  <c r="F28" i="2" s="1"/>
  <c r="T7" i="3"/>
  <c r="U7" i="3" s="1"/>
  <c r="S7" i="3"/>
  <c r="D36" i="3"/>
  <c r="Q8" i="2"/>
  <c r="U7" i="2"/>
  <c r="Q8" i="4"/>
  <c r="U7" i="4"/>
  <c r="G26" i="2"/>
  <c r="G28" i="2" s="1"/>
  <c r="H10" i="5"/>
  <c r="I10" i="5" s="1"/>
  <c r="E36" i="3"/>
  <c r="E38" i="3" s="1"/>
  <c r="H26" i="2"/>
  <c r="H28" i="2" s="1"/>
  <c r="R8" i="3" l="1"/>
  <c r="T8" i="3" s="1"/>
  <c r="V8" i="3"/>
  <c r="D38" i="3"/>
  <c r="C40" i="3" s="1"/>
  <c r="M6" i="3" s="1"/>
  <c r="C41" i="3"/>
  <c r="V8" i="4"/>
  <c r="R8" i="4"/>
  <c r="C31" i="2"/>
  <c r="H39" i="4"/>
  <c r="G39" i="4"/>
  <c r="E39" i="4"/>
  <c r="H38" i="4"/>
  <c r="D39" i="4"/>
  <c r="G38" i="4"/>
  <c r="F38" i="4"/>
  <c r="E38" i="4"/>
  <c r="D38" i="4"/>
  <c r="F39" i="4"/>
  <c r="C30" i="2"/>
  <c r="M6" i="2" s="1"/>
  <c r="R8" i="2"/>
  <c r="S8" i="2" s="1"/>
  <c r="V8" i="2"/>
  <c r="D41" i="4" l="1"/>
  <c r="D43" i="4"/>
  <c r="F41" i="4"/>
  <c r="F43" i="4" s="1"/>
  <c r="Q9" i="4"/>
  <c r="G41" i="4"/>
  <c r="G43" i="4" s="1"/>
  <c r="S8" i="4"/>
  <c r="U8" i="3"/>
  <c r="Q9" i="3"/>
  <c r="E41" i="4"/>
  <c r="E43" i="4" s="1"/>
  <c r="T8" i="4"/>
  <c r="U8" i="4" s="1"/>
  <c r="S8" i="3"/>
  <c r="Q9" i="2"/>
  <c r="T8" i="2"/>
  <c r="U8" i="2" s="1"/>
  <c r="H41" i="4"/>
  <c r="H43" i="4" s="1"/>
  <c r="V9" i="3" l="1"/>
  <c r="R9" i="3"/>
  <c r="T9" i="3" s="1"/>
  <c r="C46" i="4"/>
  <c r="R9" i="2"/>
  <c r="S9" i="2" s="1"/>
  <c r="V9" i="2"/>
  <c r="R9" i="4"/>
  <c r="T9" i="4" s="1"/>
  <c r="V9" i="4"/>
  <c r="C45" i="4"/>
  <c r="M6" i="4" s="1"/>
  <c r="Q10" i="2" l="1"/>
  <c r="Q10" i="4"/>
  <c r="U9" i="4"/>
  <c r="S9" i="4"/>
  <c r="T9" i="2"/>
  <c r="U9" i="2" s="1"/>
  <c r="Q10" i="3"/>
  <c r="U9" i="3"/>
  <c r="S9" i="3"/>
  <c r="V10" i="2" l="1"/>
  <c r="R10" i="2"/>
  <c r="S10" i="2" s="1"/>
  <c r="R10" i="4"/>
  <c r="T10" i="4" s="1"/>
  <c r="V10" i="4"/>
  <c r="V10" i="3"/>
  <c r="R10" i="3"/>
  <c r="Q11" i="3" l="1"/>
  <c r="U10" i="4"/>
  <c r="Q11" i="4"/>
  <c r="Q11" i="2"/>
  <c r="T10" i="3"/>
  <c r="U10" i="3" s="1"/>
  <c r="T10" i="2"/>
  <c r="U10" i="2" s="1"/>
  <c r="S10" i="3"/>
  <c r="S10" i="4"/>
  <c r="V11" i="4" l="1"/>
  <c r="R11" i="4"/>
  <c r="T11" i="4" s="1"/>
  <c r="V11" i="2"/>
  <c r="R11" i="2"/>
  <c r="T11" i="2"/>
  <c r="V11" i="3"/>
  <c r="R11" i="3"/>
  <c r="Q12" i="3" l="1"/>
  <c r="T11" i="3"/>
  <c r="U11" i="3" s="1"/>
  <c r="Q12" i="2"/>
  <c r="U11" i="2"/>
  <c r="S11" i="2"/>
  <c r="Q12" i="4"/>
  <c r="U11" i="4"/>
  <c r="S11" i="4"/>
  <c r="S11" i="3"/>
  <c r="V12" i="4" l="1"/>
  <c r="R12" i="4"/>
  <c r="R12" i="2"/>
  <c r="T12" i="2" s="1"/>
  <c r="V12" i="2"/>
  <c r="R12" i="3"/>
  <c r="V12" i="3"/>
  <c r="T12" i="3"/>
  <c r="Q13" i="2" l="1"/>
  <c r="U12" i="2"/>
  <c r="S12" i="2"/>
  <c r="Q13" i="4"/>
  <c r="U12" i="3"/>
  <c r="Q13" i="3"/>
  <c r="T12" i="4"/>
  <c r="U12" i="4" s="1"/>
  <c r="S12" i="4"/>
  <c r="S12" i="3"/>
  <c r="V13" i="3" l="1"/>
  <c r="R13" i="3"/>
  <c r="R13" i="4"/>
  <c r="S13" i="4" s="1"/>
  <c r="V13" i="4"/>
  <c r="T13" i="4"/>
  <c r="R13" i="2"/>
  <c r="V13" i="2"/>
  <c r="T13" i="2"/>
  <c r="Q14" i="4" l="1"/>
  <c r="U13" i="4"/>
  <c r="Q14" i="3"/>
  <c r="S13" i="3"/>
  <c r="Q14" i="2"/>
  <c r="U13" i="2"/>
  <c r="S13" i="2"/>
  <c r="T13" i="3"/>
  <c r="U13" i="3" s="1"/>
  <c r="V14" i="2" l="1"/>
  <c r="R14" i="2"/>
  <c r="V14" i="3"/>
  <c r="R14" i="3"/>
  <c r="T14" i="3" s="1"/>
  <c r="R14" i="4"/>
  <c r="V14" i="4"/>
  <c r="S14" i="4"/>
  <c r="S14" i="3" l="1"/>
  <c r="Q15" i="2"/>
  <c r="Q15" i="4"/>
  <c r="S14" i="2"/>
  <c r="Q15" i="3"/>
  <c r="U14" i="3"/>
  <c r="T14" i="4"/>
  <c r="U14" i="4" s="1"/>
  <c r="T14" i="2"/>
  <c r="U14" i="2" s="1"/>
  <c r="V15" i="3" l="1"/>
  <c r="R15" i="3"/>
  <c r="V15" i="4"/>
  <c r="R15" i="4"/>
  <c r="S15" i="4" s="1"/>
  <c r="V15" i="2"/>
  <c r="R15" i="2"/>
  <c r="T15" i="2"/>
  <c r="Q16" i="3" l="1"/>
  <c r="Q16" i="4"/>
  <c r="T15" i="4"/>
  <c r="U15" i="4" s="1"/>
  <c r="U15" i="2"/>
  <c r="Q16" i="2"/>
  <c r="S15" i="2"/>
  <c r="T15" i="3"/>
  <c r="U15" i="3" s="1"/>
  <c r="S15" i="3"/>
  <c r="V16" i="4" l="1"/>
  <c r="R16" i="4"/>
  <c r="T16" i="4" s="1"/>
  <c r="V16" i="2"/>
  <c r="R16" i="2"/>
  <c r="S16" i="2" s="1"/>
  <c r="T16" i="2"/>
  <c r="R16" i="3"/>
  <c r="V16" i="3"/>
  <c r="T16" i="3"/>
  <c r="U16" i="3" l="1"/>
  <c r="Q17" i="3"/>
  <c r="U16" i="2"/>
  <c r="Q17" i="2"/>
  <c r="U16" i="4"/>
  <c r="Q17" i="4"/>
  <c r="S16" i="4"/>
  <c r="S16" i="3"/>
  <c r="R17" i="4" l="1"/>
  <c r="V17" i="4"/>
  <c r="T17" i="4"/>
  <c r="V17" i="2"/>
  <c r="R17" i="2"/>
  <c r="R17" i="3"/>
  <c r="V17" i="3"/>
  <c r="S17" i="3"/>
  <c r="Q18" i="2" l="1"/>
  <c r="S17" i="2"/>
  <c r="T17" i="2"/>
  <c r="U17" i="2" s="1"/>
  <c r="Q18" i="4"/>
  <c r="U17" i="4"/>
  <c r="Q18" i="3"/>
  <c r="T17" i="3"/>
  <c r="U17" i="3" s="1"/>
  <c r="S17" i="4"/>
  <c r="R18" i="3" l="1"/>
  <c r="V18" i="3"/>
  <c r="S18" i="3"/>
  <c r="R18" i="4"/>
  <c r="V18" i="4"/>
  <c r="T18" i="4"/>
  <c r="S18" i="4"/>
  <c r="S18" i="2"/>
  <c r="R18" i="2"/>
  <c r="Q19" i="2" l="1"/>
  <c r="Q19" i="4"/>
  <c r="U18" i="4"/>
  <c r="Q19" i="3"/>
  <c r="T18" i="2"/>
  <c r="T18" i="3"/>
  <c r="U18" i="3" s="1"/>
  <c r="U18" i="2" l="1"/>
  <c r="V18" i="2"/>
  <c r="R19" i="3"/>
  <c r="V19" i="3"/>
  <c r="T19" i="3"/>
  <c r="S19" i="3"/>
  <c r="R19" i="4"/>
  <c r="V19" i="4"/>
  <c r="T19" i="4"/>
  <c r="S19" i="4"/>
  <c r="R19" i="2"/>
  <c r="T19" i="2"/>
  <c r="V19" i="2" s="1"/>
  <c r="Q20" i="4" l="1"/>
  <c r="U19" i="4"/>
  <c r="Q20" i="2"/>
  <c r="U19" i="2"/>
  <c r="S19" i="2"/>
  <c r="Q20" i="3"/>
  <c r="U19" i="3"/>
  <c r="R20" i="3" l="1"/>
  <c r="R20" i="2"/>
  <c r="V20" i="4"/>
  <c r="R20" i="4"/>
  <c r="U20" i="2" l="1"/>
  <c r="Q21" i="2"/>
  <c r="S20" i="2"/>
  <c r="T20" i="2"/>
  <c r="V20" i="2" s="1"/>
  <c r="Q21" i="4"/>
  <c r="S20" i="4"/>
  <c r="U20" i="3"/>
  <c r="Q21" i="3"/>
  <c r="T20" i="3"/>
  <c r="V20" i="3" s="1"/>
  <c r="T20" i="4"/>
  <c r="U20" i="4" s="1"/>
  <c r="S20" i="3"/>
  <c r="R21" i="4" l="1"/>
  <c r="T21" i="4" s="1"/>
  <c r="V21" i="4" s="1"/>
  <c r="R21" i="2"/>
  <c r="T21" i="2"/>
  <c r="V21" i="2" s="1"/>
  <c r="S21" i="2"/>
  <c r="R21" i="3"/>
  <c r="T21" i="3"/>
  <c r="V21" i="3" s="1"/>
  <c r="Q22" i="2" l="1"/>
  <c r="U21" i="2"/>
  <c r="U21" i="4"/>
  <c r="Q22" i="4"/>
  <c r="S21" i="4"/>
  <c r="U21" i="3"/>
  <c r="Q22" i="3"/>
  <c r="S21" i="3"/>
  <c r="R22" i="4" l="1"/>
  <c r="T22" i="4"/>
  <c r="V22" i="4" s="1"/>
  <c r="R22" i="3"/>
  <c r="R22" i="2"/>
  <c r="T22" i="2"/>
  <c r="V22" i="2" s="1"/>
  <c r="U22" i="3" l="1"/>
  <c r="Q23" i="3"/>
  <c r="S22" i="3"/>
  <c r="T22" i="3"/>
  <c r="V22" i="3" s="1"/>
  <c r="Q23" i="4"/>
  <c r="U22" i="4"/>
  <c r="Q23" i="2"/>
  <c r="U22" i="2"/>
  <c r="S22" i="2"/>
  <c r="S22" i="4"/>
  <c r="R23" i="3" l="1"/>
  <c r="R23" i="2"/>
  <c r="R23" i="4"/>
  <c r="U23" i="2" l="1"/>
  <c r="Q24" i="2"/>
  <c r="Q24" i="4"/>
  <c r="U23" i="4"/>
  <c r="T23" i="2"/>
  <c r="V23" i="2" s="1"/>
  <c r="Q24" i="3"/>
  <c r="U23" i="3"/>
  <c r="S23" i="2"/>
  <c r="S23" i="3"/>
  <c r="S23" i="4"/>
  <c r="T23" i="4"/>
  <c r="V23" i="4" s="1"/>
  <c r="T23" i="3"/>
  <c r="V23" i="3" s="1"/>
  <c r="R24" i="3" l="1"/>
  <c r="T24" i="3" s="1"/>
  <c r="V24" i="3" s="1"/>
  <c r="R24" i="4"/>
  <c r="R24" i="2"/>
  <c r="T24" i="2"/>
  <c r="V24" i="2" s="1"/>
  <c r="U24" i="4" l="1"/>
  <c r="Q25" i="4"/>
  <c r="U24" i="2"/>
  <c r="Q25" i="2"/>
  <c r="S24" i="4"/>
  <c r="T24" i="4"/>
  <c r="V24" i="4" s="1"/>
  <c r="Q25" i="3"/>
  <c r="U24" i="3"/>
  <c r="S24" i="3"/>
  <c r="S24" i="2"/>
  <c r="R25" i="3" l="1"/>
  <c r="R25" i="4"/>
  <c r="R25" i="2"/>
  <c r="T25" i="2"/>
  <c r="V25" i="2" s="1"/>
  <c r="S25" i="2"/>
  <c r="Q26" i="4" l="1"/>
  <c r="U25" i="4"/>
  <c r="T25" i="4"/>
  <c r="V25" i="4" s="1"/>
  <c r="S25" i="4"/>
  <c r="Q26" i="3"/>
  <c r="U25" i="3"/>
  <c r="T25" i="3"/>
  <c r="V25" i="3" s="1"/>
  <c r="U25" i="2"/>
  <c r="Q26" i="2"/>
  <c r="S25" i="3"/>
  <c r="R26" i="3" l="1"/>
  <c r="T26" i="3"/>
  <c r="V26" i="3" s="1"/>
  <c r="R26" i="2"/>
  <c r="T26" i="2" s="1"/>
  <c r="V26" i="2" s="1"/>
  <c r="R26" i="4"/>
  <c r="U26" i="2" l="1"/>
  <c r="Q27" i="2"/>
  <c r="S26" i="2"/>
  <c r="U26" i="4"/>
  <c r="Q27" i="4"/>
  <c r="S26" i="4"/>
  <c r="U26" i="3"/>
  <c r="Q27" i="3"/>
  <c r="T26" i="4"/>
  <c r="V26" i="4" s="1"/>
  <c r="S26" i="3"/>
  <c r="R27" i="3" l="1"/>
  <c r="R27" i="4"/>
  <c r="T27" i="4"/>
  <c r="V27" i="4" s="1"/>
  <c r="R27" i="2"/>
  <c r="T27" i="2"/>
  <c r="V27" i="2" s="1"/>
  <c r="S27" i="2"/>
  <c r="Q28" i="4" l="1"/>
  <c r="U27" i="4"/>
  <c r="S27" i="4"/>
  <c r="Q28" i="3"/>
  <c r="U27" i="3"/>
  <c r="S27" i="3"/>
  <c r="T27" i="3"/>
  <c r="V27" i="3" s="1"/>
  <c r="U27" i="2"/>
  <c r="Q28" i="2"/>
  <c r="R28" i="3" l="1"/>
  <c r="R28" i="2"/>
  <c r="S28" i="2"/>
  <c r="R28" i="4"/>
  <c r="Q29" i="2" l="1"/>
  <c r="U28" i="2"/>
  <c r="T28" i="2"/>
  <c r="V28" i="2" s="1"/>
  <c r="Q29" i="4"/>
  <c r="U28" i="4"/>
  <c r="S28" i="4"/>
  <c r="Q29" i="3"/>
  <c r="U28" i="3"/>
  <c r="S28" i="3"/>
  <c r="T28" i="4"/>
  <c r="V28" i="4" s="1"/>
  <c r="T28" i="3"/>
  <c r="V28" i="3" s="1"/>
  <c r="R29" i="3" l="1"/>
  <c r="T29" i="3" s="1"/>
  <c r="V29" i="3" s="1"/>
  <c r="R29" i="4"/>
  <c r="T29" i="4" s="1"/>
  <c r="V29" i="4" s="1"/>
  <c r="S29" i="4"/>
  <c r="R29" i="2"/>
  <c r="Q30" i="2" l="1"/>
  <c r="U29" i="2"/>
  <c r="U29" i="4"/>
  <c r="Q30" i="4"/>
  <c r="Q30" i="3"/>
  <c r="U29" i="3"/>
  <c r="S29" i="3"/>
  <c r="S29" i="2"/>
  <c r="T29" i="2"/>
  <c r="V29" i="2" s="1"/>
  <c r="R30" i="4" l="1"/>
  <c r="R30" i="3"/>
  <c r="R30" i="2"/>
  <c r="T30" i="2"/>
  <c r="V30" i="2" s="1"/>
  <c r="U30" i="3" l="1"/>
  <c r="Q31" i="3"/>
  <c r="T30" i="3"/>
  <c r="V30" i="3" s="1"/>
  <c r="S30" i="3"/>
  <c r="Q31" i="4"/>
  <c r="U30" i="4"/>
  <c r="U30" i="2"/>
  <c r="Q31" i="2"/>
  <c r="S30" i="4"/>
  <c r="T30" i="4"/>
  <c r="V30" i="4" s="1"/>
  <c r="S30" i="2"/>
  <c r="R31" i="2" l="1"/>
  <c r="T31" i="2"/>
  <c r="V31" i="2" s="1"/>
  <c r="S31" i="2"/>
  <c r="R31" i="4"/>
  <c r="R31" i="3"/>
  <c r="T31" i="3"/>
  <c r="V31" i="3" s="1"/>
  <c r="Q32" i="4" l="1"/>
  <c r="U31" i="4"/>
  <c r="S31" i="4"/>
  <c r="T31" i="4"/>
  <c r="V31" i="4" s="1"/>
  <c r="U31" i="3"/>
  <c r="Q32" i="3"/>
  <c r="S31" i="3"/>
  <c r="U31" i="2"/>
  <c r="Q32" i="2"/>
  <c r="R32" i="3" l="1"/>
  <c r="R32" i="2"/>
  <c r="R32" i="4"/>
  <c r="S32" i="4"/>
  <c r="Q33" i="2" l="1"/>
  <c r="U32" i="2"/>
  <c r="S32" i="2"/>
  <c r="T32" i="2"/>
  <c r="V32" i="2" s="1"/>
  <c r="Q33" i="3"/>
  <c r="U32" i="3"/>
  <c r="S32" i="3"/>
  <c r="T32" i="3"/>
  <c r="V32" i="3" s="1"/>
  <c r="U32" i="4"/>
  <c r="Q33" i="4"/>
  <c r="T32" i="4"/>
  <c r="V32" i="4" s="1"/>
  <c r="R33" i="3" l="1"/>
  <c r="R33" i="4"/>
  <c r="R33" i="2"/>
  <c r="T33" i="2"/>
  <c r="V33" i="2" s="1"/>
  <c r="S33" i="2"/>
  <c r="Q34" i="4" l="1"/>
  <c r="U33" i="4"/>
  <c r="S33" i="4"/>
  <c r="T33" i="4"/>
  <c r="V33" i="4" s="1"/>
  <c r="U33" i="3"/>
  <c r="Q34" i="3"/>
  <c r="T33" i="3"/>
  <c r="V33" i="3" s="1"/>
  <c r="Q34" i="2"/>
  <c r="U33" i="2"/>
  <c r="S33" i="3"/>
  <c r="R34" i="2" l="1"/>
  <c r="S34" i="2" s="1"/>
  <c r="R34" i="3"/>
  <c r="T34" i="3" s="1"/>
  <c r="V34" i="3" s="1"/>
  <c r="R34" i="4"/>
  <c r="T34" i="4"/>
  <c r="V34" i="4" s="1"/>
  <c r="S34" i="4"/>
  <c r="S34" i="3" l="1"/>
  <c r="T34" i="2"/>
  <c r="V34" i="2" s="1"/>
  <c r="U34" i="3"/>
  <c r="Q35" i="3"/>
  <c r="U34" i="2"/>
  <c r="Q35" i="2"/>
  <c r="U34" i="4"/>
  <c r="Q35" i="4"/>
  <c r="R35" i="4" l="1"/>
  <c r="T35" i="4"/>
  <c r="V35" i="4" s="1"/>
  <c r="R35" i="2"/>
  <c r="R35" i="3"/>
  <c r="T35" i="3"/>
  <c r="V35" i="3" s="1"/>
  <c r="Q36" i="2" l="1"/>
  <c r="U35" i="2"/>
  <c r="S35" i="2"/>
  <c r="T35" i="2"/>
  <c r="V35" i="2" s="1"/>
  <c r="Q36" i="4"/>
  <c r="U35" i="4"/>
  <c r="Q36" i="3"/>
  <c r="U35" i="3"/>
  <c r="S35" i="3"/>
  <c r="S35" i="4"/>
  <c r="R36" i="3" l="1"/>
  <c r="S36" i="3" s="1"/>
  <c r="R36" i="4"/>
  <c r="T36" i="4" s="1"/>
  <c r="V36" i="4" s="1"/>
  <c r="S36" i="4"/>
  <c r="R36" i="2"/>
  <c r="T36" i="2"/>
  <c r="V36" i="2" s="1"/>
  <c r="U36" i="4" l="1"/>
  <c r="Q37" i="4"/>
  <c r="U36" i="3"/>
  <c r="Q37" i="3"/>
  <c r="Q37" i="2"/>
  <c r="U36" i="2"/>
  <c r="S36" i="2"/>
  <c r="T36" i="3"/>
  <c r="V36" i="3" s="1"/>
  <c r="R37" i="3" l="1"/>
  <c r="T37" i="3"/>
  <c r="V37" i="3" s="1"/>
  <c r="R37" i="2"/>
  <c r="T37" i="2"/>
  <c r="V37" i="2" s="1"/>
  <c r="S37" i="2"/>
  <c r="R37" i="4"/>
  <c r="S37" i="4" s="1"/>
  <c r="U37" i="2" l="1"/>
  <c r="Q38" i="2"/>
  <c r="T37" i="4"/>
  <c r="V37" i="4" s="1"/>
  <c r="U37" i="4"/>
  <c r="Q38" i="4"/>
  <c r="Q38" i="3"/>
  <c r="U37" i="3"/>
  <c r="S37" i="3"/>
  <c r="R38" i="3" l="1"/>
  <c r="U38" i="3" s="1"/>
  <c r="R38" i="4"/>
  <c r="U38" i="4" s="1"/>
  <c r="T38" i="4"/>
  <c r="T39" i="4" s="1"/>
  <c r="R38" i="2"/>
  <c r="U38" i="2" s="1"/>
  <c r="V38" i="4" l="1"/>
  <c r="S38" i="4"/>
  <c r="T38" i="3"/>
  <c r="S38" i="3"/>
  <c r="S38" i="2"/>
  <c r="T38" i="2"/>
  <c r="T39" i="3" l="1"/>
  <c r="V38" i="3"/>
  <c r="T39" i="2"/>
  <c r="V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R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Range / 30, rounded up to €10k: 32 bins always cover every iteration.</t>
        </r>
      </text>
    </comment>
    <comment ref="C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Set to 0 to see the deterministic base case.</t>
        </r>
      </text>
    </comment>
    <comment ref="M6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Data Table result formula. Each row re-evaluates the model with fresh RAND() draws (column input cell: $Z$1, intentionally blank).</t>
        </r>
      </text>
    </comment>
    <comment ref="C1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Contractual amount.</t>
        </r>
      </text>
    </comment>
    <comment ref="T39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Must equal 100%: every iteration falls in a bin.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R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Range / 30, rounded up to €10k: 32 bins always cover every iteration.</t>
        </r>
      </text>
    </comment>
    <comment ref="C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Set to 0 to see the deterministic base case.</t>
        </r>
      </text>
    </comment>
    <comment ref="M6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Data Table result formula. Each row re-evaluates the model with fresh RAND() draws (column input cell: $Z$1, intentionally blank).</t>
        </r>
      </text>
    </comment>
    <comment ref="C1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Contractual amount.</t>
        </r>
      </text>
    </comment>
    <comment ref="C13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Units sold are capped by capacity: units sold = MIN(demand, capacity).</t>
        </r>
      </text>
    </comment>
    <comment ref="F17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Three-point expert estimate: downside-skewed price risk.</t>
        </r>
      </text>
    </comment>
    <comment ref="D18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Market study: mean and standard deviation.</t>
        </r>
      </text>
    </comment>
    <comment ref="T39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Must equal 100%: every iteration falls in a bin.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R5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Range / 30, rounded up to €10k: 32 bins always cover every iteration.</t>
        </r>
      </text>
    </comment>
    <comment ref="C6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Set to 0 to see the deterministic base case.</t>
        </r>
      </text>
    </comment>
    <comment ref="M6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Data Table result formula. Each row re-evaluates the model with fresh RAND() draws (column input cell: $Z$1, intentionally blank).</t>
        </r>
      </text>
    </comment>
    <comment ref="C1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Contractual amount.</t>
        </r>
      </text>
    </comment>
    <comment ref="C13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Units sold are capped by capacity: units sold = MIN(demand, capacity).</t>
        </r>
      </text>
    </comment>
    <comment ref="C1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Gaussian copula. Tested at −0.5, 0 and +0.5 (see section 6).</t>
        </r>
      </text>
    </comment>
    <comment ref="F18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Three-point expert estimate: downside-skewed price risk.</t>
        </r>
      </text>
    </comment>
    <comment ref="D19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Market study: mean and standard deviation.</t>
        </r>
      </text>
    </comment>
    <comment ref="T39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Must equal 100%: every iteration falls in a bin.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F7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Source: results/validation_*.csv in the GitHub repository (Python, 1,000,000 iterations, seed 42).</t>
        </r>
      </text>
    </comment>
    <comment ref="F8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Source: results/validation_*.csv in the GitHub repository (Python, 1,000,000 iterations, seed 42).</t>
        </r>
      </text>
    </comment>
    <comment ref="F9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Source: results/validation_*.csv in the GitHub repository (Python, 1,000,000 iterations, seed 42).</t>
        </r>
      </text>
    </comment>
    <comment ref="F10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Source: results/validation_*.csv in the GitHub repository (Python, 1,000,000 iterations, seed 42).</t>
        </r>
      </text>
    </comment>
    <comment ref="F1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Source: results/validation_*.csv in the GitHub repository (Python, 1,000,000 iterations, seed 42).</t>
        </r>
      </text>
    </comment>
    <comment ref="F12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Source: results/validation_*.csv in the GitHub repository (Python, 1,000,000 iterations, seed 42).</t>
        </r>
      </text>
    </comment>
  </commentList>
</comments>
</file>

<file path=xl/sharedStrings.xml><?xml version="1.0" encoding="utf-8"?>
<sst xmlns="http://schemas.openxmlformats.org/spreadsheetml/2006/main" count="388" uniqueCount="169">
  <si>
    <t>Monte Carlo Simulation of Project NPV</t>
  </si>
  <si>
    <t>Excel reference model, validated against an independent Python implementation</t>
  </si>
  <si>
    <t>Project</t>
  </si>
  <si>
    <t>5-year investment project: €800,000 invested in Year 0, operations from Year 1 to Year 5.</t>
  </si>
  <si>
    <t>No taxes, no working capital, no salvage value. Discount rate: 10%.</t>
  </si>
  <si>
    <t>Annual FCF = Volume × (Price − Variable cost) − Fixed costs. Base-case NPV = €33,973.09.</t>
  </si>
  <si>
    <t>One draw applies to all five years: the model captures uncertainty about the level of each input, not year-to-year noise.</t>
  </si>
  <si>
    <t>Key results (live, 5,000 iterations per model)</t>
  </si>
  <si>
    <t>Model</t>
  </si>
  <si>
    <t>Mean NPV</t>
  </si>
  <si>
    <t>P5</t>
  </si>
  <si>
    <t>P50</t>
  </si>
  <si>
    <t>P95</t>
  </si>
  <si>
    <t>P(NPV &lt; 0)</t>
  </si>
  <si>
    <t>With justified distributions, the mean NPV turns negative: the project does not cover its cost of capital in expectation.</t>
  </si>
  <si>
    <t>Sheet guide</t>
  </si>
  <si>
    <t>Model 1: three independent Normal inputs.</t>
  </si>
  <si>
    <t>Model 2: PERT price, demand capped by capacity, variable cost fitted on historical data.</t>
  </si>
  <si>
    <t>Model 3: Model 2 + Price–Demand correlation through a Gaussian copula (Cholesky).</t>
  </si>
  <si>
    <t>Excel vs Python (1,000,000 iterations) with z-scores.</t>
  </si>
  <si>
    <t>How each model sheet is organised</t>
  </si>
  <si>
    <t>1. Base-case inputs  →  2. Distributions (one random draw)  →  3. Cash flows and NPV  →  4. Results.</t>
  </si>
  <si>
    <t>Columns L–O: Excel Data Table that re-evaluates the model 5,000 times. Columns Q–V: histogram bins.</t>
  </si>
  <si>
    <t>Simulation switch (cell C6): 1 = simulation, 0 = deterministic base case.</t>
  </si>
  <si>
    <t>Calculation mode is 'Automatic except for data tables': press F9 (Mac: Cmd + =) to rerun the simulation.</t>
  </si>
  <si>
    <t>Colour code</t>
  </si>
  <si>
    <t>1,234</t>
  </si>
  <si>
    <t>Hard-coded input</t>
  </si>
  <si>
    <t>Formula</t>
  </si>
  <si>
    <t>Link to another sheet</t>
  </si>
  <si>
    <t>1</t>
  </si>
  <si>
    <t>Switch or key lever</t>
  </si>
  <si>
    <t>Key output</t>
  </si>
  <si>
    <t>Python implementation, dashboard and ASML case study: github.com/YacineHaddouche/monte-carlo-valuation</t>
  </si>
  <si>
    <t>Model 1 — Three independent normal inputs</t>
  </si>
  <si>
    <t>Price, volume and variable cost each drawn from a Normal distribution, independently.</t>
  </si>
  <si>
    <t>Blue = input · Black = formula · Yellow fill = switch / key lever · Press F9 (Mac: Cmd + =) to rerun the 5,000 iterations.</t>
  </si>
  <si>
    <t>Simulation (Data Table)</t>
  </si>
  <si>
    <t>Histogram bins</t>
  </si>
  <si>
    <t>1. Base-case inputs</t>
  </si>
  <si>
    <t>Iteration</t>
  </si>
  <si>
    <t>NPV</t>
  </si>
  <si>
    <t>Bin width (€, auto)</t>
  </si>
  <si>
    <t>Simulation switch (1 = simulation, 0 = base case)</t>
  </si>
  <si>
    <t>← 0 = base case, 1 = simulation</t>
  </si>
  <si>
    <t>Lower (€)</t>
  </si>
  <si>
    <t>Upper (€)</t>
  </si>
  <si>
    <t>Midpoint</t>
  </si>
  <si>
    <t>Count</t>
  </si>
  <si>
    <t>NPV &lt; 0</t>
  </si>
  <si>
    <t>NPV ≥ 0</t>
  </si>
  <si>
    <t>Initial investment (€, Year 0)</t>
  </si>
  <si>
    <t>Volume (units / year)</t>
  </si>
  <si>
    <t>Price (€ / unit)</t>
  </si>
  <si>
    <t>Variable cost (€ / unit)</t>
  </si>
  <si>
    <t>Fixed costs (€ / year)</t>
  </si>
  <si>
    <t>Discount rate</t>
  </si>
  <si>
    <t>2. Uncertain inputs and distributions</t>
  </si>
  <si>
    <t>Input</t>
  </si>
  <si>
    <t>Distribution</t>
  </si>
  <si>
    <t>Mean</t>
  </si>
  <si>
    <t>SD</t>
  </si>
  <si>
    <t>Min</t>
  </si>
  <si>
    <t>Mode</t>
  </si>
  <si>
    <t>Max</t>
  </si>
  <si>
    <t>Draw</t>
  </si>
  <si>
    <t>Value used</t>
  </si>
  <si>
    <t>Normal</t>
  </si>
  <si>
    <t>3. Cash flows and NPV (one draw)</t>
  </si>
  <si>
    <t>€</t>
  </si>
  <si>
    <t>Year 0</t>
  </si>
  <si>
    <t>Year 1</t>
  </si>
  <si>
    <t>Year 2</t>
  </si>
  <si>
    <t>Year 3</t>
  </si>
  <si>
    <t>Year 4</t>
  </si>
  <si>
    <t>Year 5</t>
  </si>
  <si>
    <t>Initial investment</t>
  </si>
  <si>
    <t>Revenue (units × price)</t>
  </si>
  <si>
    <t>Variable costs (units × variable cost)</t>
  </si>
  <si>
    <t>Fixed costs</t>
  </si>
  <si>
    <t>Free cash flow (FCF)</t>
  </si>
  <si>
    <t>Discount factor = 1 / (1 + r)^t</t>
  </si>
  <si>
    <t>Present value of FCF</t>
  </si>
  <si>
    <t>Net present value (NPV)</t>
  </si>
  <si>
    <t>Check: Excel NPV() + Year 0 flow</t>
  </si>
  <si>
    <t>NPV() discounts its first flow by one period, so Year 0 is added separately.</t>
  </si>
  <si>
    <t>Break-even (base case, one input at a time)</t>
  </si>
  <si>
    <t>Value</t>
  </si>
  <si>
    <t>vs base case</t>
  </si>
  <si>
    <t>Break-even price (€ / unit)</t>
  </si>
  <si>
    <t>Required FCF = investment / annuity factor; solved for price or volume.</t>
  </si>
  <si>
    <t>Break-even volume (units / year)</t>
  </si>
  <si>
    <t>4. Simulation results (5,000 iterations)</t>
  </si>
  <si>
    <t>Statistic</t>
  </si>
  <si>
    <t>Excel formula</t>
  </si>
  <si>
    <t>AVERAGE</t>
  </si>
  <si>
    <t>Coverage check</t>
  </si>
  <si>
    <t>Standard deviation</t>
  </si>
  <si>
    <t>STDEV.S</t>
  </si>
  <si>
    <t>PERCENTILE.INC</t>
  </si>
  <si>
    <t>P50 (median)</t>
  </si>
  <si>
    <t>Minimum</t>
  </si>
  <si>
    <t>MIN</t>
  </si>
  <si>
    <t>Maximum</t>
  </si>
  <si>
    <t>MAX</t>
  </si>
  <si>
    <t>COUNTIF / COUNT</t>
  </si>
  <si>
    <t>SE of probability</t>
  </si>
  <si>
    <t>√(p(1 − p) / n)</t>
  </si>
  <si>
    <t>SE of mean</t>
  </si>
  <si>
    <t>SD / √n</t>
  </si>
  <si>
    <t>Model 2 — Justified distributions</t>
  </si>
  <si>
    <t>PERT price (expert estimate), Normal demand capped by capacity, variable cost fitted on 8 data points.</t>
  </si>
  <si>
    <t>Production capacity (units / year)</t>
  </si>
  <si>
    <t>PERT</t>
  </si>
  <si>
    <t>Demand (units / year) → units sold capped at capacity</t>
  </si>
  <si>
    <t>Normal (fitted)</t>
  </si>
  <si>
    <t>Constant</t>
  </si>
  <si>
    <t>PERT α = 1 + 4 × (mode − min) / (max − min)</t>
  </si>
  <si>
    <t>PERT mean = (min + 4 × mode + max) / 6, shown in the Mean column</t>
  </si>
  <si>
    <t>PERT β = 1 + 4 × (max − mode) / (max − min)</t>
  </si>
  <si>
    <t>Historical variable cost (€ / unit)</t>
  </si>
  <si>
    <t>Period 1</t>
  </si>
  <si>
    <t>Period 2</t>
  </si>
  <si>
    <t>Period 3</t>
  </si>
  <si>
    <t>Period 4</t>
  </si>
  <si>
    <t>Period 5</t>
  </si>
  <si>
    <t>Period 6</t>
  </si>
  <si>
    <t>Period 7</t>
  </si>
  <si>
    <t>Period 8</t>
  </si>
  <si>
    <t>Observed value</t>
  </si>
  <si>
    <t>Fitted mean</t>
  </si>
  <si>
    <t>Fitted SD (sample, STDEV.S)</t>
  </si>
  <si>
    <t>STDEV.S divides by n − 1: the SD is estimated from a sample.</t>
  </si>
  <si>
    <t>Model 3 — Correlated inputs (Gaussian copula)</t>
  </si>
  <si>
    <t>Same distributions as Model 2, with Price and Demand correlated through a Gaussian copula.</t>
  </si>
  <si>
    <t>Price draw</t>
  </si>
  <si>
    <t>Demand draw</t>
  </si>
  <si>
    <t>Price–Demand correlation (ρ)</t>
  </si>
  <si>
    <t>Gaussian copula (one draw)</t>
  </si>
  <si>
    <t>Z₁</t>
  </si>
  <si>
    <t>Z₂</t>
  </si>
  <si>
    <t>X₁ = Z₁</t>
  </si>
  <si>
    <t>X₂ = ρZ₁ + √(1−ρ²)Z₂</t>
  </si>
  <si>
    <t>U₁ = Φ(X₁)</t>
  </si>
  <si>
    <t>U₂ = Φ(X₂)</t>
  </si>
  <si>
    <t>Independent normals → correlated → probabilities</t>
  </si>
  <si>
    <t>Price = PERT⁻¹(U₁) · Demand = Normal⁻¹(U₂) · Variable cost stays independent</t>
  </si>
  <si>
    <t>Correlation check: CORREL(price, demand draws)</t>
  </si>
  <si>
    <t>CORREL (target: ρ)</t>
  </si>
  <si>
    <t>6. Effect of ρ — stored results (three Excel runs of 5,000 iterations, values pasted)</t>
  </si>
  <si>
    <t>ρ = −0.5</t>
  </si>
  <si>
    <t>ρ = 0</t>
  </si>
  <si>
    <t>ρ = +0.5</t>
  </si>
  <si>
    <t>Correlation check</t>
  </si>
  <si>
    <t>Reading: a negative Price–Demand correlation narrows the spread (natural hedge) but lowers the mean, since E[P × V] = E[P]E[V] + Cov(P, V).</t>
  </si>
  <si>
    <t>Validation — Excel vs Python</t>
  </si>
  <si>
    <t>The same models were rebuilt in Python (NumPy / SciPy) and run with 1,000,000 iterations. A gap is consistent with sampling noise when |z| &lt; 2.</t>
  </si>
  <si>
    <t>z = (Excel − Python) / √(SE_Excel² + SE_Python²). Excel values are live: they change with every recalculation (F9).</t>
  </si>
  <si>
    <t>Excel (5,000 iterations, live) vs Python (1,000,000 iterations, seed 42)</t>
  </si>
  <si>
    <t>Excel</t>
  </si>
  <si>
    <t>SE Excel</t>
  </si>
  <si>
    <t>Python</t>
  </si>
  <si>
    <t>SE Python</t>
  </si>
  <si>
    <t>z-score</t>
  </si>
  <si>
    <t>Status</t>
  </si>
  <si>
    <t>Independent</t>
  </si>
  <si>
    <t>Justified</t>
  </si>
  <si>
    <t>Correlated</t>
  </si>
  <si>
    <t>Python implementation, tests and an ASML DCF case study: github.com/YacineHaddouche/monte-carlo-valuation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</si>
</sst>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€#,##0;\(\€#,##0\);&quot;-&quot;"/>
    <numFmt numFmtId="165" formatCode="#,##0;\(#,##0\);&quot;-&quot;"/>
    <numFmt numFmtId="166" formatCode="\€#,##0.00;\(\€#,##0.00\);&quot;-&quot;"/>
    <numFmt numFmtId="167" formatCode="0.0%;\(0.0%\);&quot;-&quot;"/>
    <numFmt numFmtId="168" formatCode="0.0000"/>
  </numFmts>
  <fonts count="10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i/>
      <sz val="10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sz val="10"/>
      <color rgb="FF008000"/>
      <name val="Arial"/>
      <family val="2"/>
    </font>
    <font>
      <b/>
      <sz val="16"/>
      <color rgb="FF000000"/>
      <name val="Arial"/>
      <family val="2"/>
    </font>
    <font>
      <sz val="10"/>
      <color rgb="FF0563C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8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6" fillId="4" borderId="0" xfId="0" applyFont="1" applyFill="1" applyAlignment="1">
      <alignment horizontal="left" wrapText="1"/>
    </xf>
    <xf numFmtId="0" fontId="6" fillId="4" borderId="0" xfId="0" applyFont="1" applyFill="1" applyAlignment="1">
      <alignment horizontal="center" wrapText="1"/>
    </xf>
    <xf numFmtId="0" fontId="9" fillId="0" borderId="3" xfId="0" applyFont="1" applyBorder="1"/>
    <xf numFmtId="164" fontId="7" fillId="0" borderId="3" xfId="0" applyNumberFormat="1" applyFont="1" applyBorder="1"/>
    <xf numFmtId="167" fontId="7" fillId="0" borderId="3" xfId="0" applyNumberFormat="1" applyFont="1" applyBorder="1"/>
    <xf numFmtId="0" fontId="9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0" borderId="0" xfId="0" applyFont="1"/>
    <xf numFmtId="164" fontId="4" fillId="0" borderId="0" xfId="0" applyNumberFormat="1" applyFont="1"/>
    <xf numFmtId="1" fontId="5" fillId="3" borderId="0" xfId="0" applyNumberFormat="1" applyFont="1" applyFill="1"/>
    <xf numFmtId="164" fontId="6" fillId="4" borderId="0" xfId="0" applyNumberFormat="1" applyFont="1" applyFill="1"/>
    <xf numFmtId="164" fontId="5" fillId="0" borderId="0" xfId="0" applyNumberFormat="1" applyFont="1"/>
    <xf numFmtId="164" fontId="0" fillId="0" borderId="0" xfId="0" applyNumberFormat="1"/>
    <xf numFmtId="165" fontId="4" fillId="0" borderId="0" xfId="0" applyNumberFormat="1" applyFont="1"/>
    <xf numFmtId="167" fontId="4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166" fontId="4" fillId="0" borderId="0" xfId="0" applyNumberFormat="1" applyFont="1"/>
    <xf numFmtId="166" fontId="6" fillId="0" borderId="0" xfId="0" applyNumberFormat="1" applyFont="1"/>
    <xf numFmtId="165" fontId="6" fillId="0" borderId="0" xfId="0" applyNumberFormat="1" applyFont="1"/>
    <xf numFmtId="0" fontId="6" fillId="0" borderId="0" xfId="0" applyFont="1"/>
    <xf numFmtId="164" fontId="6" fillId="0" borderId="1" xfId="0" applyNumberFormat="1" applyFont="1" applyBorder="1"/>
    <xf numFmtId="168" fontId="4" fillId="0" borderId="0" xfId="0" applyNumberFormat="1" applyFont="1"/>
    <xf numFmtId="164" fontId="6" fillId="5" borderId="2" xfId="0" applyNumberFormat="1" applyFont="1" applyFill="1" applyBorder="1"/>
    <xf numFmtId="0" fontId="4" fillId="0" borderId="0" xfId="0" applyFont="1" applyAlignment="1">
      <alignment indent="1"/>
    </xf>
    <xf numFmtId="164" fontId="6" fillId="5" borderId="0" xfId="0" applyNumberFormat="1" applyFont="1" applyFill="1"/>
    <xf numFmtId="167" fontId="6" fillId="0" borderId="0" xfId="0" applyNumberFormat="1" applyFont="1"/>
    <xf numFmtId="167" fontId="6" fillId="5" borderId="0" xfId="0" applyNumberFormat="1" applyFont="1" applyFill="1"/>
    <xf numFmtId="10" fontId="4" fillId="0" borderId="0" xfId="0" applyNumberFormat="1" applyFont="1"/>
    <xf numFmtId="2" fontId="4" fillId="0" borderId="0" xfId="0" applyNumberFormat="1" applyFont="1"/>
    <xf numFmtId="166" fontId="6" fillId="4" borderId="0" xfId="0" applyNumberFormat="1" applyFont="1" applyFill="1"/>
    <xf numFmtId="165" fontId="6" fillId="4" borderId="0" xfId="0" applyNumberFormat="1" applyFont="1" applyFill="1"/>
    <xf numFmtId="166" fontId="0" fillId="0" borderId="0" xfId="0" applyNumberFormat="1"/>
    <xf numFmtId="165" fontId="0" fillId="0" borderId="0" xfId="0" applyNumberFormat="1"/>
    <xf numFmtId="2" fontId="5" fillId="3" borderId="0" xfId="0" applyNumberFormat="1" applyFont="1" applyFill="1"/>
    <xf numFmtId="168" fontId="5" fillId="0" borderId="0" xfId="0" applyNumberFormat="1" applyFont="1"/>
    <xf numFmtId="0" fontId="4" fillId="0" borderId="3" xfId="0" applyFont="1" applyBorder="1"/>
    <xf numFmtId="164" fontId="5" fillId="0" borderId="3" xfId="0" applyNumberFormat="1" applyFont="1" applyBorder="1"/>
    <xf numFmtId="2" fontId="4" fillId="0" borderId="3" xfId="0" applyNumberFormat="1" applyFont="1" applyBorder="1"/>
    <xf numFmtId="0" fontId="6" fillId="0" borderId="3" xfId="0" applyFont="1" applyBorder="1" applyAlignment="1">
      <alignment horizontal="center"/>
    </xf>
    <xf numFmtId="10" fontId="7" fillId="0" borderId="3" xfId="0" applyNumberFormat="1" applyFont="1" applyBorder="1"/>
    <xf numFmtId="167" fontId="5" fillId="0" borderId="3" xfId="0" applyNumberFormat="1" applyFont="1" applyBorder="1"/>
    <xf numFmtId="10" fontId="5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Simulated NPV, 5,000 iterations (red: NPV &lt; 0 · blue: NPV ≥ 0)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Independent!$U$6</c:f>
              <c:strCache>
                <c:ptCount val="1"/>
                <c:pt idx="0">
                  <c:v>NPV &lt; 0</c:v>
                </c:pt>
              </c:strCache>
            </c:strRef>
          </c:tx>
          <c:spPr>
            <a:solidFill>
              <a:srgbClr val="E34948"/>
            </a:solidFill>
            <a:ln>
              <a:solidFill>
                <a:srgbClr val="E34948"/>
              </a:solidFill>
              <a:prstDash val="solid"/>
            </a:ln>
          </c:spPr>
          <c:invertIfNegative val="1"/>
          <c:cat>
            <c:strRef>
              <c:f>Independent!$S$7:$S$38</c:f>
              <c:strCache>
                <c:ptCount val="32"/>
                <c:pt idx="0">
                  <c:v>-630k</c:v>
                </c:pt>
                <c:pt idx="1">
                  <c:v>-570k</c:v>
                </c:pt>
                <c:pt idx="2">
                  <c:v>-510k</c:v>
                </c:pt>
                <c:pt idx="3">
                  <c:v>-450k</c:v>
                </c:pt>
                <c:pt idx="4">
                  <c:v>-390k</c:v>
                </c:pt>
                <c:pt idx="5">
                  <c:v>-330k</c:v>
                </c:pt>
                <c:pt idx="6">
                  <c:v>-270k</c:v>
                </c:pt>
                <c:pt idx="7">
                  <c:v>-210k</c:v>
                </c:pt>
                <c:pt idx="8">
                  <c:v>-150k</c:v>
                </c:pt>
                <c:pt idx="9">
                  <c:v>-90k</c:v>
                </c:pt>
                <c:pt idx="10">
                  <c:v>-30k</c:v>
                </c:pt>
                <c:pt idx="11">
                  <c:v>30k</c:v>
                </c:pt>
                <c:pt idx="12">
                  <c:v>90k</c:v>
                </c:pt>
                <c:pt idx="13">
                  <c:v>150k</c:v>
                </c:pt>
                <c:pt idx="14">
                  <c:v>210k</c:v>
                </c:pt>
                <c:pt idx="15">
                  <c:v>270k</c:v>
                </c:pt>
                <c:pt idx="16">
                  <c:v>330k</c:v>
                </c:pt>
                <c:pt idx="17">
                  <c:v>390k</c:v>
                </c:pt>
                <c:pt idx="18">
                  <c:v>450k</c:v>
                </c:pt>
                <c:pt idx="19">
                  <c:v>510k</c:v>
                </c:pt>
                <c:pt idx="20">
                  <c:v>570k</c:v>
                </c:pt>
                <c:pt idx="21">
                  <c:v>630k</c:v>
                </c:pt>
                <c:pt idx="22">
                  <c:v>690k</c:v>
                </c:pt>
                <c:pt idx="23">
                  <c:v>750k</c:v>
                </c:pt>
                <c:pt idx="24">
                  <c:v>810k</c:v>
                </c:pt>
                <c:pt idx="25">
                  <c:v>870k</c:v>
                </c:pt>
                <c:pt idx="26">
                  <c:v>930k</c:v>
                </c:pt>
                <c:pt idx="27">
                  <c:v>990k</c:v>
                </c:pt>
                <c:pt idx="28">
                  <c:v>1,050k</c:v>
                </c:pt>
                <c:pt idx="29">
                  <c:v>1,110k</c:v>
                </c:pt>
                <c:pt idx="30">
                  <c:v>1,170k</c:v>
                </c:pt>
                <c:pt idx="31">
                  <c:v>1,230k</c:v>
                </c:pt>
              </c:strCache>
            </c:strRef>
          </c:cat>
          <c:val>
            <c:numRef>
              <c:f>Independent!$U$7:$U$38</c:f>
              <c:numCache>
                <c:formatCode>0.0%;\(0.0%\);"-"</c:formatCode>
                <c:ptCount val="32"/>
                <c:pt idx="0">
                  <c:v>2.0000000000000001E-4</c:v>
                </c:pt>
                <c:pt idx="1">
                  <c:v>1E-3</c:v>
                </c:pt>
                <c:pt idx="2">
                  <c:v>8.0000000000000004E-4</c:v>
                </c:pt>
                <c:pt idx="3">
                  <c:v>6.1999999999999998E-3</c:v>
                </c:pt>
                <c:pt idx="4">
                  <c:v>1.24E-2</c:v>
                </c:pt>
                <c:pt idx="5">
                  <c:v>2.7E-2</c:v>
                </c:pt>
                <c:pt idx="6">
                  <c:v>4.5199999999999997E-2</c:v>
                </c:pt>
                <c:pt idx="7">
                  <c:v>6.7000000000000004E-2</c:v>
                </c:pt>
                <c:pt idx="8">
                  <c:v>7.5800000000000006E-2</c:v>
                </c:pt>
                <c:pt idx="9">
                  <c:v>9.6000000000000002E-2</c:v>
                </c:pt>
                <c:pt idx="10">
                  <c:v>0.11799999999999999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3494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81F-A444-B0B0-0E57EE9FB9B9}"/>
            </c:ext>
          </c:extLst>
        </c:ser>
        <c:ser>
          <c:idx val="1"/>
          <c:order val="1"/>
          <c:tx>
            <c:strRef>
              <c:f>Independent!$V$6</c:f>
              <c:strCache>
                <c:ptCount val="1"/>
                <c:pt idx="0">
                  <c:v>NPV ≥ 0</c:v>
                </c:pt>
              </c:strCache>
            </c:strRef>
          </c:tx>
          <c: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c:spPr>
          <c:invertIfNegative val="1"/>
          <c:cat>
            <c:strRef>
              <c:f>Independent!$S$7:$S$38</c:f>
              <c:strCache>
                <c:ptCount val="32"/>
                <c:pt idx="0">
                  <c:v>-630k</c:v>
                </c:pt>
                <c:pt idx="1">
                  <c:v>-570k</c:v>
                </c:pt>
                <c:pt idx="2">
                  <c:v>-510k</c:v>
                </c:pt>
                <c:pt idx="3">
                  <c:v>-450k</c:v>
                </c:pt>
                <c:pt idx="4">
                  <c:v>-390k</c:v>
                </c:pt>
                <c:pt idx="5">
                  <c:v>-330k</c:v>
                </c:pt>
                <c:pt idx="6">
                  <c:v>-270k</c:v>
                </c:pt>
                <c:pt idx="7">
                  <c:v>-210k</c:v>
                </c:pt>
                <c:pt idx="8">
                  <c:v>-150k</c:v>
                </c:pt>
                <c:pt idx="9">
                  <c:v>-90k</c:v>
                </c:pt>
                <c:pt idx="10">
                  <c:v>-30k</c:v>
                </c:pt>
                <c:pt idx="11">
                  <c:v>30k</c:v>
                </c:pt>
                <c:pt idx="12">
                  <c:v>90k</c:v>
                </c:pt>
                <c:pt idx="13">
                  <c:v>150k</c:v>
                </c:pt>
                <c:pt idx="14">
                  <c:v>210k</c:v>
                </c:pt>
                <c:pt idx="15">
                  <c:v>270k</c:v>
                </c:pt>
                <c:pt idx="16">
                  <c:v>330k</c:v>
                </c:pt>
                <c:pt idx="17">
                  <c:v>390k</c:v>
                </c:pt>
                <c:pt idx="18">
                  <c:v>450k</c:v>
                </c:pt>
                <c:pt idx="19">
                  <c:v>510k</c:v>
                </c:pt>
                <c:pt idx="20">
                  <c:v>570k</c:v>
                </c:pt>
                <c:pt idx="21">
                  <c:v>630k</c:v>
                </c:pt>
                <c:pt idx="22">
                  <c:v>690k</c:v>
                </c:pt>
                <c:pt idx="23">
                  <c:v>750k</c:v>
                </c:pt>
                <c:pt idx="24">
                  <c:v>810k</c:v>
                </c:pt>
                <c:pt idx="25">
                  <c:v>870k</c:v>
                </c:pt>
                <c:pt idx="26">
                  <c:v>930k</c:v>
                </c:pt>
                <c:pt idx="27">
                  <c:v>990k</c:v>
                </c:pt>
                <c:pt idx="28">
                  <c:v>1,050k</c:v>
                </c:pt>
                <c:pt idx="29">
                  <c:v>1,110k</c:v>
                </c:pt>
                <c:pt idx="30">
                  <c:v>1,170k</c:v>
                </c:pt>
                <c:pt idx="31">
                  <c:v>1,230k</c:v>
                </c:pt>
              </c:strCache>
            </c:strRef>
          </c:cat>
          <c:val>
            <c:numRef>
              <c:f>Independent!$V$7:$V$38</c:f>
              <c:numCache>
                <c:formatCode>0.0%;\(0.0%\);"-"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0.12720000000000001</c:v>
                </c:pt>
                <c:pt idx="12">
                  <c:v>0.10639999999999999</c:v>
                </c:pt>
                <c:pt idx="13">
                  <c:v>9.8000000000000004E-2</c:v>
                </c:pt>
                <c:pt idx="14">
                  <c:v>6.7199999999999996E-2</c:v>
                </c:pt>
                <c:pt idx="15">
                  <c:v>5.6800000000000003E-2</c:v>
                </c:pt>
                <c:pt idx="16">
                  <c:v>3.5799999999999998E-2</c:v>
                </c:pt>
                <c:pt idx="17">
                  <c:v>2.4400000000000002E-2</c:v>
                </c:pt>
                <c:pt idx="18">
                  <c:v>1.66E-2</c:v>
                </c:pt>
                <c:pt idx="19">
                  <c:v>8.6E-3</c:v>
                </c:pt>
                <c:pt idx="20">
                  <c:v>3.3999999999999998E-3</c:v>
                </c:pt>
                <c:pt idx="21">
                  <c:v>2E-3</c:v>
                </c:pt>
                <c:pt idx="22">
                  <c:v>2E-3</c:v>
                </c:pt>
                <c:pt idx="23">
                  <c:v>8.0000000000000004E-4</c:v>
                </c:pt>
                <c:pt idx="24">
                  <c:v>5.9999999999999995E-4</c:v>
                </c:pt>
                <c:pt idx="25">
                  <c:v>4.0000000000000002E-4</c:v>
                </c:pt>
                <c:pt idx="26">
                  <c:v>0</c:v>
                </c:pt>
                <c:pt idx="27">
                  <c:v>0</c:v>
                </c:pt>
                <c:pt idx="28">
                  <c:v>2.0000000000000001E-4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A78D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81F-A444-B0B0-0E57EE9FB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Simulated NPV, 5,000 iterations (red: NPV &lt; 0 · blue: NPV ≥ 0)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Justified!$U$6</c:f>
              <c:strCache>
                <c:ptCount val="1"/>
                <c:pt idx="0">
                  <c:v>NPV &lt; 0</c:v>
                </c:pt>
              </c:strCache>
            </c:strRef>
          </c:tx>
          <c:spPr>
            <a:solidFill>
              <a:srgbClr val="E34948"/>
            </a:solidFill>
            <a:ln>
              <a:solidFill>
                <a:srgbClr val="E34948"/>
              </a:solidFill>
              <a:prstDash val="solid"/>
            </a:ln>
          </c:spPr>
          <c:invertIfNegative val="1"/>
          <c:cat>
            <c:strRef>
              <c:f>Justified!$S$7:$S$38</c:f>
              <c:strCache>
                <c:ptCount val="32"/>
                <c:pt idx="0">
                  <c:v>-500k</c:v>
                </c:pt>
                <c:pt idx="1">
                  <c:v>-460k</c:v>
                </c:pt>
                <c:pt idx="2">
                  <c:v>-420k</c:v>
                </c:pt>
                <c:pt idx="3">
                  <c:v>-380k</c:v>
                </c:pt>
                <c:pt idx="4">
                  <c:v>-340k</c:v>
                </c:pt>
                <c:pt idx="5">
                  <c:v>-300k</c:v>
                </c:pt>
                <c:pt idx="6">
                  <c:v>-260k</c:v>
                </c:pt>
                <c:pt idx="7">
                  <c:v>-220k</c:v>
                </c:pt>
                <c:pt idx="8">
                  <c:v>-180k</c:v>
                </c:pt>
                <c:pt idx="9">
                  <c:v>-140k</c:v>
                </c:pt>
                <c:pt idx="10">
                  <c:v>-100k</c:v>
                </c:pt>
                <c:pt idx="11">
                  <c:v>-60k</c:v>
                </c:pt>
                <c:pt idx="12">
                  <c:v>-20k</c:v>
                </c:pt>
                <c:pt idx="13">
                  <c:v>20k</c:v>
                </c:pt>
                <c:pt idx="14">
                  <c:v>60k</c:v>
                </c:pt>
                <c:pt idx="15">
                  <c:v>100k</c:v>
                </c:pt>
                <c:pt idx="16">
                  <c:v>140k</c:v>
                </c:pt>
                <c:pt idx="17">
                  <c:v>180k</c:v>
                </c:pt>
                <c:pt idx="18">
                  <c:v>220k</c:v>
                </c:pt>
                <c:pt idx="19">
                  <c:v>260k</c:v>
                </c:pt>
                <c:pt idx="20">
                  <c:v>300k</c:v>
                </c:pt>
                <c:pt idx="21">
                  <c:v>340k</c:v>
                </c:pt>
                <c:pt idx="22">
                  <c:v>380k</c:v>
                </c:pt>
                <c:pt idx="23">
                  <c:v>420k</c:v>
                </c:pt>
                <c:pt idx="24">
                  <c:v>460k</c:v>
                </c:pt>
                <c:pt idx="25">
                  <c:v>500k</c:v>
                </c:pt>
                <c:pt idx="26">
                  <c:v>540k</c:v>
                </c:pt>
                <c:pt idx="27">
                  <c:v>580k</c:v>
                </c:pt>
                <c:pt idx="28">
                  <c:v>620k</c:v>
                </c:pt>
                <c:pt idx="29">
                  <c:v>660k</c:v>
                </c:pt>
                <c:pt idx="30">
                  <c:v>700k</c:v>
                </c:pt>
                <c:pt idx="31">
                  <c:v>740k</c:v>
                </c:pt>
              </c:strCache>
            </c:strRef>
          </c:cat>
          <c:val>
            <c:numRef>
              <c:f>Justified!$U$7:$U$38</c:f>
              <c:numCache>
                <c:formatCode>0.0%;\(0.0%\);"-"</c:formatCode>
                <c:ptCount val="32"/>
                <c:pt idx="0">
                  <c:v>1.1999999999999999E-3</c:v>
                </c:pt>
                <c:pt idx="1">
                  <c:v>1E-3</c:v>
                </c:pt>
                <c:pt idx="2">
                  <c:v>2.2000000000000001E-3</c:v>
                </c:pt>
                <c:pt idx="3">
                  <c:v>3.8E-3</c:v>
                </c:pt>
                <c:pt idx="4">
                  <c:v>1.04E-2</c:v>
                </c:pt>
                <c:pt idx="5">
                  <c:v>1.6199999999999999E-2</c:v>
                </c:pt>
                <c:pt idx="6">
                  <c:v>2.6599999999999999E-2</c:v>
                </c:pt>
                <c:pt idx="7">
                  <c:v>4.5600000000000002E-2</c:v>
                </c:pt>
                <c:pt idx="8">
                  <c:v>5.62E-2</c:v>
                </c:pt>
                <c:pt idx="9">
                  <c:v>7.0599999999999996E-2</c:v>
                </c:pt>
                <c:pt idx="10">
                  <c:v>9.1399999999999995E-2</c:v>
                </c:pt>
                <c:pt idx="11">
                  <c:v>0.10199999999999999</c:v>
                </c:pt>
                <c:pt idx="12">
                  <c:v>0.1076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3494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2B3-9E4A-BE8B-67A29F578EE8}"/>
            </c:ext>
          </c:extLst>
        </c:ser>
        <c:ser>
          <c:idx val="1"/>
          <c:order val="1"/>
          <c:tx>
            <c:strRef>
              <c:f>Justified!$V$6</c:f>
              <c:strCache>
                <c:ptCount val="1"/>
                <c:pt idx="0">
                  <c:v>NPV ≥ 0</c:v>
                </c:pt>
              </c:strCache>
            </c:strRef>
          </c:tx>
          <c: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c:spPr>
          <c:invertIfNegative val="1"/>
          <c:cat>
            <c:strRef>
              <c:f>Justified!$S$7:$S$38</c:f>
              <c:strCache>
                <c:ptCount val="32"/>
                <c:pt idx="0">
                  <c:v>-500k</c:v>
                </c:pt>
                <c:pt idx="1">
                  <c:v>-460k</c:v>
                </c:pt>
                <c:pt idx="2">
                  <c:v>-420k</c:v>
                </c:pt>
                <c:pt idx="3">
                  <c:v>-380k</c:v>
                </c:pt>
                <c:pt idx="4">
                  <c:v>-340k</c:v>
                </c:pt>
                <c:pt idx="5">
                  <c:v>-300k</c:v>
                </c:pt>
                <c:pt idx="6">
                  <c:v>-260k</c:v>
                </c:pt>
                <c:pt idx="7">
                  <c:v>-220k</c:v>
                </c:pt>
                <c:pt idx="8">
                  <c:v>-180k</c:v>
                </c:pt>
                <c:pt idx="9">
                  <c:v>-140k</c:v>
                </c:pt>
                <c:pt idx="10">
                  <c:v>-100k</c:v>
                </c:pt>
                <c:pt idx="11">
                  <c:v>-60k</c:v>
                </c:pt>
                <c:pt idx="12">
                  <c:v>-20k</c:v>
                </c:pt>
                <c:pt idx="13">
                  <c:v>20k</c:v>
                </c:pt>
                <c:pt idx="14">
                  <c:v>60k</c:v>
                </c:pt>
                <c:pt idx="15">
                  <c:v>100k</c:v>
                </c:pt>
                <c:pt idx="16">
                  <c:v>140k</c:v>
                </c:pt>
                <c:pt idx="17">
                  <c:v>180k</c:v>
                </c:pt>
                <c:pt idx="18">
                  <c:v>220k</c:v>
                </c:pt>
                <c:pt idx="19">
                  <c:v>260k</c:v>
                </c:pt>
                <c:pt idx="20">
                  <c:v>300k</c:v>
                </c:pt>
                <c:pt idx="21">
                  <c:v>340k</c:v>
                </c:pt>
                <c:pt idx="22">
                  <c:v>380k</c:v>
                </c:pt>
                <c:pt idx="23">
                  <c:v>420k</c:v>
                </c:pt>
                <c:pt idx="24">
                  <c:v>460k</c:v>
                </c:pt>
                <c:pt idx="25">
                  <c:v>500k</c:v>
                </c:pt>
                <c:pt idx="26">
                  <c:v>540k</c:v>
                </c:pt>
                <c:pt idx="27">
                  <c:v>580k</c:v>
                </c:pt>
                <c:pt idx="28">
                  <c:v>620k</c:v>
                </c:pt>
                <c:pt idx="29">
                  <c:v>660k</c:v>
                </c:pt>
                <c:pt idx="30">
                  <c:v>700k</c:v>
                </c:pt>
                <c:pt idx="31">
                  <c:v>740k</c:v>
                </c:pt>
              </c:strCache>
            </c:strRef>
          </c:cat>
          <c:val>
            <c:numRef>
              <c:f>Justified!$V$7:$V$38</c:f>
              <c:numCache>
                <c:formatCode>0.0%;\(0.0%\);"-"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0.106</c:v>
                </c:pt>
                <c:pt idx="14">
                  <c:v>8.5199999999999998E-2</c:v>
                </c:pt>
                <c:pt idx="15">
                  <c:v>8.14E-2</c:v>
                </c:pt>
                <c:pt idx="16">
                  <c:v>6.5000000000000002E-2</c:v>
                </c:pt>
                <c:pt idx="17">
                  <c:v>5.0999999999999997E-2</c:v>
                </c:pt>
                <c:pt idx="18">
                  <c:v>3.4799999999999998E-2</c:v>
                </c:pt>
                <c:pt idx="19">
                  <c:v>1.9400000000000001E-2</c:v>
                </c:pt>
                <c:pt idx="20">
                  <c:v>1.26E-2</c:v>
                </c:pt>
                <c:pt idx="21">
                  <c:v>4.7999999999999996E-3</c:v>
                </c:pt>
                <c:pt idx="22">
                  <c:v>3.3999999999999998E-3</c:v>
                </c:pt>
                <c:pt idx="23">
                  <c:v>1E-3</c:v>
                </c:pt>
                <c:pt idx="24">
                  <c:v>5.9999999999999995E-4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A78D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2B3-9E4A-BE8B-67A29F578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Simulated NPV, 5,000 iterations (red: NPV &lt; 0 · blue: NPV ≥ 0)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Correlated!$U$6</c:f>
              <c:strCache>
                <c:ptCount val="1"/>
                <c:pt idx="0">
                  <c:v>NPV &lt; 0</c:v>
                </c:pt>
              </c:strCache>
            </c:strRef>
          </c:tx>
          <c:spPr>
            <a:solidFill>
              <a:srgbClr val="E34948"/>
            </a:solidFill>
            <a:ln>
              <a:solidFill>
                <a:srgbClr val="E34948"/>
              </a:solidFill>
              <a:prstDash val="solid"/>
            </a:ln>
          </c:spPr>
          <c:invertIfNegative val="1"/>
          <c:cat>
            <c:strRef>
              <c:f>Correlated!$S$7:$S$38</c:f>
              <c:strCache>
                <c:ptCount val="32"/>
                <c:pt idx="0">
                  <c:v>-405k</c:v>
                </c:pt>
                <c:pt idx="1">
                  <c:v>-375k</c:v>
                </c:pt>
                <c:pt idx="2">
                  <c:v>-345k</c:v>
                </c:pt>
                <c:pt idx="3">
                  <c:v>-315k</c:v>
                </c:pt>
                <c:pt idx="4">
                  <c:v>-285k</c:v>
                </c:pt>
                <c:pt idx="5">
                  <c:v>-255k</c:v>
                </c:pt>
                <c:pt idx="6">
                  <c:v>-225k</c:v>
                </c:pt>
                <c:pt idx="7">
                  <c:v>-195k</c:v>
                </c:pt>
                <c:pt idx="8">
                  <c:v>-165k</c:v>
                </c:pt>
                <c:pt idx="9">
                  <c:v>-135k</c:v>
                </c:pt>
                <c:pt idx="10">
                  <c:v>-105k</c:v>
                </c:pt>
                <c:pt idx="11">
                  <c:v>-75k</c:v>
                </c:pt>
                <c:pt idx="12">
                  <c:v>-45k</c:v>
                </c:pt>
                <c:pt idx="13">
                  <c:v>-15k</c:v>
                </c:pt>
                <c:pt idx="14">
                  <c:v>15k</c:v>
                </c:pt>
                <c:pt idx="15">
                  <c:v>45k</c:v>
                </c:pt>
                <c:pt idx="16">
                  <c:v>75k</c:v>
                </c:pt>
                <c:pt idx="17">
                  <c:v>105k</c:v>
                </c:pt>
                <c:pt idx="18">
                  <c:v>135k</c:v>
                </c:pt>
                <c:pt idx="19">
                  <c:v>165k</c:v>
                </c:pt>
                <c:pt idx="20">
                  <c:v>195k</c:v>
                </c:pt>
                <c:pt idx="21">
                  <c:v>225k</c:v>
                </c:pt>
                <c:pt idx="22">
                  <c:v>255k</c:v>
                </c:pt>
                <c:pt idx="23">
                  <c:v>285k</c:v>
                </c:pt>
                <c:pt idx="24">
                  <c:v>315k</c:v>
                </c:pt>
                <c:pt idx="25">
                  <c:v>345k</c:v>
                </c:pt>
                <c:pt idx="26">
                  <c:v>375k</c:v>
                </c:pt>
                <c:pt idx="27">
                  <c:v>405k</c:v>
                </c:pt>
                <c:pt idx="28">
                  <c:v>435k</c:v>
                </c:pt>
                <c:pt idx="29">
                  <c:v>465k</c:v>
                </c:pt>
                <c:pt idx="30">
                  <c:v>495k</c:v>
                </c:pt>
                <c:pt idx="31">
                  <c:v>525k</c:v>
                </c:pt>
              </c:strCache>
            </c:strRef>
          </c:cat>
          <c:val>
            <c:numRef>
              <c:f>Correlated!$U$7:$U$38</c:f>
              <c:numCache>
                <c:formatCode>0.0%;\(0.0%\);"-"</c:formatCode>
                <c:ptCount val="32"/>
                <c:pt idx="0">
                  <c:v>5.9999999999999995E-4</c:v>
                </c:pt>
                <c:pt idx="1">
                  <c:v>8.0000000000000004E-4</c:v>
                </c:pt>
                <c:pt idx="2">
                  <c:v>2.2000000000000001E-3</c:v>
                </c:pt>
                <c:pt idx="3">
                  <c:v>3.8E-3</c:v>
                </c:pt>
                <c:pt idx="4">
                  <c:v>7.0000000000000001E-3</c:v>
                </c:pt>
                <c:pt idx="5">
                  <c:v>1.2800000000000001E-2</c:v>
                </c:pt>
                <c:pt idx="6">
                  <c:v>2.3E-2</c:v>
                </c:pt>
                <c:pt idx="7">
                  <c:v>3.1600000000000003E-2</c:v>
                </c:pt>
                <c:pt idx="8">
                  <c:v>5.0799999999999998E-2</c:v>
                </c:pt>
                <c:pt idx="9">
                  <c:v>6.4199999999999993E-2</c:v>
                </c:pt>
                <c:pt idx="10">
                  <c:v>8.3199999999999996E-2</c:v>
                </c:pt>
                <c:pt idx="11">
                  <c:v>8.72E-2</c:v>
                </c:pt>
                <c:pt idx="12">
                  <c:v>0.1016</c:v>
                </c:pt>
                <c:pt idx="13">
                  <c:v>9.1399999999999995E-2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3494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79C-034A-9964-08F3DE14A4FD}"/>
            </c:ext>
          </c:extLst>
        </c:ser>
        <c:ser>
          <c:idx val="1"/>
          <c:order val="1"/>
          <c:tx>
            <c:strRef>
              <c:f>Correlated!$V$6</c:f>
              <c:strCache>
                <c:ptCount val="1"/>
                <c:pt idx="0">
                  <c:v>NPV ≥ 0</c:v>
                </c:pt>
              </c:strCache>
            </c:strRef>
          </c:tx>
          <c: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c:spPr>
          <c:invertIfNegative val="1"/>
          <c:cat>
            <c:strRef>
              <c:f>Correlated!$S$7:$S$38</c:f>
              <c:strCache>
                <c:ptCount val="32"/>
                <c:pt idx="0">
                  <c:v>-405k</c:v>
                </c:pt>
                <c:pt idx="1">
                  <c:v>-375k</c:v>
                </c:pt>
                <c:pt idx="2">
                  <c:v>-345k</c:v>
                </c:pt>
                <c:pt idx="3">
                  <c:v>-315k</c:v>
                </c:pt>
                <c:pt idx="4">
                  <c:v>-285k</c:v>
                </c:pt>
                <c:pt idx="5">
                  <c:v>-255k</c:v>
                </c:pt>
                <c:pt idx="6">
                  <c:v>-225k</c:v>
                </c:pt>
                <c:pt idx="7">
                  <c:v>-195k</c:v>
                </c:pt>
                <c:pt idx="8">
                  <c:v>-165k</c:v>
                </c:pt>
                <c:pt idx="9">
                  <c:v>-135k</c:v>
                </c:pt>
                <c:pt idx="10">
                  <c:v>-105k</c:v>
                </c:pt>
                <c:pt idx="11">
                  <c:v>-75k</c:v>
                </c:pt>
                <c:pt idx="12">
                  <c:v>-45k</c:v>
                </c:pt>
                <c:pt idx="13">
                  <c:v>-15k</c:v>
                </c:pt>
                <c:pt idx="14">
                  <c:v>15k</c:v>
                </c:pt>
                <c:pt idx="15">
                  <c:v>45k</c:v>
                </c:pt>
                <c:pt idx="16">
                  <c:v>75k</c:v>
                </c:pt>
                <c:pt idx="17">
                  <c:v>105k</c:v>
                </c:pt>
                <c:pt idx="18">
                  <c:v>135k</c:v>
                </c:pt>
                <c:pt idx="19">
                  <c:v>165k</c:v>
                </c:pt>
                <c:pt idx="20">
                  <c:v>195k</c:v>
                </c:pt>
                <c:pt idx="21">
                  <c:v>225k</c:v>
                </c:pt>
                <c:pt idx="22">
                  <c:v>255k</c:v>
                </c:pt>
                <c:pt idx="23">
                  <c:v>285k</c:v>
                </c:pt>
                <c:pt idx="24">
                  <c:v>315k</c:v>
                </c:pt>
                <c:pt idx="25">
                  <c:v>345k</c:v>
                </c:pt>
                <c:pt idx="26">
                  <c:v>375k</c:v>
                </c:pt>
                <c:pt idx="27">
                  <c:v>405k</c:v>
                </c:pt>
                <c:pt idx="28">
                  <c:v>435k</c:v>
                </c:pt>
                <c:pt idx="29">
                  <c:v>465k</c:v>
                </c:pt>
                <c:pt idx="30">
                  <c:v>495k</c:v>
                </c:pt>
                <c:pt idx="31">
                  <c:v>525k</c:v>
                </c:pt>
              </c:strCache>
            </c:strRef>
          </c:cat>
          <c:val>
            <c:numRef>
              <c:f>Correlated!$V$7:$V$38</c:f>
              <c:numCache>
                <c:formatCode>0.0%;\(0.0%\);"-"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9.3799999999999994E-2</c:v>
                </c:pt>
                <c:pt idx="15">
                  <c:v>8.48E-2</c:v>
                </c:pt>
                <c:pt idx="16">
                  <c:v>6.9599999999999995E-2</c:v>
                </c:pt>
                <c:pt idx="17">
                  <c:v>5.7799999999999997E-2</c:v>
                </c:pt>
                <c:pt idx="18">
                  <c:v>4.7399999999999998E-2</c:v>
                </c:pt>
                <c:pt idx="19">
                  <c:v>3.3000000000000002E-2</c:v>
                </c:pt>
                <c:pt idx="20">
                  <c:v>2.3E-2</c:v>
                </c:pt>
                <c:pt idx="21">
                  <c:v>1.3599999999999999E-2</c:v>
                </c:pt>
                <c:pt idx="22">
                  <c:v>8.6E-3</c:v>
                </c:pt>
                <c:pt idx="23">
                  <c:v>3.5999999999999999E-3</c:v>
                </c:pt>
                <c:pt idx="24">
                  <c:v>2.8E-3</c:v>
                </c:pt>
                <c:pt idx="25">
                  <c:v>1E-3</c:v>
                </c:pt>
                <c:pt idx="26">
                  <c:v>2.0000000000000001E-4</c:v>
                </c:pt>
                <c:pt idx="27">
                  <c:v>2.0000000000000001E-4</c:v>
                </c:pt>
                <c:pt idx="28">
                  <c:v>4.0000000000000002E-4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A78D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79C-034A-9964-08F3DE14A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50</xdr:row>
      <xdr:rowOff>0</xdr:rowOff>
    </xdr:from>
    <xdr:ext cx="86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60</xdr:row>
      <xdr:rowOff>0</xdr:rowOff>
    </xdr:from>
    <xdr:ext cx="86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66</xdr:row>
      <xdr:rowOff>0</xdr:rowOff>
    </xdr:from>
    <xdr:ext cx="86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37"/>
  <sheetViews>
    <sheetView showGridLines="0" tabSelected="1" workbookViewId="0"/>
  </sheetViews>
  <sheetFormatPr baseColWidth="10" defaultColWidth="8.83203125" defaultRowHeight="15" x14ac:dyDescent="0.2"/>
  <cols>
    <col min="1" max="1" width="2" customWidth="1"/>
    <col min="2" max="2" width="30" customWidth="1"/>
    <col min="3" max="7" width="16" customWidth="1"/>
  </cols>
  <sheetData>
    <row r="2" spans="2:7" ht="20" x14ac:dyDescent="0.2">
      <c r="B2" s="1" t="s">
        <v>0</v>
      </c>
    </row>
    <row r="3" spans="2:7" x14ac:dyDescent="0.2">
      <c r="B3" s="2" t="s">
        <v>1</v>
      </c>
    </row>
    <row r="5" spans="2:7" x14ac:dyDescent="0.2">
      <c r="B5" s="3" t="s">
        <v>2</v>
      </c>
      <c r="C5" s="3"/>
      <c r="D5" s="3"/>
      <c r="E5" s="3"/>
      <c r="F5" s="3"/>
      <c r="G5" s="3"/>
    </row>
    <row r="6" spans="2:7" x14ac:dyDescent="0.2">
      <c r="B6" s="4" t="s">
        <v>3</v>
      </c>
    </row>
    <row r="7" spans="2:7" x14ac:dyDescent="0.2">
      <c r="B7" s="4" t="s">
        <v>4</v>
      </c>
    </row>
    <row r="8" spans="2:7" x14ac:dyDescent="0.2">
      <c r="B8" s="4" t="s">
        <v>5</v>
      </c>
    </row>
    <row r="9" spans="2:7" x14ac:dyDescent="0.2">
      <c r="B9" s="4" t="s">
        <v>6</v>
      </c>
    </row>
    <row r="11" spans="2:7" x14ac:dyDescent="0.2">
      <c r="B11" s="3" t="s">
        <v>7</v>
      </c>
      <c r="C11" s="3"/>
      <c r="D11" s="3"/>
      <c r="E11" s="3"/>
      <c r="F11" s="3"/>
      <c r="G11" s="3"/>
    </row>
    <row r="12" spans="2:7" x14ac:dyDescent="0.2">
      <c r="B12" s="5" t="s">
        <v>8</v>
      </c>
      <c r="C12" s="6" t="s">
        <v>9</v>
      </c>
      <c r="D12" s="6" t="s">
        <v>10</v>
      </c>
      <c r="E12" s="6" t="s">
        <v>11</v>
      </c>
      <c r="F12" s="6" t="s">
        <v>12</v>
      </c>
      <c r="G12" s="6" t="s">
        <v>13</v>
      </c>
    </row>
    <row r="13" spans="2:7" x14ac:dyDescent="0.2">
      <c r="B13" s="7" t="str">
        <f>HYPERLINK("#'Independent'!A1","Independent")</f>
        <v>Independent</v>
      </c>
      <c r="C13" s="8">
        <f>Independent!$C$39</f>
        <v>29828.591819812125</v>
      </c>
      <c r="D13" s="8">
        <f>Independent!$C$41</f>
        <v>-294870.05345469934</v>
      </c>
      <c r="E13" s="8">
        <f>Independent!$C$42</f>
        <v>25757.624484793778</v>
      </c>
      <c r="F13" s="8">
        <f>Independent!$C$43</f>
        <v>383728.67812259303</v>
      </c>
      <c r="G13" s="9">
        <f>Independent!$C$46</f>
        <v>0.4496</v>
      </c>
    </row>
    <row r="14" spans="2:7" x14ac:dyDescent="0.2">
      <c r="B14" s="7" t="str">
        <f>HYPERLINK("#'Justified'!A1","Justified")</f>
        <v>Justified</v>
      </c>
      <c r="C14" s="8">
        <f>Justified!$C$49</f>
        <v>-12665.029326236105</v>
      </c>
      <c r="D14" s="8">
        <f>Justified!$C$51</f>
        <v>-255052.87877487202</v>
      </c>
      <c r="E14" s="8">
        <f>Justified!$C$52</f>
        <v>-12156.814264525812</v>
      </c>
      <c r="F14" s="8">
        <f>Justified!$C$53</f>
        <v>227328.51758691375</v>
      </c>
      <c r="G14" s="9">
        <f>Justified!$C$56</f>
        <v>0.53480000000000005</v>
      </c>
    </row>
    <row r="15" spans="2:7" x14ac:dyDescent="0.2">
      <c r="B15" s="7" t="str">
        <f>HYPERLINK("#'Correlated'!A1","Correlated")</f>
        <v>Correlated</v>
      </c>
      <c r="C15" s="8">
        <f>Correlated!$C$54</f>
        <v>-16730.853455609591</v>
      </c>
      <c r="D15" s="8">
        <f>Correlated!$C$56</f>
        <v>-210726.61704519988</v>
      </c>
      <c r="E15" s="8">
        <f>Correlated!$C$57</f>
        <v>-19685.516395598868</v>
      </c>
      <c r="F15" s="8">
        <f>Correlated!$C$58</f>
        <v>182281.05686855584</v>
      </c>
      <c r="G15" s="9">
        <f>Correlated!$C$61</f>
        <v>0.56020000000000003</v>
      </c>
    </row>
    <row r="16" spans="2:7" x14ac:dyDescent="0.2">
      <c r="B16" s="2" t="s">
        <v>14</v>
      </c>
    </row>
    <row r="18" spans="2:7" x14ac:dyDescent="0.2">
      <c r="B18" s="3" t="s">
        <v>15</v>
      </c>
      <c r="C18" s="3"/>
      <c r="D18" s="3"/>
      <c r="E18" s="3"/>
      <c r="F18" s="3"/>
      <c r="G18" s="3"/>
    </row>
    <row r="19" spans="2:7" x14ac:dyDescent="0.2">
      <c r="B19" s="10" t="str">
        <f>HYPERLINK("#'Independent'!A1","Independent")</f>
        <v>Independent</v>
      </c>
      <c r="C19" s="4" t="s">
        <v>16</v>
      </c>
    </row>
    <row r="20" spans="2:7" x14ac:dyDescent="0.2">
      <c r="B20" s="10" t="str">
        <f>HYPERLINK("#'Justified'!A1","Justified")</f>
        <v>Justified</v>
      </c>
      <c r="C20" s="4" t="s">
        <v>17</v>
      </c>
    </row>
    <row r="21" spans="2:7" x14ac:dyDescent="0.2">
      <c r="B21" s="10" t="str">
        <f>HYPERLINK("#'Correlated'!A1","Correlated")</f>
        <v>Correlated</v>
      </c>
      <c r="C21" s="4" t="s">
        <v>18</v>
      </c>
    </row>
    <row r="22" spans="2:7" x14ac:dyDescent="0.2">
      <c r="B22" s="10" t="str">
        <f>HYPERLINK("#'Validation'!A1","Validation")</f>
        <v>Validation</v>
      </c>
      <c r="C22" s="4" t="s">
        <v>19</v>
      </c>
    </row>
    <row r="24" spans="2:7" x14ac:dyDescent="0.2">
      <c r="B24" s="3" t="s">
        <v>20</v>
      </c>
      <c r="C24" s="3"/>
      <c r="D24" s="3"/>
      <c r="E24" s="3"/>
      <c r="F24" s="3"/>
      <c r="G24" s="3"/>
    </row>
    <row r="25" spans="2:7" x14ac:dyDescent="0.2">
      <c r="B25" s="4" t="s">
        <v>21</v>
      </c>
    </row>
    <row r="26" spans="2:7" x14ac:dyDescent="0.2">
      <c r="B26" s="4" t="s">
        <v>22</v>
      </c>
    </row>
    <row r="27" spans="2:7" x14ac:dyDescent="0.2">
      <c r="B27" s="4" t="s">
        <v>23</v>
      </c>
    </row>
    <row r="28" spans="2:7" x14ac:dyDescent="0.2">
      <c r="B28" s="4" t="s">
        <v>24</v>
      </c>
    </row>
    <row r="30" spans="2:7" x14ac:dyDescent="0.2">
      <c r="B30" s="3" t="s">
        <v>25</v>
      </c>
      <c r="C30" s="3"/>
      <c r="D30" s="3"/>
      <c r="E30" s="3"/>
      <c r="F30" s="3"/>
      <c r="G30" s="3"/>
    </row>
    <row r="31" spans="2:7" x14ac:dyDescent="0.2">
      <c r="B31" s="11" t="s">
        <v>26</v>
      </c>
      <c r="C31" s="4" t="s">
        <v>27</v>
      </c>
    </row>
    <row r="32" spans="2:7" x14ac:dyDescent="0.2">
      <c r="B32" s="12" t="s">
        <v>26</v>
      </c>
      <c r="C32" s="4" t="s">
        <v>28</v>
      </c>
    </row>
    <row r="33" spans="2:3" x14ac:dyDescent="0.2">
      <c r="B33" s="13" t="s">
        <v>26</v>
      </c>
      <c r="C33" s="4" t="s">
        <v>29</v>
      </c>
    </row>
    <row r="34" spans="2:3" x14ac:dyDescent="0.2">
      <c r="B34" s="14" t="s">
        <v>30</v>
      </c>
      <c r="C34" s="4" t="s">
        <v>31</v>
      </c>
    </row>
    <row r="35" spans="2:3" x14ac:dyDescent="0.2">
      <c r="B35" s="15" t="s">
        <v>26</v>
      </c>
      <c r="C35" s="4" t="s">
        <v>32</v>
      </c>
    </row>
    <row r="37" spans="2:3" x14ac:dyDescent="0.2">
      <c r="B37" s="2" t="s">
        <v>33</v>
      </c>
    </row>
  </sheetData>
  <pageMargins left="0.75" right="0.75" top="1" bottom="1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V5006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" customWidth="1"/>
    <col min="2" max="2" width="46" customWidth="1"/>
    <col min="3" max="3" width="15" customWidth="1"/>
    <col min="4" max="8" width="13" customWidth="1"/>
    <col min="9" max="10" width="14" customWidth="1"/>
    <col min="11" max="11" width="3" customWidth="1"/>
    <col min="12" max="12" width="10" customWidth="1"/>
    <col min="13" max="13" width="14" customWidth="1"/>
    <col min="14" max="14" width="12" customWidth="1"/>
    <col min="15" max="15" width="13" customWidth="1"/>
    <col min="16" max="16" width="3" customWidth="1"/>
    <col min="17" max="18" width="13" customWidth="1"/>
    <col min="19" max="19" width="11" customWidth="1"/>
    <col min="20" max="20" width="10" customWidth="1"/>
    <col min="21" max="22" width="11" customWidth="1"/>
  </cols>
  <sheetData>
    <row r="1" spans="2:22" ht="18" x14ac:dyDescent="0.2">
      <c r="B1" s="16" t="s">
        <v>34</v>
      </c>
    </row>
    <row r="2" spans="2:22" x14ac:dyDescent="0.2">
      <c r="B2" s="2" t="s">
        <v>35</v>
      </c>
    </row>
    <row r="3" spans="2:22" x14ac:dyDescent="0.2">
      <c r="B3" s="2" t="s">
        <v>36</v>
      </c>
    </row>
    <row r="4" spans="2:22" x14ac:dyDescent="0.2">
      <c r="L4" s="3" t="s">
        <v>37</v>
      </c>
      <c r="M4" s="3"/>
      <c r="N4" s="3"/>
      <c r="O4" s="3"/>
      <c r="Q4" s="3" t="s">
        <v>38</v>
      </c>
      <c r="R4" s="3"/>
      <c r="S4" s="3"/>
      <c r="T4" s="3"/>
      <c r="U4" s="3"/>
      <c r="V4" s="3"/>
    </row>
    <row r="5" spans="2:22" x14ac:dyDescent="0.2">
      <c r="B5" s="3" t="s">
        <v>39</v>
      </c>
      <c r="C5" s="3"/>
      <c r="D5" s="3"/>
      <c r="E5" s="3"/>
      <c r="F5" s="3"/>
      <c r="G5" s="3"/>
      <c r="H5" s="3"/>
      <c r="I5" s="3"/>
      <c r="J5" s="3"/>
      <c r="L5" s="5" t="s">
        <v>40</v>
      </c>
      <c r="M5" s="6" t="s">
        <v>41</v>
      </c>
      <c r="Q5" s="4" t="s">
        <v>42</v>
      </c>
      <c r="R5" s="17">
        <f>ROUNDUP((MAX($M$7:$M$5006)-MIN($M$7:$M$5006))/30/10000,0)*10000</f>
        <v>60000</v>
      </c>
    </row>
    <row r="6" spans="2:22" x14ac:dyDescent="0.2">
      <c r="B6" s="4" t="s">
        <v>43</v>
      </c>
      <c r="C6" s="18">
        <v>1</v>
      </c>
      <c r="D6" s="2" t="s">
        <v>44</v>
      </c>
      <c r="M6" s="19">
        <f ca="1">$C$30</f>
        <v>264992.63996622834</v>
      </c>
      <c r="Q6" s="5" t="s">
        <v>45</v>
      </c>
      <c r="R6" s="6" t="s">
        <v>46</v>
      </c>
      <c r="S6" s="6" t="s">
        <v>47</v>
      </c>
      <c r="T6" s="6" t="s">
        <v>48</v>
      </c>
      <c r="U6" s="6" t="s">
        <v>49</v>
      </c>
      <c r="V6" s="6" t="s">
        <v>50</v>
      </c>
    </row>
    <row r="7" spans="2:22" x14ac:dyDescent="0.2">
      <c r="B7" s="4" t="s">
        <v>51</v>
      </c>
      <c r="C7" s="20">
        <v>800000</v>
      </c>
      <c r="L7" s="4">
        <v>1</v>
      </c>
      <c r="M7" s="21">
        <f t="dataTable" ref="M7:M5006" dt2D="0" dtr="0" r1="Z1" ca="1"/>
        <v>-180016.76056826126</v>
      </c>
      <c r="Q7" s="17">
        <f>INT(MIN($M$7:$M$5006)/$R$5)*$R$5</f>
        <v>-660000</v>
      </c>
      <c r="R7" s="17">
        <f t="shared" ref="R7:R38" si="0">Q7+$R$5</f>
        <v>-600000</v>
      </c>
      <c r="S7" s="12" t="str">
        <f t="shared" ref="S7:S38" si="1">TEXT((Q7+R7)/2000,"#,##0")&amp;"k"</f>
        <v>-630k</v>
      </c>
      <c r="T7" s="22">
        <f t="shared" ref="T7:T38" si="2">COUNTIFS($M$7:$M$5006,"&gt;="&amp;Q7,$M$7:$M$5006,"&lt;"&amp;R7)</f>
        <v>1</v>
      </c>
      <c r="U7" s="23">
        <f t="shared" ref="U7:U38" si="3">IF(R7&lt;=0,T7/COUNT($M$7:$M$5006),0)</f>
        <v>2.0000000000000001E-4</v>
      </c>
      <c r="V7" s="23">
        <f t="shared" ref="V7:V38" si="4">IF(Q7&gt;=0,T7/COUNT($M$7:$M$5006),0)</f>
        <v>0</v>
      </c>
    </row>
    <row r="8" spans="2:22" x14ac:dyDescent="0.2">
      <c r="B8" s="4" t="s">
        <v>52</v>
      </c>
      <c r="C8" s="24">
        <v>15000</v>
      </c>
      <c r="L8" s="4">
        <v>2</v>
      </c>
      <c r="M8" s="21">
        <v>98600.559182906232</v>
      </c>
      <c r="Q8" s="17">
        <f t="shared" ref="Q8:Q38" si="5">R7</f>
        <v>-600000</v>
      </c>
      <c r="R8" s="17">
        <f t="shared" si="0"/>
        <v>-540000</v>
      </c>
      <c r="S8" s="12" t="str">
        <f t="shared" si="1"/>
        <v>-570k</v>
      </c>
      <c r="T8" s="22">
        <f t="shared" si="2"/>
        <v>5</v>
      </c>
      <c r="U8" s="23">
        <f t="shared" si="3"/>
        <v>1E-3</v>
      </c>
      <c r="V8" s="23">
        <f t="shared" si="4"/>
        <v>0</v>
      </c>
    </row>
    <row r="9" spans="2:22" x14ac:dyDescent="0.2">
      <c r="B9" s="4" t="s">
        <v>53</v>
      </c>
      <c r="C9" s="25">
        <v>50</v>
      </c>
      <c r="L9" s="4">
        <v>3</v>
      </c>
      <c r="M9" s="21">
        <v>-14857.307226818084</v>
      </c>
      <c r="Q9" s="17">
        <f t="shared" si="5"/>
        <v>-540000</v>
      </c>
      <c r="R9" s="17">
        <f t="shared" si="0"/>
        <v>-480000</v>
      </c>
      <c r="S9" s="12" t="str">
        <f t="shared" si="1"/>
        <v>-510k</v>
      </c>
      <c r="T9" s="22">
        <f t="shared" si="2"/>
        <v>4</v>
      </c>
      <c r="U9" s="23">
        <f t="shared" si="3"/>
        <v>8.0000000000000004E-4</v>
      </c>
      <c r="V9" s="23">
        <f t="shared" si="4"/>
        <v>0</v>
      </c>
    </row>
    <row r="10" spans="2:22" x14ac:dyDescent="0.2">
      <c r="B10" s="4" t="s">
        <v>54</v>
      </c>
      <c r="C10" s="25">
        <v>30</v>
      </c>
      <c r="L10" s="4">
        <v>4</v>
      </c>
      <c r="M10" s="21">
        <v>263833.98413186107</v>
      </c>
      <c r="Q10" s="17">
        <f t="shared" si="5"/>
        <v>-480000</v>
      </c>
      <c r="R10" s="17">
        <f t="shared" si="0"/>
        <v>-420000</v>
      </c>
      <c r="S10" s="12" t="str">
        <f t="shared" si="1"/>
        <v>-450k</v>
      </c>
      <c r="T10" s="22">
        <f t="shared" si="2"/>
        <v>31</v>
      </c>
      <c r="U10" s="23">
        <f t="shared" si="3"/>
        <v>6.1999999999999998E-3</v>
      </c>
      <c r="V10" s="23">
        <f t="shared" si="4"/>
        <v>0</v>
      </c>
    </row>
    <row r="11" spans="2:22" x14ac:dyDescent="0.2">
      <c r="B11" s="4" t="s">
        <v>55</v>
      </c>
      <c r="C11" s="20">
        <v>80000</v>
      </c>
      <c r="L11" s="4">
        <v>5</v>
      </c>
      <c r="M11" s="21">
        <v>170730.78180508147</v>
      </c>
      <c r="Q11" s="17">
        <f t="shared" si="5"/>
        <v>-420000</v>
      </c>
      <c r="R11" s="17">
        <f t="shared" si="0"/>
        <v>-360000</v>
      </c>
      <c r="S11" s="12" t="str">
        <f t="shared" si="1"/>
        <v>-390k</v>
      </c>
      <c r="T11" s="22">
        <f t="shared" si="2"/>
        <v>62</v>
      </c>
      <c r="U11" s="23">
        <f t="shared" si="3"/>
        <v>1.24E-2</v>
      </c>
      <c r="V11" s="23">
        <f t="shared" si="4"/>
        <v>0</v>
      </c>
    </row>
    <row r="12" spans="2:22" x14ac:dyDescent="0.2">
      <c r="B12" s="4" t="s">
        <v>56</v>
      </c>
      <c r="C12" s="26">
        <v>0.1</v>
      </c>
      <c r="L12" s="4">
        <v>6</v>
      </c>
      <c r="M12" s="21">
        <v>-64816.155961123513</v>
      </c>
      <c r="Q12" s="17">
        <f t="shared" si="5"/>
        <v>-360000</v>
      </c>
      <c r="R12" s="17">
        <f t="shared" si="0"/>
        <v>-300000</v>
      </c>
      <c r="S12" s="12" t="str">
        <f t="shared" si="1"/>
        <v>-330k</v>
      </c>
      <c r="T12" s="22">
        <f t="shared" si="2"/>
        <v>135</v>
      </c>
      <c r="U12" s="23">
        <f t="shared" si="3"/>
        <v>2.7E-2</v>
      </c>
      <c r="V12" s="23">
        <f t="shared" si="4"/>
        <v>0</v>
      </c>
    </row>
    <row r="13" spans="2:22" x14ac:dyDescent="0.2">
      <c r="L13" s="4">
        <v>7</v>
      </c>
      <c r="M13" s="21">
        <v>-49083.232781119965</v>
      </c>
      <c r="Q13" s="17">
        <f t="shared" si="5"/>
        <v>-300000</v>
      </c>
      <c r="R13" s="17">
        <f t="shared" si="0"/>
        <v>-240000</v>
      </c>
      <c r="S13" s="12" t="str">
        <f t="shared" si="1"/>
        <v>-270k</v>
      </c>
      <c r="T13" s="22">
        <f t="shared" si="2"/>
        <v>226</v>
      </c>
      <c r="U13" s="23">
        <f t="shared" si="3"/>
        <v>4.5199999999999997E-2</v>
      </c>
      <c r="V13" s="23">
        <f t="shared" si="4"/>
        <v>0</v>
      </c>
    </row>
    <row r="14" spans="2:22" x14ac:dyDescent="0.2">
      <c r="B14" s="3" t="s">
        <v>57</v>
      </c>
      <c r="C14" s="3"/>
      <c r="D14" s="3"/>
      <c r="E14" s="3"/>
      <c r="F14" s="3"/>
      <c r="G14" s="3"/>
      <c r="H14" s="3"/>
      <c r="I14" s="3"/>
      <c r="J14" s="3"/>
      <c r="L14" s="4">
        <v>8</v>
      </c>
      <c r="M14" s="21">
        <v>50663.79318290361</v>
      </c>
      <c r="Q14" s="17">
        <f t="shared" si="5"/>
        <v>-240000</v>
      </c>
      <c r="R14" s="17">
        <f t="shared" si="0"/>
        <v>-180000</v>
      </c>
      <c r="S14" s="12" t="str">
        <f t="shared" si="1"/>
        <v>-210k</v>
      </c>
      <c r="T14" s="22">
        <f t="shared" si="2"/>
        <v>335</v>
      </c>
      <c r="U14" s="23">
        <f t="shared" si="3"/>
        <v>6.7000000000000004E-2</v>
      </c>
      <c r="V14" s="23">
        <f t="shared" si="4"/>
        <v>0</v>
      </c>
    </row>
    <row r="15" spans="2:22" x14ac:dyDescent="0.2">
      <c r="B15" s="5" t="s">
        <v>58</v>
      </c>
      <c r="C15" s="6" t="s">
        <v>59</v>
      </c>
      <c r="D15" s="6" t="s">
        <v>60</v>
      </c>
      <c r="E15" s="6" t="s">
        <v>61</v>
      </c>
      <c r="F15" s="6" t="s">
        <v>62</v>
      </c>
      <c r="G15" s="6" t="s">
        <v>63</v>
      </c>
      <c r="H15" s="6" t="s">
        <v>64</v>
      </c>
      <c r="I15" s="6" t="s">
        <v>65</v>
      </c>
      <c r="J15" s="6" t="s">
        <v>66</v>
      </c>
      <c r="L15" s="4">
        <v>9</v>
      </c>
      <c r="M15" s="21">
        <v>-111737.95206712624</v>
      </c>
      <c r="Q15" s="17">
        <f t="shared" si="5"/>
        <v>-180000</v>
      </c>
      <c r="R15" s="17">
        <f t="shared" si="0"/>
        <v>-120000</v>
      </c>
      <c r="S15" s="12" t="str">
        <f t="shared" si="1"/>
        <v>-150k</v>
      </c>
      <c r="T15" s="22">
        <f t="shared" si="2"/>
        <v>379</v>
      </c>
      <c r="U15" s="23">
        <f t="shared" si="3"/>
        <v>7.5800000000000006E-2</v>
      </c>
      <c r="V15" s="23">
        <f t="shared" si="4"/>
        <v>0</v>
      </c>
    </row>
    <row r="16" spans="2:22" x14ac:dyDescent="0.2">
      <c r="B16" s="4" t="s">
        <v>53</v>
      </c>
      <c r="C16" s="4" t="s">
        <v>67</v>
      </c>
      <c r="D16" s="25">
        <v>50</v>
      </c>
      <c r="E16" s="25">
        <v>2.5</v>
      </c>
      <c r="I16" s="27">
        <f ca="1">_xlfn.NORM.INV(RAND(),D16,E16)</f>
        <v>54.297560437499257</v>
      </c>
      <c r="J16" s="28">
        <f ca="1">IF($C$6=1,I16,$C$9)</f>
        <v>54.297560437499257</v>
      </c>
      <c r="L16" s="4">
        <v>10</v>
      </c>
      <c r="M16" s="21">
        <v>-109215.93742823847</v>
      </c>
      <c r="Q16" s="17">
        <f t="shared" si="5"/>
        <v>-120000</v>
      </c>
      <c r="R16" s="17">
        <f t="shared" si="0"/>
        <v>-60000</v>
      </c>
      <c r="S16" s="12" t="str">
        <f t="shared" si="1"/>
        <v>-90k</v>
      </c>
      <c r="T16" s="22">
        <f t="shared" si="2"/>
        <v>480</v>
      </c>
      <c r="U16" s="23">
        <f t="shared" si="3"/>
        <v>9.6000000000000002E-2</v>
      </c>
      <c r="V16" s="23">
        <f t="shared" si="4"/>
        <v>0</v>
      </c>
    </row>
    <row r="17" spans="2:22" x14ac:dyDescent="0.2">
      <c r="B17" s="4" t="s">
        <v>52</v>
      </c>
      <c r="C17" s="4" t="s">
        <v>67</v>
      </c>
      <c r="D17" s="24">
        <v>15000</v>
      </c>
      <c r="E17" s="24">
        <v>1500</v>
      </c>
      <c r="I17" s="22">
        <f ca="1">_xlfn.NORM.INV(RAND(),D17,E17)</f>
        <v>14004.732807904598</v>
      </c>
      <c r="J17" s="29">
        <f ca="1">IF($C$6=1,I17,$C$8)</f>
        <v>14004.732807904598</v>
      </c>
      <c r="L17" s="4">
        <v>11</v>
      </c>
      <c r="M17" s="21">
        <v>124782.57464871262</v>
      </c>
      <c r="Q17" s="17">
        <f t="shared" si="5"/>
        <v>-60000</v>
      </c>
      <c r="R17" s="17">
        <f t="shared" si="0"/>
        <v>0</v>
      </c>
      <c r="S17" s="12" t="str">
        <f t="shared" si="1"/>
        <v>-30k</v>
      </c>
      <c r="T17" s="22">
        <f t="shared" si="2"/>
        <v>590</v>
      </c>
      <c r="U17" s="23">
        <f t="shared" si="3"/>
        <v>0.11799999999999999</v>
      </c>
      <c r="V17" s="23">
        <f t="shared" si="4"/>
        <v>0</v>
      </c>
    </row>
    <row r="18" spans="2:22" x14ac:dyDescent="0.2">
      <c r="B18" s="4" t="s">
        <v>54</v>
      </c>
      <c r="C18" s="4" t="s">
        <v>67</v>
      </c>
      <c r="D18" s="25">
        <v>30</v>
      </c>
      <c r="E18" s="25">
        <v>1.5</v>
      </c>
      <c r="I18" s="27">
        <f ca="1">_xlfn.NORM.INV(RAND(),D18,E18)</f>
        <v>28.524674910949834</v>
      </c>
      <c r="J18" s="28">
        <f ca="1">IF($C$6=1,I18,$C$10)</f>
        <v>28.524674910949834</v>
      </c>
      <c r="L18" s="4">
        <v>12</v>
      </c>
      <c r="M18" s="21">
        <v>421758.08789614006</v>
      </c>
      <c r="Q18" s="17">
        <f t="shared" si="5"/>
        <v>0</v>
      </c>
      <c r="R18" s="17">
        <f t="shared" si="0"/>
        <v>60000</v>
      </c>
      <c r="S18" s="12" t="str">
        <f t="shared" si="1"/>
        <v>30k</v>
      </c>
      <c r="T18" s="22">
        <f t="shared" si="2"/>
        <v>636</v>
      </c>
      <c r="U18" s="23">
        <f t="shared" si="3"/>
        <v>0</v>
      </c>
      <c r="V18" s="23">
        <f t="shared" si="4"/>
        <v>0.12720000000000001</v>
      </c>
    </row>
    <row r="19" spans="2:22" x14ac:dyDescent="0.2">
      <c r="L19" s="4">
        <v>13</v>
      </c>
      <c r="M19" s="21">
        <v>-98507.779705623194</v>
      </c>
      <c r="Q19" s="17">
        <f t="shared" si="5"/>
        <v>60000</v>
      </c>
      <c r="R19" s="17">
        <f t="shared" si="0"/>
        <v>120000</v>
      </c>
      <c r="S19" s="12" t="str">
        <f t="shared" si="1"/>
        <v>90k</v>
      </c>
      <c r="T19" s="22">
        <f t="shared" si="2"/>
        <v>532</v>
      </c>
      <c r="U19" s="23">
        <f t="shared" si="3"/>
        <v>0</v>
      </c>
      <c r="V19" s="23">
        <f t="shared" si="4"/>
        <v>0.10639999999999999</v>
      </c>
    </row>
    <row r="20" spans="2:22" x14ac:dyDescent="0.2">
      <c r="B20" s="3" t="s">
        <v>68</v>
      </c>
      <c r="C20" s="3"/>
      <c r="D20" s="3"/>
      <c r="E20" s="3"/>
      <c r="F20" s="3"/>
      <c r="G20" s="3"/>
      <c r="H20" s="3"/>
      <c r="I20" s="3"/>
      <c r="J20" s="3"/>
      <c r="L20" s="4">
        <v>14</v>
      </c>
      <c r="M20" s="21">
        <v>-44226.845322123074</v>
      </c>
      <c r="Q20" s="17">
        <f t="shared" si="5"/>
        <v>120000</v>
      </c>
      <c r="R20" s="17">
        <f t="shared" si="0"/>
        <v>180000</v>
      </c>
      <c r="S20" s="12" t="str">
        <f t="shared" si="1"/>
        <v>150k</v>
      </c>
      <c r="T20" s="22">
        <f t="shared" si="2"/>
        <v>490</v>
      </c>
      <c r="U20" s="23">
        <f t="shared" si="3"/>
        <v>0</v>
      </c>
      <c r="V20" s="23">
        <f t="shared" si="4"/>
        <v>9.8000000000000004E-2</v>
      </c>
    </row>
    <row r="21" spans="2:22" x14ac:dyDescent="0.2">
      <c r="B21" s="5" t="s">
        <v>69</v>
      </c>
      <c r="C21" s="6" t="s">
        <v>70</v>
      </c>
      <c r="D21" s="6" t="s">
        <v>71</v>
      </c>
      <c r="E21" s="6" t="s">
        <v>72</v>
      </c>
      <c r="F21" s="6" t="s">
        <v>73</v>
      </c>
      <c r="G21" s="6" t="s">
        <v>74</v>
      </c>
      <c r="H21" s="6" t="s">
        <v>75</v>
      </c>
      <c r="L21" s="4">
        <v>15</v>
      </c>
      <c r="M21" s="21">
        <v>-45727.6136578773</v>
      </c>
      <c r="Q21" s="17">
        <f t="shared" si="5"/>
        <v>180000</v>
      </c>
      <c r="R21" s="17">
        <f t="shared" si="0"/>
        <v>240000</v>
      </c>
      <c r="S21" s="12" t="str">
        <f t="shared" si="1"/>
        <v>210k</v>
      </c>
      <c r="T21" s="22">
        <f t="shared" si="2"/>
        <v>336</v>
      </c>
      <c r="U21" s="23">
        <f t="shared" si="3"/>
        <v>0</v>
      </c>
      <c r="V21" s="23">
        <f t="shared" si="4"/>
        <v>6.7199999999999996E-2</v>
      </c>
    </row>
    <row r="22" spans="2:22" x14ac:dyDescent="0.2">
      <c r="B22" s="4" t="s">
        <v>76</v>
      </c>
      <c r="C22" s="17">
        <f>-$C$7</f>
        <v>-800000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L22" s="4">
        <v>16</v>
      </c>
      <c r="M22" s="21">
        <v>154355.70502603948</v>
      </c>
      <c r="Q22" s="17">
        <f t="shared" si="5"/>
        <v>240000</v>
      </c>
      <c r="R22" s="17">
        <f t="shared" si="0"/>
        <v>300000</v>
      </c>
      <c r="S22" s="12" t="str">
        <f t="shared" si="1"/>
        <v>270k</v>
      </c>
      <c r="T22" s="22">
        <f t="shared" si="2"/>
        <v>284</v>
      </c>
      <c r="U22" s="23">
        <f t="shared" si="3"/>
        <v>0</v>
      </c>
      <c r="V22" s="23">
        <f t="shared" si="4"/>
        <v>5.6800000000000003E-2</v>
      </c>
    </row>
    <row r="23" spans="2:22" x14ac:dyDescent="0.2">
      <c r="B23" s="4" t="s">
        <v>77</v>
      </c>
      <c r="C23" s="17">
        <v>0</v>
      </c>
      <c r="D23" s="17">
        <f ca="1">$J$17*$J$16</f>
        <v>760422.82604822866</v>
      </c>
      <c r="E23" s="17">
        <f ca="1">$J$17*$J$16</f>
        <v>760422.82604822866</v>
      </c>
      <c r="F23" s="17">
        <f ca="1">$J$17*$J$16</f>
        <v>760422.82604822866</v>
      </c>
      <c r="G23" s="17">
        <f ca="1">$J$17*$J$16</f>
        <v>760422.82604822866</v>
      </c>
      <c r="H23" s="17">
        <f ca="1">$J$17*$J$16</f>
        <v>760422.82604822866</v>
      </c>
      <c r="L23" s="4">
        <v>17</v>
      </c>
      <c r="M23" s="21">
        <v>394861.47991657554</v>
      </c>
      <c r="Q23" s="17">
        <f t="shared" si="5"/>
        <v>300000</v>
      </c>
      <c r="R23" s="17">
        <f t="shared" si="0"/>
        <v>360000</v>
      </c>
      <c r="S23" s="12" t="str">
        <f t="shared" si="1"/>
        <v>330k</v>
      </c>
      <c r="T23" s="22">
        <f t="shared" si="2"/>
        <v>179</v>
      </c>
      <c r="U23" s="23">
        <f t="shared" si="3"/>
        <v>0</v>
      </c>
      <c r="V23" s="23">
        <f t="shared" si="4"/>
        <v>3.5799999999999998E-2</v>
      </c>
    </row>
    <row r="24" spans="2:22" x14ac:dyDescent="0.2">
      <c r="B24" s="4" t="s">
        <v>78</v>
      </c>
      <c r="C24" s="17">
        <v>0</v>
      </c>
      <c r="D24" s="17">
        <f ca="1">-$J$17*$J$18</f>
        <v>-399480.45056019229</v>
      </c>
      <c r="E24" s="17">
        <f ca="1">-$J$17*$J$18</f>
        <v>-399480.45056019229</v>
      </c>
      <c r="F24" s="17">
        <f ca="1">-$J$17*$J$18</f>
        <v>-399480.45056019229</v>
      </c>
      <c r="G24" s="17">
        <f ca="1">-$J$17*$J$18</f>
        <v>-399480.45056019229</v>
      </c>
      <c r="H24" s="17">
        <f ca="1">-$J$17*$J$18</f>
        <v>-399480.45056019229</v>
      </c>
      <c r="L24" s="4">
        <v>18</v>
      </c>
      <c r="M24" s="21">
        <v>30647.352679183328</v>
      </c>
      <c r="Q24" s="17">
        <f t="shared" si="5"/>
        <v>360000</v>
      </c>
      <c r="R24" s="17">
        <f t="shared" si="0"/>
        <v>420000</v>
      </c>
      <c r="S24" s="12" t="str">
        <f t="shared" si="1"/>
        <v>390k</v>
      </c>
      <c r="T24" s="22">
        <f t="shared" si="2"/>
        <v>122</v>
      </c>
      <c r="U24" s="23">
        <f t="shared" si="3"/>
        <v>0</v>
      </c>
      <c r="V24" s="23">
        <f t="shared" si="4"/>
        <v>2.4400000000000002E-2</v>
      </c>
    </row>
    <row r="25" spans="2:22" x14ac:dyDescent="0.2">
      <c r="B25" s="4" t="s">
        <v>79</v>
      </c>
      <c r="C25" s="17">
        <v>0</v>
      </c>
      <c r="D25" s="17">
        <f>-$C$11</f>
        <v>-80000</v>
      </c>
      <c r="E25" s="17">
        <f>-$C$11</f>
        <v>-80000</v>
      </c>
      <c r="F25" s="17">
        <f>-$C$11</f>
        <v>-80000</v>
      </c>
      <c r="G25" s="17">
        <f>-$C$11</f>
        <v>-80000</v>
      </c>
      <c r="H25" s="17">
        <f>-$C$11</f>
        <v>-80000</v>
      </c>
      <c r="L25" s="4">
        <v>19</v>
      </c>
      <c r="M25" s="21">
        <v>-219729.10127441309</v>
      </c>
      <c r="Q25" s="17">
        <f t="shared" si="5"/>
        <v>420000</v>
      </c>
      <c r="R25" s="17">
        <f t="shared" si="0"/>
        <v>480000</v>
      </c>
      <c r="S25" s="12" t="str">
        <f t="shared" si="1"/>
        <v>450k</v>
      </c>
      <c r="T25" s="22">
        <f t="shared" si="2"/>
        <v>83</v>
      </c>
      <c r="U25" s="23">
        <f t="shared" si="3"/>
        <v>0</v>
      </c>
      <c r="V25" s="23">
        <f t="shared" si="4"/>
        <v>1.66E-2</v>
      </c>
    </row>
    <row r="26" spans="2:22" x14ac:dyDescent="0.2">
      <c r="B26" s="30" t="s">
        <v>80</v>
      </c>
      <c r="C26" s="31">
        <f t="shared" ref="C26:H26" si="6">SUM(C22:C25)</f>
        <v>-800000</v>
      </c>
      <c r="D26" s="31">
        <f t="shared" ca="1" si="6"/>
        <v>280942.37548803637</v>
      </c>
      <c r="E26" s="31">
        <f t="shared" ca="1" si="6"/>
        <v>280942.37548803637</v>
      </c>
      <c r="F26" s="31">
        <f t="shared" ca="1" si="6"/>
        <v>280942.37548803637</v>
      </c>
      <c r="G26" s="31">
        <f t="shared" ca="1" si="6"/>
        <v>280942.37548803637</v>
      </c>
      <c r="H26" s="31">
        <f t="shared" ca="1" si="6"/>
        <v>280942.37548803637</v>
      </c>
      <c r="L26" s="4">
        <v>20</v>
      </c>
      <c r="M26" s="21">
        <v>-7171.2757227668626</v>
      </c>
      <c r="Q26" s="17">
        <f t="shared" si="5"/>
        <v>480000</v>
      </c>
      <c r="R26" s="17">
        <f t="shared" si="0"/>
        <v>540000</v>
      </c>
      <c r="S26" s="12" t="str">
        <f t="shared" si="1"/>
        <v>510k</v>
      </c>
      <c r="T26" s="22">
        <f t="shared" si="2"/>
        <v>43</v>
      </c>
      <c r="U26" s="23">
        <f t="shared" si="3"/>
        <v>0</v>
      </c>
      <c r="V26" s="23">
        <f t="shared" si="4"/>
        <v>8.6E-3</v>
      </c>
    </row>
    <row r="27" spans="2:22" x14ac:dyDescent="0.2">
      <c r="B27" s="4" t="s">
        <v>81</v>
      </c>
      <c r="C27" s="32">
        <f>1/(1+$C$12)^0</f>
        <v>1</v>
      </c>
      <c r="D27" s="32">
        <f>1/(1+$C$12)^1</f>
        <v>0.90909090909090906</v>
      </c>
      <c r="E27" s="32">
        <f>1/(1+$C$12)^2</f>
        <v>0.82644628099173545</v>
      </c>
      <c r="F27" s="32">
        <f>1/(1+$C$12)^3</f>
        <v>0.75131480090157754</v>
      </c>
      <c r="G27" s="32">
        <f>1/(1+$C$12)^4</f>
        <v>0.68301345536507052</v>
      </c>
      <c r="H27" s="32">
        <f>1/(1+$C$12)^5</f>
        <v>0.62092132305915493</v>
      </c>
      <c r="L27" s="4">
        <v>21</v>
      </c>
      <c r="M27" s="21">
        <v>79262.440810110827</v>
      </c>
      <c r="Q27" s="17">
        <f t="shared" si="5"/>
        <v>540000</v>
      </c>
      <c r="R27" s="17">
        <f t="shared" si="0"/>
        <v>600000</v>
      </c>
      <c r="S27" s="12" t="str">
        <f t="shared" si="1"/>
        <v>570k</v>
      </c>
      <c r="T27" s="22">
        <f t="shared" si="2"/>
        <v>17</v>
      </c>
      <c r="U27" s="23">
        <f t="shared" si="3"/>
        <v>0</v>
      </c>
      <c r="V27" s="23">
        <f t="shared" si="4"/>
        <v>3.3999999999999998E-3</v>
      </c>
    </row>
    <row r="28" spans="2:22" x14ac:dyDescent="0.2">
      <c r="B28" s="4" t="s">
        <v>82</v>
      </c>
      <c r="C28" s="17">
        <f t="shared" ref="C28:H28" si="7">C26*C27</f>
        <v>-800000</v>
      </c>
      <c r="D28" s="17">
        <f t="shared" ca="1" si="7"/>
        <v>255402.1595345785</v>
      </c>
      <c r="E28" s="17">
        <f t="shared" ca="1" si="7"/>
        <v>232183.78139507136</v>
      </c>
      <c r="F28" s="17">
        <f t="shared" ca="1" si="7"/>
        <v>211076.16490461028</v>
      </c>
      <c r="G28" s="17">
        <f t="shared" ca="1" si="7"/>
        <v>191887.42264055481</v>
      </c>
      <c r="H28" s="17">
        <f t="shared" ca="1" si="7"/>
        <v>174443.11149141344</v>
      </c>
      <c r="L28" s="4">
        <v>22</v>
      </c>
      <c r="M28" s="21">
        <v>-154201.91260260314</v>
      </c>
      <c r="Q28" s="17">
        <f t="shared" si="5"/>
        <v>600000</v>
      </c>
      <c r="R28" s="17">
        <f t="shared" si="0"/>
        <v>660000</v>
      </c>
      <c r="S28" s="12" t="str">
        <f t="shared" si="1"/>
        <v>630k</v>
      </c>
      <c r="T28" s="22">
        <f t="shared" si="2"/>
        <v>10</v>
      </c>
      <c r="U28" s="23">
        <f t="shared" si="3"/>
        <v>0</v>
      </c>
      <c r="V28" s="23">
        <f t="shared" si="4"/>
        <v>2E-3</v>
      </c>
    </row>
    <row r="29" spans="2:22" x14ac:dyDescent="0.2">
      <c r="L29" s="4">
        <v>23</v>
      </c>
      <c r="M29" s="21">
        <v>-88290.044936231148</v>
      </c>
      <c r="Q29" s="17">
        <f t="shared" si="5"/>
        <v>660000</v>
      </c>
      <c r="R29" s="17">
        <f t="shared" si="0"/>
        <v>720000</v>
      </c>
      <c r="S29" s="12" t="str">
        <f t="shared" si="1"/>
        <v>690k</v>
      </c>
      <c r="T29" s="22">
        <f t="shared" si="2"/>
        <v>10</v>
      </c>
      <c r="U29" s="23">
        <f t="shared" si="3"/>
        <v>0</v>
      </c>
      <c r="V29" s="23">
        <f t="shared" si="4"/>
        <v>2E-3</v>
      </c>
    </row>
    <row r="30" spans="2:22" x14ac:dyDescent="0.2">
      <c r="B30" s="30" t="s">
        <v>83</v>
      </c>
      <c r="C30" s="33">
        <f ca="1">SUM(C28:H28)</f>
        <v>264992.63996622834</v>
      </c>
      <c r="L30" s="4">
        <v>24</v>
      </c>
      <c r="M30" s="21">
        <v>233452.7979482738</v>
      </c>
      <c r="Q30" s="17">
        <f t="shared" si="5"/>
        <v>720000</v>
      </c>
      <c r="R30" s="17">
        <f t="shared" si="0"/>
        <v>780000</v>
      </c>
      <c r="S30" s="12" t="str">
        <f t="shared" si="1"/>
        <v>750k</v>
      </c>
      <c r="T30" s="22">
        <f t="shared" si="2"/>
        <v>4</v>
      </c>
      <c r="U30" s="23">
        <f t="shared" si="3"/>
        <v>0</v>
      </c>
      <c r="V30" s="23">
        <f t="shared" si="4"/>
        <v>8.0000000000000004E-4</v>
      </c>
    </row>
    <row r="31" spans="2:22" x14ac:dyDescent="0.2">
      <c r="B31" s="34" t="s">
        <v>84</v>
      </c>
      <c r="C31" s="17">
        <f ca="1">NPV($C$12,D26:H26)+C26</f>
        <v>264992.63996622828</v>
      </c>
      <c r="D31" s="2" t="s">
        <v>85</v>
      </c>
      <c r="L31" s="4">
        <v>25</v>
      </c>
      <c r="M31" s="21">
        <v>-53935.74569351782</v>
      </c>
      <c r="Q31" s="17">
        <f t="shared" si="5"/>
        <v>780000</v>
      </c>
      <c r="R31" s="17">
        <f t="shared" si="0"/>
        <v>840000</v>
      </c>
      <c r="S31" s="12" t="str">
        <f t="shared" si="1"/>
        <v>810k</v>
      </c>
      <c r="T31" s="22">
        <f t="shared" si="2"/>
        <v>3</v>
      </c>
      <c r="U31" s="23">
        <f t="shared" si="3"/>
        <v>0</v>
      </c>
      <c r="V31" s="23">
        <f t="shared" si="4"/>
        <v>5.9999999999999995E-4</v>
      </c>
    </row>
    <row r="32" spans="2:22" x14ac:dyDescent="0.2">
      <c r="L32" s="4">
        <v>26</v>
      </c>
      <c r="M32" s="21">
        <v>-36110.981006747141</v>
      </c>
      <c r="Q32" s="17">
        <f t="shared" si="5"/>
        <v>840000</v>
      </c>
      <c r="R32" s="17">
        <f t="shared" si="0"/>
        <v>900000</v>
      </c>
      <c r="S32" s="12" t="str">
        <f t="shared" si="1"/>
        <v>870k</v>
      </c>
      <c r="T32" s="22">
        <f t="shared" si="2"/>
        <v>2</v>
      </c>
      <c r="U32" s="23">
        <f t="shared" si="3"/>
        <v>0</v>
      </c>
      <c r="V32" s="23">
        <f t="shared" si="4"/>
        <v>4.0000000000000002E-4</v>
      </c>
    </row>
    <row r="33" spans="2:22" x14ac:dyDescent="0.2">
      <c r="B33" s="5" t="s">
        <v>86</v>
      </c>
      <c r="C33" s="6" t="s">
        <v>87</v>
      </c>
      <c r="D33" s="6" t="s">
        <v>88</v>
      </c>
      <c r="L33" s="4">
        <v>27</v>
      </c>
      <c r="M33" s="21">
        <v>-360353.65105241153</v>
      </c>
      <c r="Q33" s="17">
        <f t="shared" si="5"/>
        <v>900000</v>
      </c>
      <c r="R33" s="17">
        <f t="shared" si="0"/>
        <v>960000</v>
      </c>
      <c r="S33" s="12" t="str">
        <f t="shared" si="1"/>
        <v>930k</v>
      </c>
      <c r="T33" s="22">
        <f t="shared" si="2"/>
        <v>0</v>
      </c>
      <c r="U33" s="23">
        <f t="shared" si="3"/>
        <v>0</v>
      </c>
      <c r="V33" s="23">
        <f t="shared" si="4"/>
        <v>0</v>
      </c>
    </row>
    <row r="34" spans="2:22" x14ac:dyDescent="0.2">
      <c r="B34" s="4" t="s">
        <v>89</v>
      </c>
      <c r="C34" s="27">
        <f>($C$7/SUM(D27:H27)+$C$11)/$C$8+$C$10</f>
        <v>49.402532309053086</v>
      </c>
      <c r="D34" s="23">
        <f>C34/$C$9-1</f>
        <v>-1.1949353818938246E-2</v>
      </c>
      <c r="E34" s="2" t="s">
        <v>90</v>
      </c>
      <c r="L34" s="4">
        <v>28</v>
      </c>
      <c r="M34" s="21">
        <v>161497.54909419539</v>
      </c>
      <c r="Q34" s="17">
        <f t="shared" si="5"/>
        <v>960000</v>
      </c>
      <c r="R34" s="17">
        <f t="shared" si="0"/>
        <v>1020000</v>
      </c>
      <c r="S34" s="12" t="str">
        <f t="shared" si="1"/>
        <v>990k</v>
      </c>
      <c r="T34" s="22">
        <f t="shared" si="2"/>
        <v>0</v>
      </c>
      <c r="U34" s="23">
        <f t="shared" si="3"/>
        <v>0</v>
      </c>
      <c r="V34" s="23">
        <f t="shared" si="4"/>
        <v>0</v>
      </c>
    </row>
    <row r="35" spans="2:22" x14ac:dyDescent="0.2">
      <c r="B35" s="4" t="s">
        <v>91</v>
      </c>
      <c r="C35" s="22">
        <f>($C$7/SUM(D27:H27)+$C$11)/($C$9-$C$10)</f>
        <v>14551.899231789814</v>
      </c>
      <c r="D35" s="23">
        <f>C35/$C$8-1</f>
        <v>-2.9873384547345783E-2</v>
      </c>
      <c r="L35" s="4">
        <v>29</v>
      </c>
      <c r="M35" s="21">
        <v>-49494.176589759067</v>
      </c>
      <c r="Q35" s="17">
        <f t="shared" si="5"/>
        <v>1020000</v>
      </c>
      <c r="R35" s="17">
        <f t="shared" si="0"/>
        <v>1080000</v>
      </c>
      <c r="S35" s="12" t="str">
        <f t="shared" si="1"/>
        <v>1,050k</v>
      </c>
      <c r="T35" s="22">
        <f t="shared" si="2"/>
        <v>1</v>
      </c>
      <c r="U35" s="23">
        <f t="shared" si="3"/>
        <v>0</v>
      </c>
      <c r="V35" s="23">
        <f t="shared" si="4"/>
        <v>2.0000000000000001E-4</v>
      </c>
    </row>
    <row r="36" spans="2:22" x14ac:dyDescent="0.2">
      <c r="L36" s="4">
        <v>30</v>
      </c>
      <c r="M36" s="21">
        <v>396426.11503093678</v>
      </c>
      <c r="Q36" s="17">
        <f t="shared" si="5"/>
        <v>1080000</v>
      </c>
      <c r="R36" s="17">
        <f t="shared" si="0"/>
        <v>1140000</v>
      </c>
      <c r="S36" s="12" t="str">
        <f t="shared" si="1"/>
        <v>1,110k</v>
      </c>
      <c r="T36" s="22">
        <f t="shared" si="2"/>
        <v>0</v>
      </c>
      <c r="U36" s="23">
        <f t="shared" si="3"/>
        <v>0</v>
      </c>
      <c r="V36" s="23">
        <f t="shared" si="4"/>
        <v>0</v>
      </c>
    </row>
    <row r="37" spans="2:22" x14ac:dyDescent="0.2">
      <c r="B37" s="3" t="s">
        <v>92</v>
      </c>
      <c r="C37" s="3"/>
      <c r="D37" s="3"/>
      <c r="E37" s="3"/>
      <c r="F37" s="3"/>
      <c r="G37" s="3"/>
      <c r="H37" s="3"/>
      <c r="I37" s="3"/>
      <c r="J37" s="3"/>
      <c r="L37" s="4">
        <v>31</v>
      </c>
      <c r="M37" s="21">
        <v>-252956.07858539035</v>
      </c>
      <c r="Q37" s="17">
        <f t="shared" si="5"/>
        <v>1140000</v>
      </c>
      <c r="R37" s="17">
        <f t="shared" si="0"/>
        <v>1200000</v>
      </c>
      <c r="S37" s="12" t="str">
        <f t="shared" si="1"/>
        <v>1,170k</v>
      </c>
      <c r="T37" s="22">
        <f t="shared" si="2"/>
        <v>0</v>
      </c>
      <c r="U37" s="23">
        <f t="shared" si="3"/>
        <v>0</v>
      </c>
      <c r="V37" s="23">
        <f t="shared" si="4"/>
        <v>0</v>
      </c>
    </row>
    <row r="38" spans="2:22" x14ac:dyDescent="0.2">
      <c r="B38" s="5" t="s">
        <v>93</v>
      </c>
      <c r="C38" s="6" t="s">
        <v>87</v>
      </c>
      <c r="D38" s="6" t="s">
        <v>94</v>
      </c>
      <c r="L38" s="4">
        <v>32</v>
      </c>
      <c r="M38" s="21">
        <v>228128.19920673469</v>
      </c>
      <c r="Q38" s="17">
        <f t="shared" si="5"/>
        <v>1200000</v>
      </c>
      <c r="R38" s="17">
        <f t="shared" si="0"/>
        <v>1260000</v>
      </c>
      <c r="S38" s="12" t="str">
        <f t="shared" si="1"/>
        <v>1,230k</v>
      </c>
      <c r="T38" s="22">
        <f t="shared" si="2"/>
        <v>0</v>
      </c>
      <c r="U38" s="23">
        <f t="shared" si="3"/>
        <v>0</v>
      </c>
      <c r="V38" s="23">
        <f t="shared" si="4"/>
        <v>0</v>
      </c>
    </row>
    <row r="39" spans="2:22" x14ac:dyDescent="0.2">
      <c r="B39" s="30" t="s">
        <v>9</v>
      </c>
      <c r="C39" s="35">
        <f>AVERAGE($M$7:$M$5006)</f>
        <v>29828.591819812125</v>
      </c>
      <c r="D39" s="2" t="s">
        <v>95</v>
      </c>
      <c r="L39" s="4">
        <v>33</v>
      </c>
      <c r="M39" s="21">
        <v>-186679.16373026345</v>
      </c>
      <c r="Q39" s="4" t="s">
        <v>96</v>
      </c>
      <c r="T39" s="36">
        <f>SUM(T7:T38)/COUNT($M$7:$M$5006)</f>
        <v>1</v>
      </c>
    </row>
    <row r="40" spans="2:22" x14ac:dyDescent="0.2">
      <c r="B40" s="4" t="s">
        <v>97</v>
      </c>
      <c r="C40" s="17">
        <f>_xlfn.STDEV.S($M$7:$M$5006)</f>
        <v>205028.88969606475</v>
      </c>
      <c r="D40" s="2" t="s">
        <v>98</v>
      </c>
      <c r="L40" s="4">
        <v>34</v>
      </c>
      <c r="M40" s="21">
        <v>-125713.27027006469</v>
      </c>
    </row>
    <row r="41" spans="2:22" x14ac:dyDescent="0.2">
      <c r="B41" s="4" t="s">
        <v>10</v>
      </c>
      <c r="C41" s="17">
        <f>_xlfn.PERCENTILE.INC($M$7:$M$5006,0.05)</f>
        <v>-294870.05345469934</v>
      </c>
      <c r="D41" s="2" t="s">
        <v>99</v>
      </c>
      <c r="L41" s="4">
        <v>35</v>
      </c>
      <c r="M41" s="21">
        <v>-266128.23439806071</v>
      </c>
    </row>
    <row r="42" spans="2:22" x14ac:dyDescent="0.2">
      <c r="B42" s="4" t="s">
        <v>100</v>
      </c>
      <c r="C42" s="17">
        <f>_xlfn.PERCENTILE.INC($M$7:$M$5006,0.5)</f>
        <v>25757.624484793778</v>
      </c>
      <c r="D42" s="2" t="s">
        <v>99</v>
      </c>
      <c r="L42" s="4">
        <v>36</v>
      </c>
      <c r="M42" s="21">
        <v>295739.57834104856</v>
      </c>
    </row>
    <row r="43" spans="2:22" x14ac:dyDescent="0.2">
      <c r="B43" s="4" t="s">
        <v>12</v>
      </c>
      <c r="C43" s="17">
        <f>_xlfn.PERCENTILE.INC($M$7:$M$5006,0.95)</f>
        <v>383728.67812259303</v>
      </c>
      <c r="D43" s="2" t="s">
        <v>99</v>
      </c>
      <c r="L43" s="4">
        <v>37</v>
      </c>
      <c r="M43" s="21">
        <v>-75561.951114331183</v>
      </c>
    </row>
    <row r="44" spans="2:22" x14ac:dyDescent="0.2">
      <c r="B44" s="4" t="s">
        <v>101</v>
      </c>
      <c r="C44" s="17">
        <f>MIN($M$7:$M$5006)</f>
        <v>-650452.32102477388</v>
      </c>
      <c r="D44" s="2" t="s">
        <v>102</v>
      </c>
      <c r="L44" s="4">
        <v>38</v>
      </c>
      <c r="M44" s="21">
        <v>-344283.66374506825</v>
      </c>
    </row>
    <row r="45" spans="2:22" x14ac:dyDescent="0.2">
      <c r="B45" s="4" t="s">
        <v>103</v>
      </c>
      <c r="C45" s="17">
        <f>MAX($M$7:$M$5006)</f>
        <v>1029565.7192864824</v>
      </c>
      <c r="D45" s="2" t="s">
        <v>104</v>
      </c>
      <c r="L45" s="4">
        <v>39</v>
      </c>
      <c r="M45" s="21">
        <v>-111527.20549551674</v>
      </c>
    </row>
    <row r="46" spans="2:22" x14ac:dyDescent="0.2">
      <c r="B46" s="30" t="s">
        <v>13</v>
      </c>
      <c r="C46" s="37">
        <f>COUNTIF($M$7:$M$5006,"&lt;0")/COUNT($M$7:$M$5006)</f>
        <v>0.4496</v>
      </c>
      <c r="D46" s="2" t="s">
        <v>105</v>
      </c>
      <c r="L46" s="4">
        <v>40</v>
      </c>
      <c r="M46" s="21">
        <v>176261.17376281499</v>
      </c>
    </row>
    <row r="47" spans="2:22" x14ac:dyDescent="0.2">
      <c r="B47" s="4" t="s">
        <v>106</v>
      </c>
      <c r="C47" s="38">
        <f>SQRT($C$46*(1-$C$46)/COUNT($M$7:$M$5006))</f>
        <v>7.0350528071934188E-3</v>
      </c>
      <c r="D47" s="2" t="s">
        <v>107</v>
      </c>
      <c r="L47" s="4">
        <v>41</v>
      </c>
      <c r="M47" s="21">
        <v>-220694.52819632698</v>
      </c>
    </row>
    <row r="48" spans="2:22" x14ac:dyDescent="0.2">
      <c r="B48" s="4" t="s">
        <v>108</v>
      </c>
      <c r="C48" s="17">
        <f>$C$40/SQRT(COUNT($M$7:$M$5006))</f>
        <v>2899.546364864721</v>
      </c>
      <c r="D48" s="2" t="s">
        <v>109</v>
      </c>
      <c r="L48" s="4">
        <v>42</v>
      </c>
      <c r="M48" s="21">
        <v>-169826.17150526334</v>
      </c>
    </row>
    <row r="49" spans="12:13" x14ac:dyDescent="0.2">
      <c r="L49" s="4">
        <v>43</v>
      </c>
      <c r="M49" s="21">
        <v>45781.77304222071</v>
      </c>
    </row>
    <row r="50" spans="12:13" x14ac:dyDescent="0.2">
      <c r="L50" s="4">
        <v>44</v>
      </c>
      <c r="M50" s="21">
        <v>-216266.00800307494</v>
      </c>
    </row>
    <row r="51" spans="12:13" x14ac:dyDescent="0.2">
      <c r="L51" s="4">
        <v>45</v>
      </c>
      <c r="M51" s="21">
        <v>145535.59592367773</v>
      </c>
    </row>
    <row r="52" spans="12:13" x14ac:dyDescent="0.2">
      <c r="L52" s="4">
        <v>46</v>
      </c>
      <c r="M52" s="21">
        <v>-263303.88715714391</v>
      </c>
    </row>
    <row r="53" spans="12:13" x14ac:dyDescent="0.2">
      <c r="L53" s="4">
        <v>47</v>
      </c>
      <c r="M53" s="21">
        <v>-317105.60718304961</v>
      </c>
    </row>
    <row r="54" spans="12:13" x14ac:dyDescent="0.2">
      <c r="L54" s="4">
        <v>48</v>
      </c>
      <c r="M54" s="21">
        <v>154841.2998038035</v>
      </c>
    </row>
    <row r="55" spans="12:13" x14ac:dyDescent="0.2">
      <c r="L55" s="4">
        <v>49</v>
      </c>
      <c r="M55" s="21">
        <v>89560.966948007292</v>
      </c>
    </row>
    <row r="56" spans="12:13" x14ac:dyDescent="0.2">
      <c r="L56" s="4">
        <v>50</v>
      </c>
      <c r="M56" s="21">
        <v>-30272.82188889246</v>
      </c>
    </row>
    <row r="57" spans="12:13" x14ac:dyDescent="0.2">
      <c r="L57" s="4">
        <v>51</v>
      </c>
      <c r="M57" s="21">
        <v>93554.619894011179</v>
      </c>
    </row>
    <row r="58" spans="12:13" x14ac:dyDescent="0.2">
      <c r="L58" s="4">
        <v>52</v>
      </c>
      <c r="M58" s="21">
        <v>60646.133555701788</v>
      </c>
    </row>
    <row r="59" spans="12:13" x14ac:dyDescent="0.2">
      <c r="L59" s="4">
        <v>53</v>
      </c>
      <c r="M59" s="21">
        <v>92012.022114611871</v>
      </c>
    </row>
    <row r="60" spans="12:13" x14ac:dyDescent="0.2">
      <c r="L60" s="4">
        <v>54</v>
      </c>
      <c r="M60" s="21">
        <v>-167252.00123614419</v>
      </c>
    </row>
    <row r="61" spans="12:13" x14ac:dyDescent="0.2">
      <c r="L61" s="4">
        <v>55</v>
      </c>
      <c r="M61" s="21">
        <v>162988.08081667544</v>
      </c>
    </row>
    <row r="62" spans="12:13" x14ac:dyDescent="0.2">
      <c r="L62" s="4">
        <v>56</v>
      </c>
      <c r="M62" s="21">
        <v>46633.22554391803</v>
      </c>
    </row>
    <row r="63" spans="12:13" x14ac:dyDescent="0.2">
      <c r="L63" s="4">
        <v>57</v>
      </c>
      <c r="M63" s="21">
        <v>199592.83451744786</v>
      </c>
    </row>
    <row r="64" spans="12:13" x14ac:dyDescent="0.2">
      <c r="L64" s="4">
        <v>58</v>
      </c>
      <c r="M64" s="21">
        <v>-132165.8404232118</v>
      </c>
    </row>
    <row r="65" spans="12:13" x14ac:dyDescent="0.2">
      <c r="L65" s="4">
        <v>59</v>
      </c>
      <c r="M65" s="21">
        <v>356847.24721024698</v>
      </c>
    </row>
    <row r="66" spans="12:13" x14ac:dyDescent="0.2">
      <c r="L66" s="4">
        <v>60</v>
      </c>
      <c r="M66" s="21">
        <v>134019.08186488994</v>
      </c>
    </row>
    <row r="67" spans="12:13" x14ac:dyDescent="0.2">
      <c r="L67" s="4">
        <v>61</v>
      </c>
      <c r="M67" s="21">
        <v>37630.43367745023</v>
      </c>
    </row>
    <row r="68" spans="12:13" x14ac:dyDescent="0.2">
      <c r="L68" s="4">
        <v>62</v>
      </c>
      <c r="M68" s="21">
        <v>-336664.37988922867</v>
      </c>
    </row>
    <row r="69" spans="12:13" x14ac:dyDescent="0.2">
      <c r="L69" s="4">
        <v>63</v>
      </c>
      <c r="M69" s="21">
        <v>254446.475675188</v>
      </c>
    </row>
    <row r="70" spans="12:13" x14ac:dyDescent="0.2">
      <c r="L70" s="4">
        <v>64</v>
      </c>
      <c r="M70" s="21">
        <v>115589.21457573478</v>
      </c>
    </row>
    <row r="71" spans="12:13" x14ac:dyDescent="0.2">
      <c r="L71" s="4">
        <v>65</v>
      </c>
      <c r="M71" s="21">
        <v>122037.56376115236</v>
      </c>
    </row>
    <row r="72" spans="12:13" x14ac:dyDescent="0.2">
      <c r="L72" s="4">
        <v>66</v>
      </c>
      <c r="M72" s="21">
        <v>140984.9936655573</v>
      </c>
    </row>
    <row r="73" spans="12:13" x14ac:dyDescent="0.2">
      <c r="L73" s="4">
        <v>67</v>
      </c>
      <c r="M73" s="21">
        <v>147327.57227351036</v>
      </c>
    </row>
    <row r="74" spans="12:13" x14ac:dyDescent="0.2">
      <c r="L74" s="4">
        <v>68</v>
      </c>
      <c r="M74" s="21">
        <v>18322.194594079221</v>
      </c>
    </row>
    <row r="75" spans="12:13" x14ac:dyDescent="0.2">
      <c r="L75" s="4">
        <v>69</v>
      </c>
      <c r="M75" s="21">
        <v>47581.39113265858</v>
      </c>
    </row>
    <row r="76" spans="12:13" x14ac:dyDescent="0.2">
      <c r="L76" s="4">
        <v>70</v>
      </c>
      <c r="M76" s="21">
        <v>-184163.53178888242</v>
      </c>
    </row>
    <row r="77" spans="12:13" x14ac:dyDescent="0.2">
      <c r="L77" s="4">
        <v>71</v>
      </c>
      <c r="M77" s="21">
        <v>112012.39254380396</v>
      </c>
    </row>
    <row r="78" spans="12:13" x14ac:dyDescent="0.2">
      <c r="L78" s="4">
        <v>72</v>
      </c>
      <c r="M78" s="21">
        <v>-186280.51661071251</v>
      </c>
    </row>
    <row r="79" spans="12:13" x14ac:dyDescent="0.2">
      <c r="L79" s="4">
        <v>73</v>
      </c>
      <c r="M79" s="21">
        <v>-60634.336734904806</v>
      </c>
    </row>
    <row r="80" spans="12:13" x14ac:dyDescent="0.2">
      <c r="L80" s="4">
        <v>74</v>
      </c>
      <c r="M80" s="21">
        <v>71630.494548487593</v>
      </c>
    </row>
    <row r="81" spans="12:13" x14ac:dyDescent="0.2">
      <c r="L81" s="4">
        <v>75</v>
      </c>
      <c r="M81" s="21">
        <v>-117964.43408819391</v>
      </c>
    </row>
    <row r="82" spans="12:13" x14ac:dyDescent="0.2">
      <c r="L82" s="4">
        <v>76</v>
      </c>
      <c r="M82" s="21">
        <v>-191754.95272462553</v>
      </c>
    </row>
    <row r="83" spans="12:13" x14ac:dyDescent="0.2">
      <c r="L83" s="4">
        <v>77</v>
      </c>
      <c r="M83" s="21">
        <v>118715.31622492586</v>
      </c>
    </row>
    <row r="84" spans="12:13" x14ac:dyDescent="0.2">
      <c r="L84" s="4">
        <v>78</v>
      </c>
      <c r="M84" s="21">
        <v>57374.068951815367</v>
      </c>
    </row>
    <row r="85" spans="12:13" x14ac:dyDescent="0.2">
      <c r="L85" s="4">
        <v>79</v>
      </c>
      <c r="M85" s="21">
        <v>-18292.628488252449</v>
      </c>
    </row>
    <row r="86" spans="12:13" x14ac:dyDescent="0.2">
      <c r="L86" s="4">
        <v>80</v>
      </c>
      <c r="M86" s="21">
        <v>-74298.480650854312</v>
      </c>
    </row>
    <row r="87" spans="12:13" x14ac:dyDescent="0.2">
      <c r="L87" s="4">
        <v>81</v>
      </c>
      <c r="M87" s="21">
        <v>-87103.783471450617</v>
      </c>
    </row>
    <row r="88" spans="12:13" x14ac:dyDescent="0.2">
      <c r="L88" s="4">
        <v>82</v>
      </c>
      <c r="M88" s="21">
        <v>-183533.05876784463</v>
      </c>
    </row>
    <row r="89" spans="12:13" x14ac:dyDescent="0.2">
      <c r="L89" s="4">
        <v>83</v>
      </c>
      <c r="M89" s="21">
        <v>12420.809440536454</v>
      </c>
    </row>
    <row r="90" spans="12:13" x14ac:dyDescent="0.2">
      <c r="L90" s="4">
        <v>84</v>
      </c>
      <c r="M90" s="21">
        <v>5895.9553490668768</v>
      </c>
    </row>
    <row r="91" spans="12:13" x14ac:dyDescent="0.2">
      <c r="L91" s="4">
        <v>85</v>
      </c>
      <c r="M91" s="21">
        <v>-265290.43019332242</v>
      </c>
    </row>
    <row r="92" spans="12:13" x14ac:dyDescent="0.2">
      <c r="L92" s="4">
        <v>86</v>
      </c>
      <c r="M92" s="21">
        <v>-202243.03245854119</v>
      </c>
    </row>
    <row r="93" spans="12:13" x14ac:dyDescent="0.2">
      <c r="L93" s="4">
        <v>87</v>
      </c>
      <c r="M93" s="21">
        <v>127845.16746405108</v>
      </c>
    </row>
    <row r="94" spans="12:13" x14ac:dyDescent="0.2">
      <c r="L94" s="4">
        <v>88</v>
      </c>
      <c r="M94" s="21">
        <v>90647.625004840113</v>
      </c>
    </row>
    <row r="95" spans="12:13" x14ac:dyDescent="0.2">
      <c r="L95" s="4">
        <v>89</v>
      </c>
      <c r="M95" s="21">
        <v>260733.53550424223</v>
      </c>
    </row>
    <row r="96" spans="12:13" x14ac:dyDescent="0.2">
      <c r="L96" s="4">
        <v>90</v>
      </c>
      <c r="M96" s="21">
        <v>623172.77719167084</v>
      </c>
    </row>
    <row r="97" spans="12:13" x14ac:dyDescent="0.2">
      <c r="L97" s="4">
        <v>91</v>
      </c>
      <c r="M97" s="21">
        <v>93467.256368884322</v>
      </c>
    </row>
    <row r="98" spans="12:13" x14ac:dyDescent="0.2">
      <c r="L98" s="4">
        <v>92</v>
      </c>
      <c r="M98" s="21">
        <v>-65856.697738510251</v>
      </c>
    </row>
    <row r="99" spans="12:13" x14ac:dyDescent="0.2">
      <c r="L99" s="4">
        <v>93</v>
      </c>
      <c r="M99" s="21">
        <v>-386046.50971167965</v>
      </c>
    </row>
    <row r="100" spans="12:13" x14ac:dyDescent="0.2">
      <c r="L100" s="4">
        <v>94</v>
      </c>
      <c r="M100" s="21">
        <v>-277215.59135243273</v>
      </c>
    </row>
    <row r="101" spans="12:13" x14ac:dyDescent="0.2">
      <c r="L101" s="4">
        <v>95</v>
      </c>
      <c r="M101" s="21">
        <v>19010.920994424145</v>
      </c>
    </row>
    <row r="102" spans="12:13" x14ac:dyDescent="0.2">
      <c r="L102" s="4">
        <v>96</v>
      </c>
      <c r="M102" s="21">
        <v>-230354.02831614396</v>
      </c>
    </row>
    <row r="103" spans="12:13" x14ac:dyDescent="0.2">
      <c r="L103" s="4">
        <v>97</v>
      </c>
      <c r="M103" s="21">
        <v>-52621.016575242655</v>
      </c>
    </row>
    <row r="104" spans="12:13" x14ac:dyDescent="0.2">
      <c r="L104" s="4">
        <v>98</v>
      </c>
      <c r="M104" s="21">
        <v>-191249.90958308807</v>
      </c>
    </row>
    <row r="105" spans="12:13" x14ac:dyDescent="0.2">
      <c r="L105" s="4">
        <v>99</v>
      </c>
      <c r="M105" s="21">
        <v>-97517.866600489098</v>
      </c>
    </row>
    <row r="106" spans="12:13" x14ac:dyDescent="0.2">
      <c r="L106" s="4">
        <v>100</v>
      </c>
      <c r="M106" s="21">
        <v>-223571.68469470827</v>
      </c>
    </row>
    <row r="107" spans="12:13" x14ac:dyDescent="0.2">
      <c r="L107" s="4">
        <v>101</v>
      </c>
      <c r="M107" s="21">
        <v>28186.972985144646</v>
      </c>
    </row>
    <row r="108" spans="12:13" x14ac:dyDescent="0.2">
      <c r="L108" s="4">
        <v>102</v>
      </c>
      <c r="M108" s="21">
        <v>166660.52125076507</v>
      </c>
    </row>
    <row r="109" spans="12:13" x14ac:dyDescent="0.2">
      <c r="L109" s="4">
        <v>103</v>
      </c>
      <c r="M109" s="21">
        <v>-48309.018309762017</v>
      </c>
    </row>
    <row r="110" spans="12:13" x14ac:dyDescent="0.2">
      <c r="L110" s="4">
        <v>104</v>
      </c>
      <c r="M110" s="21">
        <v>168543.1794855303</v>
      </c>
    </row>
    <row r="111" spans="12:13" x14ac:dyDescent="0.2">
      <c r="L111" s="4">
        <v>105</v>
      </c>
      <c r="M111" s="21">
        <v>542122.66540393443</v>
      </c>
    </row>
    <row r="112" spans="12:13" x14ac:dyDescent="0.2">
      <c r="L112" s="4">
        <v>106</v>
      </c>
      <c r="M112" s="21">
        <v>93556.203679635917</v>
      </c>
    </row>
    <row r="113" spans="12:13" x14ac:dyDescent="0.2">
      <c r="L113" s="4">
        <v>107</v>
      </c>
      <c r="M113" s="21">
        <v>306661.78119184455</v>
      </c>
    </row>
    <row r="114" spans="12:13" x14ac:dyDescent="0.2">
      <c r="L114" s="4">
        <v>108</v>
      </c>
      <c r="M114" s="21">
        <v>236522.52324785857</v>
      </c>
    </row>
    <row r="115" spans="12:13" x14ac:dyDescent="0.2">
      <c r="L115" s="4">
        <v>109</v>
      </c>
      <c r="M115" s="21">
        <v>253740.3998209117</v>
      </c>
    </row>
    <row r="116" spans="12:13" x14ac:dyDescent="0.2">
      <c r="L116" s="4">
        <v>110</v>
      </c>
      <c r="M116" s="21">
        <v>246479.43399385738</v>
      </c>
    </row>
    <row r="117" spans="12:13" x14ac:dyDescent="0.2">
      <c r="L117" s="4">
        <v>111</v>
      </c>
      <c r="M117" s="21">
        <v>-76734.814271779411</v>
      </c>
    </row>
    <row r="118" spans="12:13" x14ac:dyDescent="0.2">
      <c r="L118" s="4">
        <v>112</v>
      </c>
      <c r="M118" s="21">
        <v>-89282.070900538078</v>
      </c>
    </row>
    <row r="119" spans="12:13" x14ac:dyDescent="0.2">
      <c r="L119" s="4">
        <v>113</v>
      </c>
      <c r="M119" s="21">
        <v>152615.60954425292</v>
      </c>
    </row>
    <row r="120" spans="12:13" x14ac:dyDescent="0.2">
      <c r="L120" s="4">
        <v>114</v>
      </c>
      <c r="M120" s="21">
        <v>273027.4859086019</v>
      </c>
    </row>
    <row r="121" spans="12:13" x14ac:dyDescent="0.2">
      <c r="L121" s="4">
        <v>115</v>
      </c>
      <c r="M121" s="21">
        <v>-145473.17535213448</v>
      </c>
    </row>
    <row r="122" spans="12:13" x14ac:dyDescent="0.2">
      <c r="L122" s="4">
        <v>116</v>
      </c>
      <c r="M122" s="21">
        <v>145651.17267290028</v>
      </c>
    </row>
    <row r="123" spans="12:13" x14ac:dyDescent="0.2">
      <c r="L123" s="4">
        <v>117</v>
      </c>
      <c r="M123" s="21">
        <v>195579.70027445524</v>
      </c>
    </row>
    <row r="124" spans="12:13" x14ac:dyDescent="0.2">
      <c r="L124" s="4">
        <v>118</v>
      </c>
      <c r="M124" s="21">
        <v>-108159.06102837244</v>
      </c>
    </row>
    <row r="125" spans="12:13" x14ac:dyDescent="0.2">
      <c r="L125" s="4">
        <v>119</v>
      </c>
      <c r="M125" s="21">
        <v>496484.03401125083</v>
      </c>
    </row>
    <row r="126" spans="12:13" x14ac:dyDescent="0.2">
      <c r="L126" s="4">
        <v>120</v>
      </c>
      <c r="M126" s="21">
        <v>40898.349991263618</v>
      </c>
    </row>
    <row r="127" spans="12:13" x14ac:dyDescent="0.2">
      <c r="L127" s="4">
        <v>121</v>
      </c>
      <c r="M127" s="21">
        <v>-366125.42588820303</v>
      </c>
    </row>
    <row r="128" spans="12:13" x14ac:dyDescent="0.2">
      <c r="L128" s="4">
        <v>122</v>
      </c>
      <c r="M128" s="21">
        <v>-89648.446635801389</v>
      </c>
    </row>
    <row r="129" spans="12:13" x14ac:dyDescent="0.2">
      <c r="L129" s="4">
        <v>123</v>
      </c>
      <c r="M129" s="21">
        <v>583879.1534176108</v>
      </c>
    </row>
    <row r="130" spans="12:13" x14ac:dyDescent="0.2">
      <c r="L130" s="4">
        <v>124</v>
      </c>
      <c r="M130" s="21">
        <v>27690.686443417449</v>
      </c>
    </row>
    <row r="131" spans="12:13" x14ac:dyDescent="0.2">
      <c r="L131" s="4">
        <v>125</v>
      </c>
      <c r="M131" s="21">
        <v>-106309.12281760458</v>
      </c>
    </row>
    <row r="132" spans="12:13" x14ac:dyDescent="0.2">
      <c r="L132" s="4">
        <v>126</v>
      </c>
      <c r="M132" s="21">
        <v>80541.648056829319</v>
      </c>
    </row>
    <row r="133" spans="12:13" x14ac:dyDescent="0.2">
      <c r="L133" s="4">
        <v>127</v>
      </c>
      <c r="M133" s="21">
        <v>48335.660287941078</v>
      </c>
    </row>
    <row r="134" spans="12:13" x14ac:dyDescent="0.2">
      <c r="L134" s="4">
        <v>128</v>
      </c>
      <c r="M134" s="21">
        <v>203709.63893323336</v>
      </c>
    </row>
    <row r="135" spans="12:13" x14ac:dyDescent="0.2">
      <c r="L135" s="4">
        <v>129</v>
      </c>
      <c r="M135" s="21">
        <v>113151.00443710826</v>
      </c>
    </row>
    <row r="136" spans="12:13" x14ac:dyDescent="0.2">
      <c r="L136" s="4">
        <v>130</v>
      </c>
      <c r="M136" s="21">
        <v>-109962.97276332678</v>
      </c>
    </row>
    <row r="137" spans="12:13" x14ac:dyDescent="0.2">
      <c r="L137" s="4">
        <v>131</v>
      </c>
      <c r="M137" s="21">
        <v>91037.920310672896</v>
      </c>
    </row>
    <row r="138" spans="12:13" x14ac:dyDescent="0.2">
      <c r="L138" s="4">
        <v>132</v>
      </c>
      <c r="M138" s="21">
        <v>22073.402241336764</v>
      </c>
    </row>
    <row r="139" spans="12:13" x14ac:dyDescent="0.2">
      <c r="L139" s="4">
        <v>133</v>
      </c>
      <c r="M139" s="21">
        <v>30077.883748679567</v>
      </c>
    </row>
    <row r="140" spans="12:13" x14ac:dyDescent="0.2">
      <c r="L140" s="4">
        <v>134</v>
      </c>
      <c r="M140" s="21">
        <v>-219624.93512627273</v>
      </c>
    </row>
    <row r="141" spans="12:13" x14ac:dyDescent="0.2">
      <c r="L141" s="4">
        <v>135</v>
      </c>
      <c r="M141" s="21">
        <v>-180626.4015398458</v>
      </c>
    </row>
    <row r="142" spans="12:13" x14ac:dyDescent="0.2">
      <c r="L142" s="4">
        <v>136</v>
      </c>
      <c r="M142" s="21">
        <v>5741.6524147529562</v>
      </c>
    </row>
    <row r="143" spans="12:13" x14ac:dyDescent="0.2">
      <c r="L143" s="4">
        <v>137</v>
      </c>
      <c r="M143" s="21">
        <v>-464620.7679447456</v>
      </c>
    </row>
    <row r="144" spans="12:13" x14ac:dyDescent="0.2">
      <c r="L144" s="4">
        <v>138</v>
      </c>
      <c r="M144" s="21">
        <v>114035.42671369214</v>
      </c>
    </row>
    <row r="145" spans="12:13" x14ac:dyDescent="0.2">
      <c r="L145" s="4">
        <v>139</v>
      </c>
      <c r="M145" s="21">
        <v>292339.75476622168</v>
      </c>
    </row>
    <row r="146" spans="12:13" x14ac:dyDescent="0.2">
      <c r="L146" s="4">
        <v>140</v>
      </c>
      <c r="M146" s="21">
        <v>-10541.199145576407</v>
      </c>
    </row>
    <row r="147" spans="12:13" x14ac:dyDescent="0.2">
      <c r="L147" s="4">
        <v>141</v>
      </c>
      <c r="M147" s="21">
        <v>-31173.821199366692</v>
      </c>
    </row>
    <row r="148" spans="12:13" x14ac:dyDescent="0.2">
      <c r="L148" s="4">
        <v>142</v>
      </c>
      <c r="M148" s="21">
        <v>164539.46378265991</v>
      </c>
    </row>
    <row r="149" spans="12:13" x14ac:dyDescent="0.2">
      <c r="L149" s="4">
        <v>143</v>
      </c>
      <c r="M149" s="21">
        <v>81773.49199189822</v>
      </c>
    </row>
    <row r="150" spans="12:13" x14ac:dyDescent="0.2">
      <c r="L150" s="4">
        <v>144</v>
      </c>
      <c r="M150" s="21">
        <v>-83087.167319071596</v>
      </c>
    </row>
    <row r="151" spans="12:13" x14ac:dyDescent="0.2">
      <c r="L151" s="4">
        <v>145</v>
      </c>
      <c r="M151" s="21">
        <v>-223885.74396707048</v>
      </c>
    </row>
    <row r="152" spans="12:13" x14ac:dyDescent="0.2">
      <c r="L152" s="4">
        <v>146</v>
      </c>
      <c r="M152" s="21">
        <v>100092.37359355544</v>
      </c>
    </row>
    <row r="153" spans="12:13" x14ac:dyDescent="0.2">
      <c r="L153" s="4">
        <v>147</v>
      </c>
      <c r="M153" s="21">
        <v>462844.73409666761</v>
      </c>
    </row>
    <row r="154" spans="12:13" x14ac:dyDescent="0.2">
      <c r="L154" s="4">
        <v>148</v>
      </c>
      <c r="M154" s="21">
        <v>57323.191725854849</v>
      </c>
    </row>
    <row r="155" spans="12:13" x14ac:dyDescent="0.2">
      <c r="L155" s="4">
        <v>149</v>
      </c>
      <c r="M155" s="21">
        <v>-219428.28433393798</v>
      </c>
    </row>
    <row r="156" spans="12:13" x14ac:dyDescent="0.2">
      <c r="L156" s="4">
        <v>150</v>
      </c>
      <c r="M156" s="21">
        <v>24180.504269607074</v>
      </c>
    </row>
    <row r="157" spans="12:13" x14ac:dyDescent="0.2">
      <c r="L157" s="4">
        <v>151</v>
      </c>
      <c r="M157" s="21">
        <v>-62892.75426559498</v>
      </c>
    </row>
    <row r="158" spans="12:13" x14ac:dyDescent="0.2">
      <c r="L158" s="4">
        <v>152</v>
      </c>
      <c r="M158" s="21">
        <v>532215.622681326</v>
      </c>
    </row>
    <row r="159" spans="12:13" x14ac:dyDescent="0.2">
      <c r="L159" s="4">
        <v>153</v>
      </c>
      <c r="M159" s="21">
        <v>264648.03645271994</v>
      </c>
    </row>
    <row r="160" spans="12:13" x14ac:dyDescent="0.2">
      <c r="L160" s="4">
        <v>154</v>
      </c>
      <c r="M160" s="21">
        <v>-130976.20967882033</v>
      </c>
    </row>
    <row r="161" spans="12:13" x14ac:dyDescent="0.2">
      <c r="L161" s="4">
        <v>155</v>
      </c>
      <c r="M161" s="21">
        <v>-222662.2127198512</v>
      </c>
    </row>
    <row r="162" spans="12:13" x14ac:dyDescent="0.2">
      <c r="L162" s="4">
        <v>156</v>
      </c>
      <c r="M162" s="21">
        <v>44959.198940786329</v>
      </c>
    </row>
    <row r="163" spans="12:13" x14ac:dyDescent="0.2">
      <c r="L163" s="4">
        <v>157</v>
      </c>
      <c r="M163" s="21">
        <v>65313.677653137303</v>
      </c>
    </row>
    <row r="164" spans="12:13" x14ac:dyDescent="0.2">
      <c r="L164" s="4">
        <v>158</v>
      </c>
      <c r="M164" s="21">
        <v>80441.191809222189</v>
      </c>
    </row>
    <row r="165" spans="12:13" x14ac:dyDescent="0.2">
      <c r="L165" s="4">
        <v>159</v>
      </c>
      <c r="M165" s="21">
        <v>-56702.725563439526</v>
      </c>
    </row>
    <row r="166" spans="12:13" x14ac:dyDescent="0.2">
      <c r="L166" s="4">
        <v>160</v>
      </c>
      <c r="M166" s="21">
        <v>158161.77283796546</v>
      </c>
    </row>
    <row r="167" spans="12:13" x14ac:dyDescent="0.2">
      <c r="L167" s="4">
        <v>161</v>
      </c>
      <c r="M167" s="21">
        <v>127500.43096185502</v>
      </c>
    </row>
    <row r="168" spans="12:13" x14ac:dyDescent="0.2">
      <c r="L168" s="4">
        <v>162</v>
      </c>
      <c r="M168" s="21">
        <v>215599.39485813305</v>
      </c>
    </row>
    <row r="169" spans="12:13" x14ac:dyDescent="0.2">
      <c r="L169" s="4">
        <v>163</v>
      </c>
      <c r="M169" s="21">
        <v>-115491.96024038257</v>
      </c>
    </row>
    <row r="170" spans="12:13" x14ac:dyDescent="0.2">
      <c r="L170" s="4">
        <v>164</v>
      </c>
      <c r="M170" s="21">
        <v>120134.79058791499</v>
      </c>
    </row>
    <row r="171" spans="12:13" x14ac:dyDescent="0.2">
      <c r="L171" s="4">
        <v>165</v>
      </c>
      <c r="M171" s="21">
        <v>-116197.38065764062</v>
      </c>
    </row>
    <row r="172" spans="12:13" x14ac:dyDescent="0.2">
      <c r="L172" s="4">
        <v>166</v>
      </c>
      <c r="M172" s="21">
        <v>271696.51858421112</v>
      </c>
    </row>
    <row r="173" spans="12:13" x14ac:dyDescent="0.2">
      <c r="L173" s="4">
        <v>167</v>
      </c>
      <c r="M173" s="21">
        <v>-198737.62808213854</v>
      </c>
    </row>
    <row r="174" spans="12:13" x14ac:dyDescent="0.2">
      <c r="L174" s="4">
        <v>168</v>
      </c>
      <c r="M174" s="21">
        <v>98396.452180772903</v>
      </c>
    </row>
    <row r="175" spans="12:13" x14ac:dyDescent="0.2">
      <c r="L175" s="4">
        <v>169</v>
      </c>
      <c r="M175" s="21">
        <v>-146178.43341591381</v>
      </c>
    </row>
    <row r="176" spans="12:13" x14ac:dyDescent="0.2">
      <c r="L176" s="4">
        <v>170</v>
      </c>
      <c r="M176" s="21">
        <v>-71092.330996187913</v>
      </c>
    </row>
    <row r="177" spans="12:13" x14ac:dyDescent="0.2">
      <c r="L177" s="4">
        <v>171</v>
      </c>
      <c r="M177" s="21">
        <v>361427.97624671739</v>
      </c>
    </row>
    <row r="178" spans="12:13" x14ac:dyDescent="0.2">
      <c r="L178" s="4">
        <v>172</v>
      </c>
      <c r="M178" s="21">
        <v>104587.35557313627</v>
      </c>
    </row>
    <row r="179" spans="12:13" x14ac:dyDescent="0.2">
      <c r="L179" s="4">
        <v>173</v>
      </c>
      <c r="M179" s="21">
        <v>43808.076836931374</v>
      </c>
    </row>
    <row r="180" spans="12:13" x14ac:dyDescent="0.2">
      <c r="L180" s="4">
        <v>174</v>
      </c>
      <c r="M180" s="21">
        <v>216560.20629561559</v>
      </c>
    </row>
    <row r="181" spans="12:13" x14ac:dyDescent="0.2">
      <c r="L181" s="4">
        <v>175</v>
      </c>
      <c r="M181" s="21">
        <v>55213.287982804672</v>
      </c>
    </row>
    <row r="182" spans="12:13" x14ac:dyDescent="0.2">
      <c r="L182" s="4">
        <v>176</v>
      </c>
      <c r="M182" s="21">
        <v>-354168.58924822329</v>
      </c>
    </row>
    <row r="183" spans="12:13" x14ac:dyDescent="0.2">
      <c r="L183" s="4">
        <v>177</v>
      </c>
      <c r="M183" s="21">
        <v>41166.879743963334</v>
      </c>
    </row>
    <row r="184" spans="12:13" x14ac:dyDescent="0.2">
      <c r="L184" s="4">
        <v>178</v>
      </c>
      <c r="M184" s="21">
        <v>-37134.733034252247</v>
      </c>
    </row>
    <row r="185" spans="12:13" x14ac:dyDescent="0.2">
      <c r="L185" s="4">
        <v>179</v>
      </c>
      <c r="M185" s="21">
        <v>-3919.5061955590354</v>
      </c>
    </row>
    <row r="186" spans="12:13" x14ac:dyDescent="0.2">
      <c r="L186" s="4">
        <v>180</v>
      </c>
      <c r="M186" s="21">
        <v>-237851.87910359446</v>
      </c>
    </row>
    <row r="187" spans="12:13" x14ac:dyDescent="0.2">
      <c r="L187" s="4">
        <v>181</v>
      </c>
      <c r="M187" s="21">
        <v>-28354.147051857886</v>
      </c>
    </row>
    <row r="188" spans="12:13" x14ac:dyDescent="0.2">
      <c r="L188" s="4">
        <v>182</v>
      </c>
      <c r="M188" s="21">
        <v>166666.45356062808</v>
      </c>
    </row>
    <row r="189" spans="12:13" x14ac:dyDescent="0.2">
      <c r="L189" s="4">
        <v>183</v>
      </c>
      <c r="M189" s="21">
        <v>27017.330348520831</v>
      </c>
    </row>
    <row r="190" spans="12:13" x14ac:dyDescent="0.2">
      <c r="L190" s="4">
        <v>184</v>
      </c>
      <c r="M190" s="21">
        <v>427242.20219294878</v>
      </c>
    </row>
    <row r="191" spans="12:13" x14ac:dyDescent="0.2">
      <c r="L191" s="4">
        <v>185</v>
      </c>
      <c r="M191" s="21">
        <v>-249555.57487613475</v>
      </c>
    </row>
    <row r="192" spans="12:13" x14ac:dyDescent="0.2">
      <c r="L192" s="4">
        <v>186</v>
      </c>
      <c r="M192" s="21">
        <v>330121.11553756602</v>
      </c>
    </row>
    <row r="193" spans="12:13" x14ac:dyDescent="0.2">
      <c r="L193" s="4">
        <v>187</v>
      </c>
      <c r="M193" s="21">
        <v>69632.695862437889</v>
      </c>
    </row>
    <row r="194" spans="12:13" x14ac:dyDescent="0.2">
      <c r="L194" s="4">
        <v>188</v>
      </c>
      <c r="M194" s="21">
        <v>177296.16413549619</v>
      </c>
    </row>
    <row r="195" spans="12:13" x14ac:dyDescent="0.2">
      <c r="L195" s="4">
        <v>189</v>
      </c>
      <c r="M195" s="21">
        <v>211803.90932146242</v>
      </c>
    </row>
    <row r="196" spans="12:13" x14ac:dyDescent="0.2">
      <c r="L196" s="4">
        <v>190</v>
      </c>
      <c r="M196" s="21">
        <v>18914.826792153355</v>
      </c>
    </row>
    <row r="197" spans="12:13" x14ac:dyDescent="0.2">
      <c r="L197" s="4">
        <v>191</v>
      </c>
      <c r="M197" s="21">
        <v>-130386.21748836203</v>
      </c>
    </row>
    <row r="198" spans="12:13" x14ac:dyDescent="0.2">
      <c r="L198" s="4">
        <v>192</v>
      </c>
      <c r="M198" s="21">
        <v>292116.11658842862</v>
      </c>
    </row>
    <row r="199" spans="12:13" x14ac:dyDescent="0.2">
      <c r="L199" s="4">
        <v>193</v>
      </c>
      <c r="M199" s="21">
        <v>19133.025586616684</v>
      </c>
    </row>
    <row r="200" spans="12:13" x14ac:dyDescent="0.2">
      <c r="L200" s="4">
        <v>194</v>
      </c>
      <c r="M200" s="21">
        <v>89371.62221689662</v>
      </c>
    </row>
    <row r="201" spans="12:13" x14ac:dyDescent="0.2">
      <c r="L201" s="4">
        <v>195</v>
      </c>
      <c r="M201" s="21">
        <v>15663.672336941032</v>
      </c>
    </row>
    <row r="202" spans="12:13" x14ac:dyDescent="0.2">
      <c r="L202" s="4">
        <v>196</v>
      </c>
      <c r="M202" s="21">
        <v>17832.994772885402</v>
      </c>
    </row>
    <row r="203" spans="12:13" x14ac:dyDescent="0.2">
      <c r="L203" s="4">
        <v>197</v>
      </c>
      <c r="M203" s="21">
        <v>26110.123975968483</v>
      </c>
    </row>
    <row r="204" spans="12:13" x14ac:dyDescent="0.2">
      <c r="L204" s="4">
        <v>198</v>
      </c>
      <c r="M204" s="21">
        <v>161914.01740020167</v>
      </c>
    </row>
    <row r="205" spans="12:13" x14ac:dyDescent="0.2">
      <c r="L205" s="4">
        <v>199</v>
      </c>
      <c r="M205" s="21">
        <v>-43210.327660050229</v>
      </c>
    </row>
    <row r="206" spans="12:13" x14ac:dyDescent="0.2">
      <c r="L206" s="4">
        <v>200</v>
      </c>
      <c r="M206" s="21">
        <v>98593.359222826402</v>
      </c>
    </row>
    <row r="207" spans="12:13" x14ac:dyDescent="0.2">
      <c r="L207" s="4">
        <v>201</v>
      </c>
      <c r="M207" s="21">
        <v>207301.75356125768</v>
      </c>
    </row>
    <row r="208" spans="12:13" x14ac:dyDescent="0.2">
      <c r="L208" s="4">
        <v>202</v>
      </c>
      <c r="M208" s="21">
        <v>-122971.47173485273</v>
      </c>
    </row>
    <row r="209" spans="12:13" x14ac:dyDescent="0.2">
      <c r="L209" s="4">
        <v>203</v>
      </c>
      <c r="M209" s="21">
        <v>-28295.247247343912</v>
      </c>
    </row>
    <row r="210" spans="12:13" x14ac:dyDescent="0.2">
      <c r="L210" s="4">
        <v>204</v>
      </c>
      <c r="M210" s="21">
        <v>68080.362520998897</v>
      </c>
    </row>
    <row r="211" spans="12:13" x14ac:dyDescent="0.2">
      <c r="L211" s="4">
        <v>205</v>
      </c>
      <c r="M211" s="21">
        <v>84477.563653841207</v>
      </c>
    </row>
    <row r="212" spans="12:13" x14ac:dyDescent="0.2">
      <c r="L212" s="4">
        <v>206</v>
      </c>
      <c r="M212" s="21">
        <v>246943.20880665357</v>
      </c>
    </row>
    <row r="213" spans="12:13" x14ac:dyDescent="0.2">
      <c r="L213" s="4">
        <v>207</v>
      </c>
      <c r="M213" s="21">
        <v>-223035.14514623463</v>
      </c>
    </row>
    <row r="214" spans="12:13" x14ac:dyDescent="0.2">
      <c r="L214" s="4">
        <v>208</v>
      </c>
      <c r="M214" s="21">
        <v>-152083.0483744035</v>
      </c>
    </row>
    <row r="215" spans="12:13" x14ac:dyDescent="0.2">
      <c r="L215" s="4">
        <v>209</v>
      </c>
      <c r="M215" s="21">
        <v>102044.40217432167</v>
      </c>
    </row>
    <row r="216" spans="12:13" x14ac:dyDescent="0.2">
      <c r="L216" s="4">
        <v>210</v>
      </c>
      <c r="M216" s="21">
        <v>-99657.762803098216</v>
      </c>
    </row>
    <row r="217" spans="12:13" x14ac:dyDescent="0.2">
      <c r="L217" s="4">
        <v>211</v>
      </c>
      <c r="M217" s="21">
        <v>-25235.999943958202</v>
      </c>
    </row>
    <row r="218" spans="12:13" x14ac:dyDescent="0.2">
      <c r="L218" s="4">
        <v>212</v>
      </c>
      <c r="M218" s="21">
        <v>71874.567561643576</v>
      </c>
    </row>
    <row r="219" spans="12:13" x14ac:dyDescent="0.2">
      <c r="L219" s="4">
        <v>213</v>
      </c>
      <c r="M219" s="21">
        <v>-36766.333477174892</v>
      </c>
    </row>
    <row r="220" spans="12:13" x14ac:dyDescent="0.2">
      <c r="L220" s="4">
        <v>214</v>
      </c>
      <c r="M220" s="21">
        <v>207348.34291090054</v>
      </c>
    </row>
    <row r="221" spans="12:13" x14ac:dyDescent="0.2">
      <c r="L221" s="4">
        <v>215</v>
      </c>
      <c r="M221" s="21">
        <v>-87935.441068903077</v>
      </c>
    </row>
    <row r="222" spans="12:13" x14ac:dyDescent="0.2">
      <c r="L222" s="4">
        <v>216</v>
      </c>
      <c r="M222" s="21">
        <v>263321.85104567802</v>
      </c>
    </row>
    <row r="223" spans="12:13" x14ac:dyDescent="0.2">
      <c r="L223" s="4">
        <v>217</v>
      </c>
      <c r="M223" s="21">
        <v>480614.71220628003</v>
      </c>
    </row>
    <row r="224" spans="12:13" x14ac:dyDescent="0.2">
      <c r="L224" s="4">
        <v>218</v>
      </c>
      <c r="M224" s="21">
        <v>175588.86363617386</v>
      </c>
    </row>
    <row r="225" spans="12:13" x14ac:dyDescent="0.2">
      <c r="L225" s="4">
        <v>219</v>
      </c>
      <c r="M225" s="21">
        <v>81086.816418930481</v>
      </c>
    </row>
    <row r="226" spans="12:13" x14ac:dyDescent="0.2">
      <c r="L226" s="4">
        <v>220</v>
      </c>
      <c r="M226" s="21">
        <v>-178355.06506048286</v>
      </c>
    </row>
    <row r="227" spans="12:13" x14ac:dyDescent="0.2">
      <c r="L227" s="4">
        <v>221</v>
      </c>
      <c r="M227" s="21">
        <v>-67751.787238010467</v>
      </c>
    </row>
    <row r="228" spans="12:13" x14ac:dyDescent="0.2">
      <c r="L228" s="4">
        <v>222</v>
      </c>
      <c r="M228" s="21">
        <v>-122670.4613286035</v>
      </c>
    </row>
    <row r="229" spans="12:13" x14ac:dyDescent="0.2">
      <c r="L229" s="4">
        <v>223</v>
      </c>
      <c r="M229" s="21">
        <v>318596.3657265259</v>
      </c>
    </row>
    <row r="230" spans="12:13" x14ac:dyDescent="0.2">
      <c r="L230" s="4">
        <v>224</v>
      </c>
      <c r="M230" s="21">
        <v>-289135.49915656284</v>
      </c>
    </row>
    <row r="231" spans="12:13" x14ac:dyDescent="0.2">
      <c r="L231" s="4">
        <v>225</v>
      </c>
      <c r="M231" s="21">
        <v>-19376.084326527212</v>
      </c>
    </row>
    <row r="232" spans="12:13" x14ac:dyDescent="0.2">
      <c r="L232" s="4">
        <v>226</v>
      </c>
      <c r="M232" s="21">
        <v>87722.451290701807</v>
      </c>
    </row>
    <row r="233" spans="12:13" x14ac:dyDescent="0.2">
      <c r="L233" s="4">
        <v>227</v>
      </c>
      <c r="M233" s="21">
        <v>-321197.81800763361</v>
      </c>
    </row>
    <row r="234" spans="12:13" x14ac:dyDescent="0.2">
      <c r="L234" s="4">
        <v>228</v>
      </c>
      <c r="M234" s="21">
        <v>-4685.0289459070773</v>
      </c>
    </row>
    <row r="235" spans="12:13" x14ac:dyDescent="0.2">
      <c r="L235" s="4">
        <v>229</v>
      </c>
      <c r="M235" s="21">
        <v>-55240.247123145877</v>
      </c>
    </row>
    <row r="236" spans="12:13" x14ac:dyDescent="0.2">
      <c r="L236" s="4">
        <v>230</v>
      </c>
      <c r="M236" s="21">
        <v>-12580.823874886381</v>
      </c>
    </row>
    <row r="237" spans="12:13" x14ac:dyDescent="0.2">
      <c r="L237" s="4">
        <v>231</v>
      </c>
      <c r="M237" s="21">
        <v>27482.516759026359</v>
      </c>
    </row>
    <row r="238" spans="12:13" x14ac:dyDescent="0.2">
      <c r="L238" s="4">
        <v>232</v>
      </c>
      <c r="M238" s="21">
        <v>97892.241681529762</v>
      </c>
    </row>
    <row r="239" spans="12:13" x14ac:dyDescent="0.2">
      <c r="L239" s="4">
        <v>233</v>
      </c>
      <c r="M239" s="21">
        <v>77058.136314914853</v>
      </c>
    </row>
    <row r="240" spans="12:13" x14ac:dyDescent="0.2">
      <c r="L240" s="4">
        <v>234</v>
      </c>
      <c r="M240" s="21">
        <v>-76888.979287843205</v>
      </c>
    </row>
    <row r="241" spans="12:13" x14ac:dyDescent="0.2">
      <c r="L241" s="4">
        <v>235</v>
      </c>
      <c r="M241" s="21">
        <v>-10950.189988381404</v>
      </c>
    </row>
    <row r="242" spans="12:13" x14ac:dyDescent="0.2">
      <c r="L242" s="4">
        <v>236</v>
      </c>
      <c r="M242" s="21">
        <v>171219.96108615311</v>
      </c>
    </row>
    <row r="243" spans="12:13" x14ac:dyDescent="0.2">
      <c r="L243" s="4">
        <v>237</v>
      </c>
      <c r="M243" s="21">
        <v>-102731.70290294512</v>
      </c>
    </row>
    <row r="244" spans="12:13" x14ac:dyDescent="0.2">
      <c r="L244" s="4">
        <v>238</v>
      </c>
      <c r="M244" s="21">
        <v>230694.49739480816</v>
      </c>
    </row>
    <row r="245" spans="12:13" x14ac:dyDescent="0.2">
      <c r="L245" s="4">
        <v>239</v>
      </c>
      <c r="M245" s="21">
        <v>348004.46270133962</v>
      </c>
    </row>
    <row r="246" spans="12:13" x14ac:dyDescent="0.2">
      <c r="L246" s="4">
        <v>240</v>
      </c>
      <c r="M246" s="21">
        <v>211719.1801992179</v>
      </c>
    </row>
    <row r="247" spans="12:13" x14ac:dyDescent="0.2">
      <c r="L247" s="4">
        <v>241</v>
      </c>
      <c r="M247" s="21">
        <v>179522.58915840884</v>
      </c>
    </row>
    <row r="248" spans="12:13" x14ac:dyDescent="0.2">
      <c r="L248" s="4">
        <v>242</v>
      </c>
      <c r="M248" s="21">
        <v>-40261.085986444567</v>
      </c>
    </row>
    <row r="249" spans="12:13" x14ac:dyDescent="0.2">
      <c r="L249" s="4">
        <v>243</v>
      </c>
      <c r="M249" s="21">
        <v>587577.87380327447</v>
      </c>
    </row>
    <row r="250" spans="12:13" x14ac:dyDescent="0.2">
      <c r="L250" s="4">
        <v>244</v>
      </c>
      <c r="M250" s="21">
        <v>-161680.32532289496</v>
      </c>
    </row>
    <row r="251" spans="12:13" x14ac:dyDescent="0.2">
      <c r="L251" s="4">
        <v>245</v>
      </c>
      <c r="M251" s="21">
        <v>74590.308892225265</v>
      </c>
    </row>
    <row r="252" spans="12:13" x14ac:dyDescent="0.2">
      <c r="L252" s="4">
        <v>246</v>
      </c>
      <c r="M252" s="21">
        <v>62834.047256626101</v>
      </c>
    </row>
    <row r="253" spans="12:13" x14ac:dyDescent="0.2">
      <c r="L253" s="4">
        <v>247</v>
      </c>
      <c r="M253" s="21">
        <v>293675.94123560563</v>
      </c>
    </row>
    <row r="254" spans="12:13" x14ac:dyDescent="0.2">
      <c r="L254" s="4">
        <v>248</v>
      </c>
      <c r="M254" s="21">
        <v>244210.46886520594</v>
      </c>
    </row>
    <row r="255" spans="12:13" x14ac:dyDescent="0.2">
      <c r="L255" s="4">
        <v>249</v>
      </c>
      <c r="M255" s="21">
        <v>93968.706642289966</v>
      </c>
    </row>
    <row r="256" spans="12:13" x14ac:dyDescent="0.2">
      <c r="L256" s="4">
        <v>250</v>
      </c>
      <c r="M256" s="21">
        <v>200706.42691610829</v>
      </c>
    </row>
    <row r="257" spans="12:13" x14ac:dyDescent="0.2">
      <c r="L257" s="4">
        <v>251</v>
      </c>
      <c r="M257" s="21">
        <v>-20836.943553380566</v>
      </c>
    </row>
    <row r="258" spans="12:13" x14ac:dyDescent="0.2">
      <c r="L258" s="4">
        <v>252</v>
      </c>
      <c r="M258" s="21">
        <v>-15401.101071649784</v>
      </c>
    </row>
    <row r="259" spans="12:13" x14ac:dyDescent="0.2">
      <c r="L259" s="4">
        <v>253</v>
      </c>
      <c r="M259" s="21">
        <v>-6603.720677723657</v>
      </c>
    </row>
    <row r="260" spans="12:13" x14ac:dyDescent="0.2">
      <c r="L260" s="4">
        <v>254</v>
      </c>
      <c r="M260" s="21">
        <v>-16869.872477676283</v>
      </c>
    </row>
    <row r="261" spans="12:13" x14ac:dyDescent="0.2">
      <c r="L261" s="4">
        <v>255</v>
      </c>
      <c r="M261" s="21">
        <v>-2746.0641935635504</v>
      </c>
    </row>
    <row r="262" spans="12:13" x14ac:dyDescent="0.2">
      <c r="L262" s="4">
        <v>256</v>
      </c>
      <c r="M262" s="21">
        <v>-20265.768051805921</v>
      </c>
    </row>
    <row r="263" spans="12:13" x14ac:dyDescent="0.2">
      <c r="L263" s="4">
        <v>257</v>
      </c>
      <c r="M263" s="21">
        <v>148927.2574739464</v>
      </c>
    </row>
    <row r="264" spans="12:13" x14ac:dyDescent="0.2">
      <c r="L264" s="4">
        <v>258</v>
      </c>
      <c r="M264" s="21">
        <v>36082.17905718257</v>
      </c>
    </row>
    <row r="265" spans="12:13" x14ac:dyDescent="0.2">
      <c r="L265" s="4">
        <v>259</v>
      </c>
      <c r="M265" s="21">
        <v>272167.74401768192</v>
      </c>
    </row>
    <row r="266" spans="12:13" x14ac:dyDescent="0.2">
      <c r="L266" s="4">
        <v>260</v>
      </c>
      <c r="M266" s="21">
        <v>121448.6656988601</v>
      </c>
    </row>
    <row r="267" spans="12:13" x14ac:dyDescent="0.2">
      <c r="L267" s="4">
        <v>261</v>
      </c>
      <c r="M267" s="21">
        <v>-58605.177060936359</v>
      </c>
    </row>
    <row r="268" spans="12:13" x14ac:dyDescent="0.2">
      <c r="L268" s="4">
        <v>262</v>
      </c>
      <c r="M268" s="21">
        <v>-386646.47297249513</v>
      </c>
    </row>
    <row r="269" spans="12:13" x14ac:dyDescent="0.2">
      <c r="L269" s="4">
        <v>263</v>
      </c>
      <c r="M269" s="21">
        <v>-119840.96505031358</v>
      </c>
    </row>
    <row r="270" spans="12:13" x14ac:dyDescent="0.2">
      <c r="L270" s="4">
        <v>264</v>
      </c>
      <c r="M270" s="21">
        <v>-36439.469644815428</v>
      </c>
    </row>
    <row r="271" spans="12:13" x14ac:dyDescent="0.2">
      <c r="L271" s="4">
        <v>265</v>
      </c>
      <c r="M271" s="21">
        <v>239525.55335581474</v>
      </c>
    </row>
    <row r="272" spans="12:13" x14ac:dyDescent="0.2">
      <c r="L272" s="4">
        <v>266</v>
      </c>
      <c r="M272" s="21">
        <v>-21012.496149077866</v>
      </c>
    </row>
    <row r="273" spans="12:13" x14ac:dyDescent="0.2">
      <c r="L273" s="4">
        <v>267</v>
      </c>
      <c r="M273" s="21">
        <v>-38517.898720941885</v>
      </c>
    </row>
    <row r="274" spans="12:13" x14ac:dyDescent="0.2">
      <c r="L274" s="4">
        <v>268</v>
      </c>
      <c r="M274" s="21">
        <v>-105773.01087658103</v>
      </c>
    </row>
    <row r="275" spans="12:13" x14ac:dyDescent="0.2">
      <c r="L275" s="4">
        <v>269</v>
      </c>
      <c r="M275" s="21">
        <v>-129568.31504031731</v>
      </c>
    </row>
    <row r="276" spans="12:13" x14ac:dyDescent="0.2">
      <c r="L276" s="4">
        <v>270</v>
      </c>
      <c r="M276" s="21">
        <v>224588.55919680992</v>
      </c>
    </row>
    <row r="277" spans="12:13" x14ac:dyDescent="0.2">
      <c r="L277" s="4">
        <v>271</v>
      </c>
      <c r="M277" s="21">
        <v>137406.28096360867</v>
      </c>
    </row>
    <row r="278" spans="12:13" x14ac:dyDescent="0.2">
      <c r="L278" s="4">
        <v>272</v>
      </c>
      <c r="M278" s="21">
        <v>166556.72558017762</v>
      </c>
    </row>
    <row r="279" spans="12:13" x14ac:dyDescent="0.2">
      <c r="L279" s="4">
        <v>273</v>
      </c>
      <c r="M279" s="21">
        <v>77146.241305912496</v>
      </c>
    </row>
    <row r="280" spans="12:13" x14ac:dyDescent="0.2">
      <c r="L280" s="4">
        <v>274</v>
      </c>
      <c r="M280" s="21">
        <v>-97624.130920096111</v>
      </c>
    </row>
    <row r="281" spans="12:13" x14ac:dyDescent="0.2">
      <c r="L281" s="4">
        <v>275</v>
      </c>
      <c r="M281" s="21">
        <v>457522.93531139538</v>
      </c>
    </row>
    <row r="282" spans="12:13" x14ac:dyDescent="0.2">
      <c r="L282" s="4">
        <v>276</v>
      </c>
      <c r="M282" s="21">
        <v>206553.77681111731</v>
      </c>
    </row>
    <row r="283" spans="12:13" x14ac:dyDescent="0.2">
      <c r="L283" s="4">
        <v>277</v>
      </c>
      <c r="M283" s="21">
        <v>-94383.398725151943</v>
      </c>
    </row>
    <row r="284" spans="12:13" x14ac:dyDescent="0.2">
      <c r="L284" s="4">
        <v>278</v>
      </c>
      <c r="M284" s="21">
        <v>38684.499973881117</v>
      </c>
    </row>
    <row r="285" spans="12:13" x14ac:dyDescent="0.2">
      <c r="L285" s="4">
        <v>279</v>
      </c>
      <c r="M285" s="21">
        <v>54372.707720642968</v>
      </c>
    </row>
    <row r="286" spans="12:13" x14ac:dyDescent="0.2">
      <c r="L286" s="4">
        <v>280</v>
      </c>
      <c r="M286" s="21">
        <v>-281738.68567502173</v>
      </c>
    </row>
    <row r="287" spans="12:13" x14ac:dyDescent="0.2">
      <c r="L287" s="4">
        <v>281</v>
      </c>
      <c r="M287" s="21">
        <v>122626.32584703263</v>
      </c>
    </row>
    <row r="288" spans="12:13" x14ac:dyDescent="0.2">
      <c r="L288" s="4">
        <v>282</v>
      </c>
      <c r="M288" s="21">
        <v>-140697.07978977749</v>
      </c>
    </row>
    <row r="289" spans="12:13" x14ac:dyDescent="0.2">
      <c r="L289" s="4">
        <v>283</v>
      </c>
      <c r="M289" s="21">
        <v>60339.700829085574</v>
      </c>
    </row>
    <row r="290" spans="12:13" x14ac:dyDescent="0.2">
      <c r="L290" s="4">
        <v>284</v>
      </c>
      <c r="M290" s="21">
        <v>10648.535615240253</v>
      </c>
    </row>
    <row r="291" spans="12:13" x14ac:dyDescent="0.2">
      <c r="L291" s="4">
        <v>285</v>
      </c>
      <c r="M291" s="21">
        <v>-205317.22144353262</v>
      </c>
    </row>
    <row r="292" spans="12:13" x14ac:dyDescent="0.2">
      <c r="L292" s="4">
        <v>286</v>
      </c>
      <c r="M292" s="21">
        <v>65875.598222247761</v>
      </c>
    </row>
    <row r="293" spans="12:13" x14ac:dyDescent="0.2">
      <c r="L293" s="4">
        <v>287</v>
      </c>
      <c r="M293" s="21">
        <v>213677.82277718617</v>
      </c>
    </row>
    <row r="294" spans="12:13" x14ac:dyDescent="0.2">
      <c r="L294" s="4">
        <v>288</v>
      </c>
      <c r="M294" s="21">
        <v>251435.68439217127</v>
      </c>
    </row>
    <row r="295" spans="12:13" x14ac:dyDescent="0.2">
      <c r="L295" s="4">
        <v>289</v>
      </c>
      <c r="M295" s="21">
        <v>-42105.834812871588</v>
      </c>
    </row>
    <row r="296" spans="12:13" x14ac:dyDescent="0.2">
      <c r="L296" s="4">
        <v>290</v>
      </c>
      <c r="M296" s="21">
        <v>207202.80717172057</v>
      </c>
    </row>
    <row r="297" spans="12:13" x14ac:dyDescent="0.2">
      <c r="L297" s="4">
        <v>291</v>
      </c>
      <c r="M297" s="21">
        <v>436877.83177522349</v>
      </c>
    </row>
    <row r="298" spans="12:13" x14ac:dyDescent="0.2">
      <c r="L298" s="4">
        <v>292</v>
      </c>
      <c r="M298" s="21">
        <v>-42472.206296654127</v>
      </c>
    </row>
    <row r="299" spans="12:13" x14ac:dyDescent="0.2">
      <c r="L299" s="4">
        <v>293</v>
      </c>
      <c r="M299" s="21">
        <v>90882.165998034325</v>
      </c>
    </row>
    <row r="300" spans="12:13" x14ac:dyDescent="0.2">
      <c r="L300" s="4">
        <v>294</v>
      </c>
      <c r="M300" s="21">
        <v>-203816.78464430702</v>
      </c>
    </row>
    <row r="301" spans="12:13" x14ac:dyDescent="0.2">
      <c r="L301" s="4">
        <v>295</v>
      </c>
      <c r="M301" s="21">
        <v>-13660.355140965825</v>
      </c>
    </row>
    <row r="302" spans="12:13" x14ac:dyDescent="0.2">
      <c r="L302" s="4">
        <v>296</v>
      </c>
      <c r="M302" s="21">
        <v>-127127.583165637</v>
      </c>
    </row>
    <row r="303" spans="12:13" x14ac:dyDescent="0.2">
      <c r="L303" s="4">
        <v>297</v>
      </c>
      <c r="M303" s="21">
        <v>333683.19028286566</v>
      </c>
    </row>
    <row r="304" spans="12:13" x14ac:dyDescent="0.2">
      <c r="L304" s="4">
        <v>298</v>
      </c>
      <c r="M304" s="21">
        <v>-342120.85883162147</v>
      </c>
    </row>
    <row r="305" spans="12:13" x14ac:dyDescent="0.2">
      <c r="L305" s="4">
        <v>299</v>
      </c>
      <c r="M305" s="21">
        <v>-89747.0525615566</v>
      </c>
    </row>
    <row r="306" spans="12:13" x14ac:dyDescent="0.2">
      <c r="L306" s="4">
        <v>300</v>
      </c>
      <c r="M306" s="21">
        <v>-326567.70474788791</v>
      </c>
    </row>
    <row r="307" spans="12:13" x14ac:dyDescent="0.2">
      <c r="L307" s="4">
        <v>301</v>
      </c>
      <c r="M307" s="21">
        <v>-180316.00529939611</v>
      </c>
    </row>
    <row r="308" spans="12:13" x14ac:dyDescent="0.2">
      <c r="L308" s="4">
        <v>302</v>
      </c>
      <c r="M308" s="21">
        <v>-139394.28668465442</v>
      </c>
    </row>
    <row r="309" spans="12:13" x14ac:dyDescent="0.2">
      <c r="L309" s="4">
        <v>303</v>
      </c>
      <c r="M309" s="21">
        <v>118116.50177638646</v>
      </c>
    </row>
    <row r="310" spans="12:13" x14ac:dyDescent="0.2">
      <c r="L310" s="4">
        <v>304</v>
      </c>
      <c r="M310" s="21">
        <v>215219.40270055743</v>
      </c>
    </row>
    <row r="311" spans="12:13" x14ac:dyDescent="0.2">
      <c r="L311" s="4">
        <v>305</v>
      </c>
      <c r="M311" s="21">
        <v>-49884.135642797788</v>
      </c>
    </row>
    <row r="312" spans="12:13" x14ac:dyDescent="0.2">
      <c r="L312" s="4">
        <v>306</v>
      </c>
      <c r="M312" s="21">
        <v>-133626.98736849887</v>
      </c>
    </row>
    <row r="313" spans="12:13" x14ac:dyDescent="0.2">
      <c r="L313" s="4">
        <v>307</v>
      </c>
      <c r="M313" s="21">
        <v>244902.1216117962</v>
      </c>
    </row>
    <row r="314" spans="12:13" x14ac:dyDescent="0.2">
      <c r="L314" s="4">
        <v>308</v>
      </c>
      <c r="M314" s="21">
        <v>132751.10852097921</v>
      </c>
    </row>
    <row r="315" spans="12:13" x14ac:dyDescent="0.2">
      <c r="L315" s="4">
        <v>309</v>
      </c>
      <c r="M315" s="21">
        <v>-252608.88420880889</v>
      </c>
    </row>
    <row r="316" spans="12:13" x14ac:dyDescent="0.2">
      <c r="L316" s="4">
        <v>310</v>
      </c>
      <c r="M316" s="21">
        <v>-51341.218781084041</v>
      </c>
    </row>
    <row r="317" spans="12:13" x14ac:dyDescent="0.2">
      <c r="L317" s="4">
        <v>311</v>
      </c>
      <c r="M317" s="21">
        <v>90882.367191661033</v>
      </c>
    </row>
    <row r="318" spans="12:13" x14ac:dyDescent="0.2">
      <c r="L318" s="4">
        <v>312</v>
      </c>
      <c r="M318" s="21">
        <v>129474.94585317399</v>
      </c>
    </row>
    <row r="319" spans="12:13" x14ac:dyDescent="0.2">
      <c r="L319" s="4">
        <v>313</v>
      </c>
      <c r="M319" s="21">
        <v>100166.67244645458</v>
      </c>
    </row>
    <row r="320" spans="12:13" x14ac:dyDescent="0.2">
      <c r="L320" s="4">
        <v>314</v>
      </c>
      <c r="M320" s="21">
        <v>37681.496105930128</v>
      </c>
    </row>
    <row r="321" spans="12:13" x14ac:dyDescent="0.2">
      <c r="L321" s="4">
        <v>315</v>
      </c>
      <c r="M321" s="21">
        <v>53769.495951786812</v>
      </c>
    </row>
    <row r="322" spans="12:13" x14ac:dyDescent="0.2">
      <c r="L322" s="4">
        <v>316</v>
      </c>
      <c r="M322" s="21">
        <v>23879.164598358155</v>
      </c>
    </row>
    <row r="323" spans="12:13" x14ac:dyDescent="0.2">
      <c r="L323" s="4">
        <v>317</v>
      </c>
      <c r="M323" s="21">
        <v>-133253.30397600989</v>
      </c>
    </row>
    <row r="324" spans="12:13" x14ac:dyDescent="0.2">
      <c r="L324" s="4">
        <v>318</v>
      </c>
      <c r="M324" s="21">
        <v>-254844.17661481822</v>
      </c>
    </row>
    <row r="325" spans="12:13" x14ac:dyDescent="0.2">
      <c r="L325" s="4">
        <v>319</v>
      </c>
      <c r="M325" s="21">
        <v>-4097.3499387437623</v>
      </c>
    </row>
    <row r="326" spans="12:13" x14ac:dyDescent="0.2">
      <c r="L326" s="4">
        <v>320</v>
      </c>
      <c r="M326" s="21">
        <v>42968.588071683189</v>
      </c>
    </row>
    <row r="327" spans="12:13" x14ac:dyDescent="0.2">
      <c r="L327" s="4">
        <v>321</v>
      </c>
      <c r="M327" s="21">
        <v>21308.739912895719</v>
      </c>
    </row>
    <row r="328" spans="12:13" x14ac:dyDescent="0.2">
      <c r="L328" s="4">
        <v>322</v>
      </c>
      <c r="M328" s="21">
        <v>175639.46149985265</v>
      </c>
    </row>
    <row r="329" spans="12:13" x14ac:dyDescent="0.2">
      <c r="L329" s="4">
        <v>323</v>
      </c>
      <c r="M329" s="21">
        <v>41489.378980177309</v>
      </c>
    </row>
    <row r="330" spans="12:13" x14ac:dyDescent="0.2">
      <c r="L330" s="4">
        <v>324</v>
      </c>
      <c r="M330" s="21">
        <v>-246771.92013049382</v>
      </c>
    </row>
    <row r="331" spans="12:13" x14ac:dyDescent="0.2">
      <c r="L331" s="4">
        <v>325</v>
      </c>
      <c r="M331" s="21">
        <v>-60309.110164319121</v>
      </c>
    </row>
    <row r="332" spans="12:13" x14ac:dyDescent="0.2">
      <c r="L332" s="4">
        <v>326</v>
      </c>
      <c r="M332" s="21">
        <v>-177412.92002167029</v>
      </c>
    </row>
    <row r="333" spans="12:13" x14ac:dyDescent="0.2">
      <c r="L333" s="4">
        <v>327</v>
      </c>
      <c r="M333" s="21">
        <v>-154321.71913949412</v>
      </c>
    </row>
    <row r="334" spans="12:13" x14ac:dyDescent="0.2">
      <c r="L334" s="4">
        <v>328</v>
      </c>
      <c r="M334" s="21">
        <v>314353.99374132254</v>
      </c>
    </row>
    <row r="335" spans="12:13" x14ac:dyDescent="0.2">
      <c r="L335" s="4">
        <v>329</v>
      </c>
      <c r="M335" s="21">
        <v>501383.42282294773</v>
      </c>
    </row>
    <row r="336" spans="12:13" x14ac:dyDescent="0.2">
      <c r="L336" s="4">
        <v>330</v>
      </c>
      <c r="M336" s="21">
        <v>82483.372220090649</v>
      </c>
    </row>
    <row r="337" spans="12:13" x14ac:dyDescent="0.2">
      <c r="L337" s="4">
        <v>331</v>
      </c>
      <c r="M337" s="21">
        <v>-342691.97211666324</v>
      </c>
    </row>
    <row r="338" spans="12:13" x14ac:dyDescent="0.2">
      <c r="L338" s="4">
        <v>332</v>
      </c>
      <c r="M338" s="21">
        <v>-64684.467485651912</v>
      </c>
    </row>
    <row r="339" spans="12:13" x14ac:dyDescent="0.2">
      <c r="L339" s="4">
        <v>333</v>
      </c>
      <c r="M339" s="21">
        <v>-18139.601081175482</v>
      </c>
    </row>
    <row r="340" spans="12:13" x14ac:dyDescent="0.2">
      <c r="L340" s="4">
        <v>334</v>
      </c>
      <c r="M340" s="21">
        <v>-70604.312094915105</v>
      </c>
    </row>
    <row r="341" spans="12:13" x14ac:dyDescent="0.2">
      <c r="L341" s="4">
        <v>335</v>
      </c>
      <c r="M341" s="21">
        <v>233140.20869128822</v>
      </c>
    </row>
    <row r="342" spans="12:13" x14ac:dyDescent="0.2">
      <c r="L342" s="4">
        <v>336</v>
      </c>
      <c r="M342" s="21">
        <v>-247247.86899916863</v>
      </c>
    </row>
    <row r="343" spans="12:13" x14ac:dyDescent="0.2">
      <c r="L343" s="4">
        <v>337</v>
      </c>
      <c r="M343" s="21">
        <v>57524.905243226414</v>
      </c>
    </row>
    <row r="344" spans="12:13" x14ac:dyDescent="0.2">
      <c r="L344" s="4">
        <v>338</v>
      </c>
      <c r="M344" s="21">
        <v>2768.959402000648</v>
      </c>
    </row>
    <row r="345" spans="12:13" x14ac:dyDescent="0.2">
      <c r="L345" s="4">
        <v>339</v>
      </c>
      <c r="M345" s="21">
        <v>94086.300375521416</v>
      </c>
    </row>
    <row r="346" spans="12:13" x14ac:dyDescent="0.2">
      <c r="L346" s="4">
        <v>340</v>
      </c>
      <c r="M346" s="21">
        <v>-185805.94721974229</v>
      </c>
    </row>
    <row r="347" spans="12:13" x14ac:dyDescent="0.2">
      <c r="L347" s="4">
        <v>341</v>
      </c>
      <c r="M347" s="21">
        <v>297106.83657452744</v>
      </c>
    </row>
    <row r="348" spans="12:13" x14ac:dyDescent="0.2">
      <c r="L348" s="4">
        <v>342</v>
      </c>
      <c r="M348" s="21">
        <v>-88652.724688667222</v>
      </c>
    </row>
    <row r="349" spans="12:13" x14ac:dyDescent="0.2">
      <c r="L349" s="4">
        <v>343</v>
      </c>
      <c r="M349" s="21">
        <v>146298.43126476297</v>
      </c>
    </row>
    <row r="350" spans="12:13" x14ac:dyDescent="0.2">
      <c r="L350" s="4">
        <v>344</v>
      </c>
      <c r="M350" s="21">
        <v>-39745.931383380186</v>
      </c>
    </row>
    <row r="351" spans="12:13" x14ac:dyDescent="0.2">
      <c r="L351" s="4">
        <v>345</v>
      </c>
      <c r="M351" s="21">
        <v>42830.880113429885</v>
      </c>
    </row>
    <row r="352" spans="12:13" x14ac:dyDescent="0.2">
      <c r="L352" s="4">
        <v>346</v>
      </c>
      <c r="M352" s="21">
        <v>-27815.315668431198</v>
      </c>
    </row>
    <row r="353" spans="12:13" x14ac:dyDescent="0.2">
      <c r="L353" s="4">
        <v>347</v>
      </c>
      <c r="M353" s="21">
        <v>219902.98129072101</v>
      </c>
    </row>
    <row r="354" spans="12:13" x14ac:dyDescent="0.2">
      <c r="L354" s="4">
        <v>348</v>
      </c>
      <c r="M354" s="21">
        <v>-230501.94392184282</v>
      </c>
    </row>
    <row r="355" spans="12:13" x14ac:dyDescent="0.2">
      <c r="L355" s="4">
        <v>349</v>
      </c>
      <c r="M355" s="21">
        <v>22609.685915113834</v>
      </c>
    </row>
    <row r="356" spans="12:13" x14ac:dyDescent="0.2">
      <c r="L356" s="4">
        <v>350</v>
      </c>
      <c r="M356" s="21">
        <v>-127208.86348909902</v>
      </c>
    </row>
    <row r="357" spans="12:13" x14ac:dyDescent="0.2">
      <c r="L357" s="4">
        <v>351</v>
      </c>
      <c r="M357" s="21">
        <v>-137902.87617437332</v>
      </c>
    </row>
    <row r="358" spans="12:13" x14ac:dyDescent="0.2">
      <c r="L358" s="4">
        <v>352</v>
      </c>
      <c r="M358" s="21">
        <v>370340.55801238865</v>
      </c>
    </row>
    <row r="359" spans="12:13" x14ac:dyDescent="0.2">
      <c r="L359" s="4">
        <v>353</v>
      </c>
      <c r="M359" s="21">
        <v>-217200.18973270367</v>
      </c>
    </row>
    <row r="360" spans="12:13" x14ac:dyDescent="0.2">
      <c r="L360" s="4">
        <v>354</v>
      </c>
      <c r="M360" s="21">
        <v>32178.378022682853</v>
      </c>
    </row>
    <row r="361" spans="12:13" x14ac:dyDescent="0.2">
      <c r="L361" s="4">
        <v>355</v>
      </c>
      <c r="M361" s="21">
        <v>175539.69692546342</v>
      </c>
    </row>
    <row r="362" spans="12:13" x14ac:dyDescent="0.2">
      <c r="L362" s="4">
        <v>356</v>
      </c>
      <c r="M362" s="21">
        <v>-33321.973348618747</v>
      </c>
    </row>
    <row r="363" spans="12:13" x14ac:dyDescent="0.2">
      <c r="L363" s="4">
        <v>357</v>
      </c>
      <c r="M363" s="21">
        <v>137857.76785393999</v>
      </c>
    </row>
    <row r="364" spans="12:13" x14ac:dyDescent="0.2">
      <c r="L364" s="4">
        <v>358</v>
      </c>
      <c r="M364" s="21">
        <v>157020.03715392819</v>
      </c>
    </row>
    <row r="365" spans="12:13" x14ac:dyDescent="0.2">
      <c r="L365" s="4">
        <v>359</v>
      </c>
      <c r="M365" s="21">
        <v>234209.57760070605</v>
      </c>
    </row>
    <row r="366" spans="12:13" x14ac:dyDescent="0.2">
      <c r="L366" s="4">
        <v>360</v>
      </c>
      <c r="M366" s="21">
        <v>133011.223552262</v>
      </c>
    </row>
    <row r="367" spans="12:13" x14ac:dyDescent="0.2">
      <c r="L367" s="4">
        <v>361</v>
      </c>
      <c r="M367" s="21">
        <v>165996.90532975033</v>
      </c>
    </row>
    <row r="368" spans="12:13" x14ac:dyDescent="0.2">
      <c r="L368" s="4">
        <v>362</v>
      </c>
      <c r="M368" s="21">
        <v>369924.06586986233</v>
      </c>
    </row>
    <row r="369" spans="12:13" x14ac:dyDescent="0.2">
      <c r="L369" s="4">
        <v>363</v>
      </c>
      <c r="M369" s="21">
        <v>285734.1998720307</v>
      </c>
    </row>
    <row r="370" spans="12:13" x14ac:dyDescent="0.2">
      <c r="L370" s="4">
        <v>364</v>
      </c>
      <c r="M370" s="21">
        <v>50714.79913841837</v>
      </c>
    </row>
    <row r="371" spans="12:13" x14ac:dyDescent="0.2">
      <c r="L371" s="4">
        <v>365</v>
      </c>
      <c r="M371" s="21">
        <v>122570.68673044315</v>
      </c>
    </row>
    <row r="372" spans="12:13" x14ac:dyDescent="0.2">
      <c r="L372" s="4">
        <v>366</v>
      </c>
      <c r="M372" s="21">
        <v>-122947.92405564274</v>
      </c>
    </row>
    <row r="373" spans="12:13" x14ac:dyDescent="0.2">
      <c r="L373" s="4">
        <v>367</v>
      </c>
      <c r="M373" s="21">
        <v>-162452.43352086309</v>
      </c>
    </row>
    <row r="374" spans="12:13" x14ac:dyDescent="0.2">
      <c r="L374" s="4">
        <v>368</v>
      </c>
      <c r="M374" s="21">
        <v>269780.04204189091</v>
      </c>
    </row>
    <row r="375" spans="12:13" x14ac:dyDescent="0.2">
      <c r="L375" s="4">
        <v>369</v>
      </c>
      <c r="M375" s="21">
        <v>-228042.75152657944</v>
      </c>
    </row>
    <row r="376" spans="12:13" x14ac:dyDescent="0.2">
      <c r="L376" s="4">
        <v>370</v>
      </c>
      <c r="M376" s="21">
        <v>174394.30915320982</v>
      </c>
    </row>
    <row r="377" spans="12:13" x14ac:dyDescent="0.2">
      <c r="L377" s="4">
        <v>371</v>
      </c>
      <c r="M377" s="21">
        <v>-87009.399601041543</v>
      </c>
    </row>
    <row r="378" spans="12:13" x14ac:dyDescent="0.2">
      <c r="L378" s="4">
        <v>372</v>
      </c>
      <c r="M378" s="21">
        <v>-149742.58086104263</v>
      </c>
    </row>
    <row r="379" spans="12:13" x14ac:dyDescent="0.2">
      <c r="L379" s="4">
        <v>373</v>
      </c>
      <c r="M379" s="21">
        <v>57973.181994527607</v>
      </c>
    </row>
    <row r="380" spans="12:13" x14ac:dyDescent="0.2">
      <c r="L380" s="4">
        <v>374</v>
      </c>
      <c r="M380" s="21">
        <v>394625.49392352556</v>
      </c>
    </row>
    <row r="381" spans="12:13" x14ac:dyDescent="0.2">
      <c r="L381" s="4">
        <v>375</v>
      </c>
      <c r="M381" s="21">
        <v>281265.73032277974</v>
      </c>
    </row>
    <row r="382" spans="12:13" x14ac:dyDescent="0.2">
      <c r="L382" s="4">
        <v>376</v>
      </c>
      <c r="M382" s="21">
        <v>-30901.988978413239</v>
      </c>
    </row>
    <row r="383" spans="12:13" x14ac:dyDescent="0.2">
      <c r="L383" s="4">
        <v>377</v>
      </c>
      <c r="M383" s="21">
        <v>-99289.955784144971</v>
      </c>
    </row>
    <row r="384" spans="12:13" x14ac:dyDescent="0.2">
      <c r="L384" s="4">
        <v>378</v>
      </c>
      <c r="M384" s="21">
        <v>33524.595754828712</v>
      </c>
    </row>
    <row r="385" spans="12:13" x14ac:dyDescent="0.2">
      <c r="L385" s="4">
        <v>379</v>
      </c>
      <c r="M385" s="21">
        <v>3809.8520289309381</v>
      </c>
    </row>
    <row r="386" spans="12:13" x14ac:dyDescent="0.2">
      <c r="L386" s="4">
        <v>380</v>
      </c>
      <c r="M386" s="21">
        <v>18489.927247781365</v>
      </c>
    </row>
    <row r="387" spans="12:13" x14ac:dyDescent="0.2">
      <c r="L387" s="4">
        <v>381</v>
      </c>
      <c r="M387" s="21">
        <v>-28753.953250303122</v>
      </c>
    </row>
    <row r="388" spans="12:13" x14ac:dyDescent="0.2">
      <c r="L388" s="4">
        <v>382</v>
      </c>
      <c r="M388" s="21">
        <v>-127708.92431923246</v>
      </c>
    </row>
    <row r="389" spans="12:13" x14ac:dyDescent="0.2">
      <c r="L389" s="4">
        <v>383</v>
      </c>
      <c r="M389" s="21">
        <v>254910.33455112492</v>
      </c>
    </row>
    <row r="390" spans="12:13" x14ac:dyDescent="0.2">
      <c r="L390" s="4">
        <v>384</v>
      </c>
      <c r="M390" s="21">
        <v>31592.913835620682</v>
      </c>
    </row>
    <row r="391" spans="12:13" x14ac:dyDescent="0.2">
      <c r="L391" s="4">
        <v>385</v>
      </c>
      <c r="M391" s="21">
        <v>8550.9896236851055</v>
      </c>
    </row>
    <row r="392" spans="12:13" x14ac:dyDescent="0.2">
      <c r="L392" s="4">
        <v>386</v>
      </c>
      <c r="M392" s="21">
        <v>58299.681900688302</v>
      </c>
    </row>
    <row r="393" spans="12:13" x14ac:dyDescent="0.2">
      <c r="L393" s="4">
        <v>387</v>
      </c>
      <c r="M393" s="21">
        <v>-237309.72549384215</v>
      </c>
    </row>
    <row r="394" spans="12:13" x14ac:dyDescent="0.2">
      <c r="L394" s="4">
        <v>388</v>
      </c>
      <c r="M394" s="21">
        <v>100009.36125991424</v>
      </c>
    </row>
    <row r="395" spans="12:13" x14ac:dyDescent="0.2">
      <c r="L395" s="4">
        <v>389</v>
      </c>
      <c r="M395" s="21">
        <v>-49796.548399382431</v>
      </c>
    </row>
    <row r="396" spans="12:13" x14ac:dyDescent="0.2">
      <c r="L396" s="4">
        <v>390</v>
      </c>
      <c r="M396" s="21">
        <v>225346.63297093063</v>
      </c>
    </row>
    <row r="397" spans="12:13" x14ac:dyDescent="0.2">
      <c r="L397" s="4">
        <v>391</v>
      </c>
      <c r="M397" s="21">
        <v>-216463.86608337396</v>
      </c>
    </row>
    <row r="398" spans="12:13" x14ac:dyDescent="0.2">
      <c r="L398" s="4">
        <v>392</v>
      </c>
      <c r="M398" s="21">
        <v>24482.745856782218</v>
      </c>
    </row>
    <row r="399" spans="12:13" x14ac:dyDescent="0.2">
      <c r="L399" s="4">
        <v>393</v>
      </c>
      <c r="M399" s="21">
        <v>197617.32503344887</v>
      </c>
    </row>
    <row r="400" spans="12:13" x14ac:dyDescent="0.2">
      <c r="L400" s="4">
        <v>394</v>
      </c>
      <c r="M400" s="21">
        <v>178596.8127298867</v>
      </c>
    </row>
    <row r="401" spans="12:13" x14ac:dyDescent="0.2">
      <c r="L401" s="4">
        <v>395</v>
      </c>
      <c r="M401" s="21">
        <v>181020.66824899439</v>
      </c>
    </row>
    <row r="402" spans="12:13" x14ac:dyDescent="0.2">
      <c r="L402" s="4">
        <v>396</v>
      </c>
      <c r="M402" s="21">
        <v>-52219.660229834873</v>
      </c>
    </row>
    <row r="403" spans="12:13" x14ac:dyDescent="0.2">
      <c r="L403" s="4">
        <v>397</v>
      </c>
      <c r="M403" s="21">
        <v>355477.97342848335</v>
      </c>
    </row>
    <row r="404" spans="12:13" x14ac:dyDescent="0.2">
      <c r="L404" s="4">
        <v>398</v>
      </c>
      <c r="M404" s="21">
        <v>405794.69906255224</v>
      </c>
    </row>
    <row r="405" spans="12:13" x14ac:dyDescent="0.2">
      <c r="L405" s="4">
        <v>399</v>
      </c>
      <c r="M405" s="21">
        <v>-131872.16391231696</v>
      </c>
    </row>
    <row r="406" spans="12:13" x14ac:dyDescent="0.2">
      <c r="L406" s="4">
        <v>400</v>
      </c>
      <c r="M406" s="21">
        <v>193462.72626706809</v>
      </c>
    </row>
    <row r="407" spans="12:13" x14ac:dyDescent="0.2">
      <c r="L407" s="4">
        <v>401</v>
      </c>
      <c r="M407" s="21">
        <v>408504.73115935933</v>
      </c>
    </row>
    <row r="408" spans="12:13" x14ac:dyDescent="0.2">
      <c r="L408" s="4">
        <v>402</v>
      </c>
      <c r="M408" s="21">
        <v>42306.716370366077</v>
      </c>
    </row>
    <row r="409" spans="12:13" x14ac:dyDescent="0.2">
      <c r="L409" s="4">
        <v>403</v>
      </c>
      <c r="M409" s="21">
        <v>-182086.71109191584</v>
      </c>
    </row>
    <row r="410" spans="12:13" x14ac:dyDescent="0.2">
      <c r="L410" s="4">
        <v>404</v>
      </c>
      <c r="M410" s="21">
        <v>-26260.633678023412</v>
      </c>
    </row>
    <row r="411" spans="12:13" x14ac:dyDescent="0.2">
      <c r="L411" s="4">
        <v>405</v>
      </c>
      <c r="M411" s="21">
        <v>-23009.511961360957</v>
      </c>
    </row>
    <row r="412" spans="12:13" x14ac:dyDescent="0.2">
      <c r="L412" s="4">
        <v>406</v>
      </c>
      <c r="M412" s="21">
        <v>101011.87129270617</v>
      </c>
    </row>
    <row r="413" spans="12:13" x14ac:dyDescent="0.2">
      <c r="L413" s="4">
        <v>407</v>
      </c>
      <c r="M413" s="21">
        <v>66872.421148054476</v>
      </c>
    </row>
    <row r="414" spans="12:13" x14ac:dyDescent="0.2">
      <c r="L414" s="4">
        <v>408</v>
      </c>
      <c r="M414" s="21">
        <v>262445.98726973962</v>
      </c>
    </row>
    <row r="415" spans="12:13" x14ac:dyDescent="0.2">
      <c r="L415" s="4">
        <v>409</v>
      </c>
      <c r="M415" s="21">
        <v>32549.900870191545</v>
      </c>
    </row>
    <row r="416" spans="12:13" x14ac:dyDescent="0.2">
      <c r="L416" s="4">
        <v>410</v>
      </c>
      <c r="M416" s="21">
        <v>-126327.94468116309</v>
      </c>
    </row>
    <row r="417" spans="12:13" x14ac:dyDescent="0.2">
      <c r="L417" s="4">
        <v>411</v>
      </c>
      <c r="M417" s="21">
        <v>-469549.62921778287</v>
      </c>
    </row>
    <row r="418" spans="12:13" x14ac:dyDescent="0.2">
      <c r="L418" s="4">
        <v>412</v>
      </c>
      <c r="M418" s="21">
        <v>-263388.41069472366</v>
      </c>
    </row>
    <row r="419" spans="12:13" x14ac:dyDescent="0.2">
      <c r="L419" s="4">
        <v>413</v>
      </c>
      <c r="M419" s="21">
        <v>-111516.69984638656</v>
      </c>
    </row>
    <row r="420" spans="12:13" x14ac:dyDescent="0.2">
      <c r="L420" s="4">
        <v>414</v>
      </c>
      <c r="M420" s="21">
        <v>841557.8117264465</v>
      </c>
    </row>
    <row r="421" spans="12:13" x14ac:dyDescent="0.2">
      <c r="L421" s="4">
        <v>415</v>
      </c>
      <c r="M421" s="21">
        <v>-40687.85269436115</v>
      </c>
    </row>
    <row r="422" spans="12:13" x14ac:dyDescent="0.2">
      <c r="L422" s="4">
        <v>416</v>
      </c>
      <c r="M422" s="21">
        <v>328852.52366819198</v>
      </c>
    </row>
    <row r="423" spans="12:13" x14ac:dyDescent="0.2">
      <c r="L423" s="4">
        <v>417</v>
      </c>
      <c r="M423" s="21">
        <v>206624.69354361694</v>
      </c>
    </row>
    <row r="424" spans="12:13" x14ac:dyDescent="0.2">
      <c r="L424" s="4">
        <v>418</v>
      </c>
      <c r="M424" s="21">
        <v>111541.92910273519</v>
      </c>
    </row>
    <row r="425" spans="12:13" x14ac:dyDescent="0.2">
      <c r="L425" s="4">
        <v>419</v>
      </c>
      <c r="M425" s="21">
        <v>39376.806882401957</v>
      </c>
    </row>
    <row r="426" spans="12:13" x14ac:dyDescent="0.2">
      <c r="L426" s="4">
        <v>420</v>
      </c>
      <c r="M426" s="21">
        <v>122300.28643322308</v>
      </c>
    </row>
    <row r="427" spans="12:13" x14ac:dyDescent="0.2">
      <c r="L427" s="4">
        <v>421</v>
      </c>
      <c r="M427" s="21">
        <v>-254681.36425530812</v>
      </c>
    </row>
    <row r="428" spans="12:13" x14ac:dyDescent="0.2">
      <c r="L428" s="4">
        <v>422</v>
      </c>
      <c r="M428" s="21">
        <v>-83011.582065672206</v>
      </c>
    </row>
    <row r="429" spans="12:13" x14ac:dyDescent="0.2">
      <c r="L429" s="4">
        <v>423</v>
      </c>
      <c r="M429" s="21">
        <v>73838.839059868886</v>
      </c>
    </row>
    <row r="430" spans="12:13" x14ac:dyDescent="0.2">
      <c r="L430" s="4">
        <v>424</v>
      </c>
      <c r="M430" s="21">
        <v>-88928.342995800544</v>
      </c>
    </row>
    <row r="431" spans="12:13" x14ac:dyDescent="0.2">
      <c r="L431" s="4">
        <v>425</v>
      </c>
      <c r="M431" s="21">
        <v>256902.852270262</v>
      </c>
    </row>
    <row r="432" spans="12:13" x14ac:dyDescent="0.2">
      <c r="L432" s="4">
        <v>426</v>
      </c>
      <c r="M432" s="21">
        <v>96398.076510857441</v>
      </c>
    </row>
    <row r="433" spans="12:13" x14ac:dyDescent="0.2">
      <c r="L433" s="4">
        <v>427</v>
      </c>
      <c r="M433" s="21">
        <v>210100.9852778443</v>
      </c>
    </row>
    <row r="434" spans="12:13" x14ac:dyDescent="0.2">
      <c r="L434" s="4">
        <v>428</v>
      </c>
      <c r="M434" s="21">
        <v>-476366.46897924819</v>
      </c>
    </row>
    <row r="435" spans="12:13" x14ac:dyDescent="0.2">
      <c r="L435" s="4">
        <v>429</v>
      </c>
      <c r="M435" s="21">
        <v>282698.83770788752</v>
      </c>
    </row>
    <row r="436" spans="12:13" x14ac:dyDescent="0.2">
      <c r="L436" s="4">
        <v>430</v>
      </c>
      <c r="M436" s="21">
        <v>450375.88680714573</v>
      </c>
    </row>
    <row r="437" spans="12:13" x14ac:dyDescent="0.2">
      <c r="L437" s="4">
        <v>431</v>
      </c>
      <c r="M437" s="21">
        <v>92134.612566502154</v>
      </c>
    </row>
    <row r="438" spans="12:13" x14ac:dyDescent="0.2">
      <c r="L438" s="4">
        <v>432</v>
      </c>
      <c r="M438" s="21">
        <v>-114242.8376937484</v>
      </c>
    </row>
    <row r="439" spans="12:13" x14ac:dyDescent="0.2">
      <c r="L439" s="4">
        <v>433</v>
      </c>
      <c r="M439" s="21">
        <v>-7032.2521265983232</v>
      </c>
    </row>
    <row r="440" spans="12:13" x14ac:dyDescent="0.2">
      <c r="L440" s="4">
        <v>434</v>
      </c>
      <c r="M440" s="21">
        <v>97734.132032907859</v>
      </c>
    </row>
    <row r="441" spans="12:13" x14ac:dyDescent="0.2">
      <c r="L441" s="4">
        <v>435</v>
      </c>
      <c r="M441" s="21">
        <v>-495955.05862792389</v>
      </c>
    </row>
    <row r="442" spans="12:13" x14ac:dyDescent="0.2">
      <c r="L442" s="4">
        <v>436</v>
      </c>
      <c r="M442" s="21">
        <v>-79057.024408095196</v>
      </c>
    </row>
    <row r="443" spans="12:13" x14ac:dyDescent="0.2">
      <c r="L443" s="4">
        <v>437</v>
      </c>
      <c r="M443" s="21">
        <v>-44492.718462600722</v>
      </c>
    </row>
    <row r="444" spans="12:13" x14ac:dyDescent="0.2">
      <c r="L444" s="4">
        <v>438</v>
      </c>
      <c r="M444" s="21">
        <v>-191582.54073236947</v>
      </c>
    </row>
    <row r="445" spans="12:13" x14ac:dyDescent="0.2">
      <c r="L445" s="4">
        <v>439</v>
      </c>
      <c r="M445" s="21">
        <v>-312703.01505889831</v>
      </c>
    </row>
    <row r="446" spans="12:13" x14ac:dyDescent="0.2">
      <c r="L446" s="4">
        <v>440</v>
      </c>
      <c r="M446" s="21">
        <v>52323.006279804162</v>
      </c>
    </row>
    <row r="447" spans="12:13" x14ac:dyDescent="0.2">
      <c r="L447" s="4">
        <v>441</v>
      </c>
      <c r="M447" s="21">
        <v>-33004.543834544253</v>
      </c>
    </row>
    <row r="448" spans="12:13" x14ac:dyDescent="0.2">
      <c r="L448" s="4">
        <v>442</v>
      </c>
      <c r="M448" s="21">
        <v>87970.687486771145</v>
      </c>
    </row>
    <row r="449" spans="12:13" x14ac:dyDescent="0.2">
      <c r="L449" s="4">
        <v>443</v>
      </c>
      <c r="M449" s="21">
        <v>-65228.6288918707</v>
      </c>
    </row>
    <row r="450" spans="12:13" x14ac:dyDescent="0.2">
      <c r="L450" s="4">
        <v>444</v>
      </c>
      <c r="M450" s="21">
        <v>-81273.109496834702</v>
      </c>
    </row>
    <row r="451" spans="12:13" x14ac:dyDescent="0.2">
      <c r="L451" s="4">
        <v>445</v>
      </c>
      <c r="M451" s="21">
        <v>416048.61235508509</v>
      </c>
    </row>
    <row r="452" spans="12:13" x14ac:dyDescent="0.2">
      <c r="L452" s="4">
        <v>446</v>
      </c>
      <c r="M452" s="21">
        <v>82314.745014145214</v>
      </c>
    </row>
    <row r="453" spans="12:13" x14ac:dyDescent="0.2">
      <c r="L453" s="4">
        <v>447</v>
      </c>
      <c r="M453" s="21">
        <v>116208.6559898764</v>
      </c>
    </row>
    <row r="454" spans="12:13" x14ac:dyDescent="0.2">
      <c r="L454" s="4">
        <v>448</v>
      </c>
      <c r="M454" s="21">
        <v>395008.09681310313</v>
      </c>
    </row>
    <row r="455" spans="12:13" x14ac:dyDescent="0.2">
      <c r="L455" s="4">
        <v>449</v>
      </c>
      <c r="M455" s="21">
        <v>-116227.70416688036</v>
      </c>
    </row>
    <row r="456" spans="12:13" x14ac:dyDescent="0.2">
      <c r="L456" s="4">
        <v>450</v>
      </c>
      <c r="M456" s="21">
        <v>80112.810749743046</v>
      </c>
    </row>
    <row r="457" spans="12:13" x14ac:dyDescent="0.2">
      <c r="L457" s="4">
        <v>451</v>
      </c>
      <c r="M457" s="21">
        <v>-71557.12884279486</v>
      </c>
    </row>
    <row r="458" spans="12:13" x14ac:dyDescent="0.2">
      <c r="L458" s="4">
        <v>452</v>
      </c>
      <c r="M458" s="21">
        <v>23400.494080142351</v>
      </c>
    </row>
    <row r="459" spans="12:13" x14ac:dyDescent="0.2">
      <c r="L459" s="4">
        <v>453</v>
      </c>
      <c r="M459" s="21">
        <v>-168100.43554829014</v>
      </c>
    </row>
    <row r="460" spans="12:13" x14ac:dyDescent="0.2">
      <c r="L460" s="4">
        <v>454</v>
      </c>
      <c r="M460" s="21">
        <v>-5683.6517707354942</v>
      </c>
    </row>
    <row r="461" spans="12:13" x14ac:dyDescent="0.2">
      <c r="L461" s="4">
        <v>455</v>
      </c>
      <c r="M461" s="21">
        <v>217719.63886817501</v>
      </c>
    </row>
    <row r="462" spans="12:13" x14ac:dyDescent="0.2">
      <c r="L462" s="4">
        <v>456</v>
      </c>
      <c r="M462" s="21">
        <v>37425.917680926621</v>
      </c>
    </row>
    <row r="463" spans="12:13" x14ac:dyDescent="0.2">
      <c r="L463" s="4">
        <v>457</v>
      </c>
      <c r="M463" s="21">
        <v>-6309.560626625258</v>
      </c>
    </row>
    <row r="464" spans="12:13" x14ac:dyDescent="0.2">
      <c r="L464" s="4">
        <v>458</v>
      </c>
      <c r="M464" s="21">
        <v>76224.268195069802</v>
      </c>
    </row>
    <row r="465" spans="12:13" x14ac:dyDescent="0.2">
      <c r="L465" s="4">
        <v>459</v>
      </c>
      <c r="M465" s="21">
        <v>175064.87434344544</v>
      </c>
    </row>
    <row r="466" spans="12:13" x14ac:dyDescent="0.2">
      <c r="L466" s="4">
        <v>460</v>
      </c>
      <c r="M466" s="21">
        <v>205834.871715769</v>
      </c>
    </row>
    <row r="467" spans="12:13" x14ac:dyDescent="0.2">
      <c r="L467" s="4">
        <v>461</v>
      </c>
      <c r="M467" s="21">
        <v>189900.34496082936</v>
      </c>
    </row>
    <row r="468" spans="12:13" x14ac:dyDescent="0.2">
      <c r="L468" s="4">
        <v>462</v>
      </c>
      <c r="M468" s="21">
        <v>-35084.509184226656</v>
      </c>
    </row>
    <row r="469" spans="12:13" x14ac:dyDescent="0.2">
      <c r="L469" s="4">
        <v>463</v>
      </c>
      <c r="M469" s="21">
        <v>266847.10146135977</v>
      </c>
    </row>
    <row r="470" spans="12:13" x14ac:dyDescent="0.2">
      <c r="L470" s="4">
        <v>464</v>
      </c>
      <c r="M470" s="21">
        <v>-124379.61170852068</v>
      </c>
    </row>
    <row r="471" spans="12:13" x14ac:dyDescent="0.2">
      <c r="L471" s="4">
        <v>465</v>
      </c>
      <c r="M471" s="21">
        <v>59448.567455009819</v>
      </c>
    </row>
    <row r="472" spans="12:13" x14ac:dyDescent="0.2">
      <c r="L472" s="4">
        <v>466</v>
      </c>
      <c r="M472" s="21">
        <v>-84278.93205036287</v>
      </c>
    </row>
    <row r="473" spans="12:13" x14ac:dyDescent="0.2">
      <c r="L473" s="4">
        <v>467</v>
      </c>
      <c r="M473" s="21">
        <v>-269231.7843459195</v>
      </c>
    </row>
    <row r="474" spans="12:13" x14ac:dyDescent="0.2">
      <c r="L474" s="4">
        <v>468</v>
      </c>
      <c r="M474" s="21">
        <v>237848.49127418996</v>
      </c>
    </row>
    <row r="475" spans="12:13" x14ac:dyDescent="0.2">
      <c r="L475" s="4">
        <v>469</v>
      </c>
      <c r="M475" s="21">
        <v>-61031.455680231666</v>
      </c>
    </row>
    <row r="476" spans="12:13" x14ac:dyDescent="0.2">
      <c r="L476" s="4">
        <v>470</v>
      </c>
      <c r="M476" s="21">
        <v>-113277.84349840882</v>
      </c>
    </row>
    <row r="477" spans="12:13" x14ac:dyDescent="0.2">
      <c r="L477" s="4">
        <v>471</v>
      </c>
      <c r="M477" s="21">
        <v>112380.66763065403</v>
      </c>
    </row>
    <row r="478" spans="12:13" x14ac:dyDescent="0.2">
      <c r="L478" s="4">
        <v>472</v>
      </c>
      <c r="M478" s="21">
        <v>70082.604079642915</v>
      </c>
    </row>
    <row r="479" spans="12:13" x14ac:dyDescent="0.2">
      <c r="L479" s="4">
        <v>473</v>
      </c>
      <c r="M479" s="21">
        <v>20617.972717824217</v>
      </c>
    </row>
    <row r="480" spans="12:13" x14ac:dyDescent="0.2">
      <c r="L480" s="4">
        <v>474</v>
      </c>
      <c r="M480" s="21">
        <v>-299888.52675538755</v>
      </c>
    </row>
    <row r="481" spans="12:13" x14ac:dyDescent="0.2">
      <c r="L481" s="4">
        <v>475</v>
      </c>
      <c r="M481" s="21">
        <v>-145600.71515662695</v>
      </c>
    </row>
    <row r="482" spans="12:13" x14ac:dyDescent="0.2">
      <c r="L482" s="4">
        <v>476</v>
      </c>
      <c r="M482" s="21">
        <v>-247704.21483951877</v>
      </c>
    </row>
    <row r="483" spans="12:13" x14ac:dyDescent="0.2">
      <c r="L483" s="4">
        <v>477</v>
      </c>
      <c r="M483" s="21">
        <v>-1664.3620912736951</v>
      </c>
    </row>
    <row r="484" spans="12:13" x14ac:dyDescent="0.2">
      <c r="L484" s="4">
        <v>478</v>
      </c>
      <c r="M484" s="21">
        <v>162346.4490898058</v>
      </c>
    </row>
    <row r="485" spans="12:13" x14ac:dyDescent="0.2">
      <c r="L485" s="4">
        <v>479</v>
      </c>
      <c r="M485" s="21">
        <v>21309.749265063525</v>
      </c>
    </row>
    <row r="486" spans="12:13" x14ac:dyDescent="0.2">
      <c r="L486" s="4">
        <v>480</v>
      </c>
      <c r="M486" s="21">
        <v>-237565.86585052352</v>
      </c>
    </row>
    <row r="487" spans="12:13" x14ac:dyDescent="0.2">
      <c r="L487" s="4">
        <v>481</v>
      </c>
      <c r="M487" s="21">
        <v>327789.28054583515</v>
      </c>
    </row>
    <row r="488" spans="12:13" x14ac:dyDescent="0.2">
      <c r="L488" s="4">
        <v>482</v>
      </c>
      <c r="M488" s="21">
        <v>-106041.70855115459</v>
      </c>
    </row>
    <row r="489" spans="12:13" x14ac:dyDescent="0.2">
      <c r="L489" s="4">
        <v>483</v>
      </c>
      <c r="M489" s="21">
        <v>-208364.14338046993</v>
      </c>
    </row>
    <row r="490" spans="12:13" x14ac:dyDescent="0.2">
      <c r="L490" s="4">
        <v>484</v>
      </c>
      <c r="M490" s="21">
        <v>3477.6915279722307</v>
      </c>
    </row>
    <row r="491" spans="12:13" x14ac:dyDescent="0.2">
      <c r="L491" s="4">
        <v>485</v>
      </c>
      <c r="M491" s="21">
        <v>295810.57239333075</v>
      </c>
    </row>
    <row r="492" spans="12:13" x14ac:dyDescent="0.2">
      <c r="L492" s="4">
        <v>486</v>
      </c>
      <c r="M492" s="21">
        <v>-215788.82114465898</v>
      </c>
    </row>
    <row r="493" spans="12:13" x14ac:dyDescent="0.2">
      <c r="L493" s="4">
        <v>487</v>
      </c>
      <c r="M493" s="21">
        <v>-5908.492717287023</v>
      </c>
    </row>
    <row r="494" spans="12:13" x14ac:dyDescent="0.2">
      <c r="L494" s="4">
        <v>488</v>
      </c>
      <c r="M494" s="21">
        <v>-100318.35060831468</v>
      </c>
    </row>
    <row r="495" spans="12:13" x14ac:dyDescent="0.2">
      <c r="L495" s="4">
        <v>489</v>
      </c>
      <c r="M495" s="21">
        <v>454116.78392500448</v>
      </c>
    </row>
    <row r="496" spans="12:13" x14ac:dyDescent="0.2">
      <c r="L496" s="4">
        <v>490</v>
      </c>
      <c r="M496" s="21">
        <v>-170474.35232476954</v>
      </c>
    </row>
    <row r="497" spans="12:13" x14ac:dyDescent="0.2">
      <c r="L497" s="4">
        <v>491</v>
      </c>
      <c r="M497" s="21">
        <v>-186689.0958393644</v>
      </c>
    </row>
    <row r="498" spans="12:13" x14ac:dyDescent="0.2">
      <c r="L498" s="4">
        <v>492</v>
      </c>
      <c r="M498" s="21">
        <v>214412.14547762586</v>
      </c>
    </row>
    <row r="499" spans="12:13" x14ac:dyDescent="0.2">
      <c r="L499" s="4">
        <v>493</v>
      </c>
      <c r="M499" s="21">
        <v>-80760.925213725379</v>
      </c>
    </row>
    <row r="500" spans="12:13" x14ac:dyDescent="0.2">
      <c r="L500" s="4">
        <v>494</v>
      </c>
      <c r="M500" s="21">
        <v>-321634.68387691141</v>
      </c>
    </row>
    <row r="501" spans="12:13" x14ac:dyDescent="0.2">
      <c r="L501" s="4">
        <v>495</v>
      </c>
      <c r="M501" s="21">
        <v>-17933.846933633395</v>
      </c>
    </row>
    <row r="502" spans="12:13" x14ac:dyDescent="0.2">
      <c r="L502" s="4">
        <v>496</v>
      </c>
      <c r="M502" s="21">
        <v>-323756.37301719264</v>
      </c>
    </row>
    <row r="503" spans="12:13" x14ac:dyDescent="0.2">
      <c r="L503" s="4">
        <v>497</v>
      </c>
      <c r="M503" s="21">
        <v>-35860.470241598072</v>
      </c>
    </row>
    <row r="504" spans="12:13" x14ac:dyDescent="0.2">
      <c r="L504" s="4">
        <v>498</v>
      </c>
      <c r="M504" s="21">
        <v>-187297.57487322384</v>
      </c>
    </row>
    <row r="505" spans="12:13" x14ac:dyDescent="0.2">
      <c r="L505" s="4">
        <v>499</v>
      </c>
      <c r="M505" s="21">
        <v>-102557.86700458954</v>
      </c>
    </row>
    <row r="506" spans="12:13" x14ac:dyDescent="0.2">
      <c r="L506" s="4">
        <v>500</v>
      </c>
      <c r="M506" s="21">
        <v>388612.82784034498</v>
      </c>
    </row>
    <row r="507" spans="12:13" x14ac:dyDescent="0.2">
      <c r="L507" s="4">
        <v>501</v>
      </c>
      <c r="M507" s="21">
        <v>-256946.90525740338</v>
      </c>
    </row>
    <row r="508" spans="12:13" x14ac:dyDescent="0.2">
      <c r="L508" s="4">
        <v>502</v>
      </c>
      <c r="M508" s="21">
        <v>-29625.801978598887</v>
      </c>
    </row>
    <row r="509" spans="12:13" x14ac:dyDescent="0.2">
      <c r="L509" s="4">
        <v>503</v>
      </c>
      <c r="M509" s="21">
        <v>-15455.405799464817</v>
      </c>
    </row>
    <row r="510" spans="12:13" x14ac:dyDescent="0.2">
      <c r="L510" s="4">
        <v>504</v>
      </c>
      <c r="M510" s="21">
        <v>1234.1810133244435</v>
      </c>
    </row>
    <row r="511" spans="12:13" x14ac:dyDescent="0.2">
      <c r="L511" s="4">
        <v>505</v>
      </c>
      <c r="M511" s="21">
        <v>-13243.145395461848</v>
      </c>
    </row>
    <row r="512" spans="12:13" x14ac:dyDescent="0.2">
      <c r="L512" s="4">
        <v>506</v>
      </c>
      <c r="M512" s="21">
        <v>-32585.896086038629</v>
      </c>
    </row>
    <row r="513" spans="12:13" x14ac:dyDescent="0.2">
      <c r="L513" s="4">
        <v>507</v>
      </c>
      <c r="M513" s="21">
        <v>131218.89298010676</v>
      </c>
    </row>
    <row r="514" spans="12:13" x14ac:dyDescent="0.2">
      <c r="L514" s="4">
        <v>508</v>
      </c>
      <c r="M514" s="21">
        <v>257891.98235781142</v>
      </c>
    </row>
    <row r="515" spans="12:13" x14ac:dyDescent="0.2">
      <c r="L515" s="4">
        <v>509</v>
      </c>
      <c r="M515" s="21">
        <v>239577.54918841898</v>
      </c>
    </row>
    <row r="516" spans="12:13" x14ac:dyDescent="0.2">
      <c r="L516" s="4">
        <v>510</v>
      </c>
      <c r="M516" s="21">
        <v>-73722.993920932349</v>
      </c>
    </row>
    <row r="517" spans="12:13" x14ac:dyDescent="0.2">
      <c r="L517" s="4">
        <v>511</v>
      </c>
      <c r="M517" s="21">
        <v>-105273.03691469313</v>
      </c>
    </row>
    <row r="518" spans="12:13" x14ac:dyDescent="0.2">
      <c r="L518" s="4">
        <v>512</v>
      </c>
      <c r="M518" s="21">
        <v>-279098.48141229799</v>
      </c>
    </row>
    <row r="519" spans="12:13" x14ac:dyDescent="0.2">
      <c r="L519" s="4">
        <v>513</v>
      </c>
      <c r="M519" s="21">
        <v>-408612.70278979104</v>
      </c>
    </row>
    <row r="520" spans="12:13" x14ac:dyDescent="0.2">
      <c r="L520" s="4">
        <v>514</v>
      </c>
      <c r="M520" s="21">
        <v>-550733.14394299546</v>
      </c>
    </row>
    <row r="521" spans="12:13" x14ac:dyDescent="0.2">
      <c r="L521" s="4">
        <v>515</v>
      </c>
      <c r="M521" s="21">
        <v>64978.115268143039</v>
      </c>
    </row>
    <row r="522" spans="12:13" x14ac:dyDescent="0.2">
      <c r="L522" s="4">
        <v>516</v>
      </c>
      <c r="M522" s="21">
        <v>-100956.94910306843</v>
      </c>
    </row>
    <row r="523" spans="12:13" x14ac:dyDescent="0.2">
      <c r="L523" s="4">
        <v>517</v>
      </c>
      <c r="M523" s="21">
        <v>-214656.03069795424</v>
      </c>
    </row>
    <row r="524" spans="12:13" x14ac:dyDescent="0.2">
      <c r="L524" s="4">
        <v>518</v>
      </c>
      <c r="M524" s="21">
        <v>203815.21014532031</v>
      </c>
    </row>
    <row r="525" spans="12:13" x14ac:dyDescent="0.2">
      <c r="L525" s="4">
        <v>519</v>
      </c>
      <c r="M525" s="21">
        <v>-120568.14195965015</v>
      </c>
    </row>
    <row r="526" spans="12:13" x14ac:dyDescent="0.2">
      <c r="L526" s="4">
        <v>520</v>
      </c>
      <c r="M526" s="21">
        <v>15132.851424304536</v>
      </c>
    </row>
    <row r="527" spans="12:13" x14ac:dyDescent="0.2">
      <c r="L527" s="4">
        <v>521</v>
      </c>
      <c r="M527" s="21">
        <v>258195.74685934509</v>
      </c>
    </row>
    <row r="528" spans="12:13" x14ac:dyDescent="0.2">
      <c r="L528" s="4">
        <v>522</v>
      </c>
      <c r="M528" s="21">
        <v>-5404.9568130018597</v>
      </c>
    </row>
    <row r="529" spans="12:13" x14ac:dyDescent="0.2">
      <c r="L529" s="4">
        <v>523</v>
      </c>
      <c r="M529" s="21">
        <v>-277175.39025511226</v>
      </c>
    </row>
    <row r="530" spans="12:13" x14ac:dyDescent="0.2">
      <c r="L530" s="4">
        <v>524</v>
      </c>
      <c r="M530" s="21">
        <v>206020.88249673464</v>
      </c>
    </row>
    <row r="531" spans="12:13" x14ac:dyDescent="0.2">
      <c r="L531" s="4">
        <v>525</v>
      </c>
      <c r="M531" s="21">
        <v>432164.98754281626</v>
      </c>
    </row>
    <row r="532" spans="12:13" x14ac:dyDescent="0.2">
      <c r="L532" s="4">
        <v>526</v>
      </c>
      <c r="M532" s="21">
        <v>116966.73543031365</v>
      </c>
    </row>
    <row r="533" spans="12:13" x14ac:dyDescent="0.2">
      <c r="L533" s="4">
        <v>527</v>
      </c>
      <c r="M533" s="21">
        <v>25765.545973381144</v>
      </c>
    </row>
    <row r="534" spans="12:13" x14ac:dyDescent="0.2">
      <c r="L534" s="4">
        <v>528</v>
      </c>
      <c r="M534" s="21">
        <v>-155311.7461889736</v>
      </c>
    </row>
    <row r="535" spans="12:13" x14ac:dyDescent="0.2">
      <c r="L535" s="4">
        <v>529</v>
      </c>
      <c r="M535" s="21">
        <v>152010.60395184063</v>
      </c>
    </row>
    <row r="536" spans="12:13" x14ac:dyDescent="0.2">
      <c r="L536" s="4">
        <v>530</v>
      </c>
      <c r="M536" s="21">
        <v>-50685.859938011519</v>
      </c>
    </row>
    <row r="537" spans="12:13" x14ac:dyDescent="0.2">
      <c r="L537" s="4">
        <v>531</v>
      </c>
      <c r="M537" s="21">
        <v>-138426.64370082249</v>
      </c>
    </row>
    <row r="538" spans="12:13" x14ac:dyDescent="0.2">
      <c r="L538" s="4">
        <v>532</v>
      </c>
      <c r="M538" s="21">
        <v>161525.17243521128</v>
      </c>
    </row>
    <row r="539" spans="12:13" x14ac:dyDescent="0.2">
      <c r="L539" s="4">
        <v>533</v>
      </c>
      <c r="M539" s="21">
        <v>165258.60741909168</v>
      </c>
    </row>
    <row r="540" spans="12:13" x14ac:dyDescent="0.2">
      <c r="L540" s="4">
        <v>534</v>
      </c>
      <c r="M540" s="21">
        <v>307891.14108013979</v>
      </c>
    </row>
    <row r="541" spans="12:13" x14ac:dyDescent="0.2">
      <c r="L541" s="4">
        <v>535</v>
      </c>
      <c r="M541" s="21">
        <v>261930.29919997495</v>
      </c>
    </row>
    <row r="542" spans="12:13" x14ac:dyDescent="0.2">
      <c r="L542" s="4">
        <v>536</v>
      </c>
      <c r="M542" s="21">
        <v>-90194.22246837079</v>
      </c>
    </row>
    <row r="543" spans="12:13" x14ac:dyDescent="0.2">
      <c r="L543" s="4">
        <v>537</v>
      </c>
      <c r="M543" s="21">
        <v>-61912.039597626819</v>
      </c>
    </row>
    <row r="544" spans="12:13" x14ac:dyDescent="0.2">
      <c r="L544" s="4">
        <v>538</v>
      </c>
      <c r="M544" s="21">
        <v>-150850.0153032938</v>
      </c>
    </row>
    <row r="545" spans="12:13" x14ac:dyDescent="0.2">
      <c r="L545" s="4">
        <v>539</v>
      </c>
      <c r="M545" s="21">
        <v>14960.619039834128</v>
      </c>
    </row>
    <row r="546" spans="12:13" x14ac:dyDescent="0.2">
      <c r="L546" s="4">
        <v>540</v>
      </c>
      <c r="M546" s="21">
        <v>181794.82616912975</v>
      </c>
    </row>
    <row r="547" spans="12:13" x14ac:dyDescent="0.2">
      <c r="L547" s="4">
        <v>541</v>
      </c>
      <c r="M547" s="21">
        <v>190191.75415951447</v>
      </c>
    </row>
    <row r="548" spans="12:13" x14ac:dyDescent="0.2">
      <c r="L548" s="4">
        <v>542</v>
      </c>
      <c r="M548" s="21">
        <v>80522.229043460509</v>
      </c>
    </row>
    <row r="549" spans="12:13" x14ac:dyDescent="0.2">
      <c r="L549" s="4">
        <v>543</v>
      </c>
      <c r="M549" s="21">
        <v>144272.52329369198</v>
      </c>
    </row>
    <row r="550" spans="12:13" x14ac:dyDescent="0.2">
      <c r="L550" s="4">
        <v>544</v>
      </c>
      <c r="M550" s="21">
        <v>83285.887583338394</v>
      </c>
    </row>
    <row r="551" spans="12:13" x14ac:dyDescent="0.2">
      <c r="L551" s="4">
        <v>545</v>
      </c>
      <c r="M551" s="21">
        <v>86623.691278851853</v>
      </c>
    </row>
    <row r="552" spans="12:13" x14ac:dyDescent="0.2">
      <c r="L552" s="4">
        <v>546</v>
      </c>
      <c r="M552" s="21">
        <v>-46998.96620968463</v>
      </c>
    </row>
    <row r="553" spans="12:13" x14ac:dyDescent="0.2">
      <c r="L553" s="4">
        <v>547</v>
      </c>
      <c r="M553" s="21">
        <v>212515.18205058968</v>
      </c>
    </row>
    <row r="554" spans="12:13" x14ac:dyDescent="0.2">
      <c r="L554" s="4">
        <v>548</v>
      </c>
      <c r="M554" s="21">
        <v>213662.04091457056</v>
      </c>
    </row>
    <row r="555" spans="12:13" x14ac:dyDescent="0.2">
      <c r="L555" s="4">
        <v>549</v>
      </c>
      <c r="M555" s="21">
        <v>43478.090944585914</v>
      </c>
    </row>
    <row r="556" spans="12:13" x14ac:dyDescent="0.2">
      <c r="L556" s="4">
        <v>550</v>
      </c>
      <c r="M556" s="21">
        <v>45060.978095855739</v>
      </c>
    </row>
    <row r="557" spans="12:13" x14ac:dyDescent="0.2">
      <c r="L557" s="4">
        <v>551</v>
      </c>
      <c r="M557" s="21">
        <v>145634.9161758759</v>
      </c>
    </row>
    <row r="558" spans="12:13" x14ac:dyDescent="0.2">
      <c r="L558" s="4">
        <v>552</v>
      </c>
      <c r="M558" s="21">
        <v>161530.5807846341</v>
      </c>
    </row>
    <row r="559" spans="12:13" x14ac:dyDescent="0.2">
      <c r="L559" s="4">
        <v>553</v>
      </c>
      <c r="M559" s="21">
        <v>76085.993226271588</v>
      </c>
    </row>
    <row r="560" spans="12:13" x14ac:dyDescent="0.2">
      <c r="L560" s="4">
        <v>554</v>
      </c>
      <c r="M560" s="21">
        <v>80924.622574018635</v>
      </c>
    </row>
    <row r="561" spans="12:13" x14ac:dyDescent="0.2">
      <c r="L561" s="4">
        <v>555</v>
      </c>
      <c r="M561" s="21">
        <v>342380.09278377937</v>
      </c>
    </row>
    <row r="562" spans="12:13" x14ac:dyDescent="0.2">
      <c r="L562" s="4">
        <v>556</v>
      </c>
      <c r="M562" s="21">
        <v>-66412.493286200421</v>
      </c>
    </row>
    <row r="563" spans="12:13" x14ac:dyDescent="0.2">
      <c r="L563" s="4">
        <v>557</v>
      </c>
      <c r="M563" s="21">
        <v>430705.06142436987</v>
      </c>
    </row>
    <row r="564" spans="12:13" x14ac:dyDescent="0.2">
      <c r="L564" s="4">
        <v>558</v>
      </c>
      <c r="M564" s="21">
        <v>36631.125629282295</v>
      </c>
    </row>
    <row r="565" spans="12:13" x14ac:dyDescent="0.2">
      <c r="L565" s="4">
        <v>559</v>
      </c>
      <c r="M565" s="21">
        <v>64320.397133265389</v>
      </c>
    </row>
    <row r="566" spans="12:13" x14ac:dyDescent="0.2">
      <c r="L566" s="4">
        <v>560</v>
      </c>
      <c r="M566" s="21">
        <v>-367609.22681782336</v>
      </c>
    </row>
    <row r="567" spans="12:13" x14ac:dyDescent="0.2">
      <c r="L567" s="4">
        <v>561</v>
      </c>
      <c r="M567" s="21">
        <v>184457.52614487128</v>
      </c>
    </row>
    <row r="568" spans="12:13" x14ac:dyDescent="0.2">
      <c r="L568" s="4">
        <v>562</v>
      </c>
      <c r="M568" s="21">
        <v>149786.54055102851</v>
      </c>
    </row>
    <row r="569" spans="12:13" x14ac:dyDescent="0.2">
      <c r="L569" s="4">
        <v>563</v>
      </c>
      <c r="M569" s="21">
        <v>226595.72709881832</v>
      </c>
    </row>
    <row r="570" spans="12:13" x14ac:dyDescent="0.2">
      <c r="L570" s="4">
        <v>564</v>
      </c>
      <c r="M570" s="21">
        <v>397771.27455282706</v>
      </c>
    </row>
    <row r="571" spans="12:13" x14ac:dyDescent="0.2">
      <c r="L571" s="4">
        <v>565</v>
      </c>
      <c r="M571" s="21">
        <v>85382.95162096183</v>
      </c>
    </row>
    <row r="572" spans="12:13" x14ac:dyDescent="0.2">
      <c r="L572" s="4">
        <v>566</v>
      </c>
      <c r="M572" s="21">
        <v>398511.25023647165</v>
      </c>
    </row>
    <row r="573" spans="12:13" x14ac:dyDescent="0.2">
      <c r="L573" s="4">
        <v>567</v>
      </c>
      <c r="M573" s="21">
        <v>417576.39684068051</v>
      </c>
    </row>
    <row r="574" spans="12:13" x14ac:dyDescent="0.2">
      <c r="L574" s="4">
        <v>568</v>
      </c>
      <c r="M574" s="21">
        <v>-43758.649234272758</v>
      </c>
    </row>
    <row r="575" spans="12:13" x14ac:dyDescent="0.2">
      <c r="L575" s="4">
        <v>569</v>
      </c>
      <c r="M575" s="21">
        <v>1839.741946566588</v>
      </c>
    </row>
    <row r="576" spans="12:13" x14ac:dyDescent="0.2">
      <c r="L576" s="4">
        <v>570</v>
      </c>
      <c r="M576" s="21">
        <v>33669.359096712607</v>
      </c>
    </row>
    <row r="577" spans="12:13" x14ac:dyDescent="0.2">
      <c r="L577" s="4">
        <v>571</v>
      </c>
      <c r="M577" s="21">
        <v>395377.35880295979</v>
      </c>
    </row>
    <row r="578" spans="12:13" x14ac:dyDescent="0.2">
      <c r="L578" s="4">
        <v>572</v>
      </c>
      <c r="M578" s="21">
        <v>14247.980717213359</v>
      </c>
    </row>
    <row r="579" spans="12:13" x14ac:dyDescent="0.2">
      <c r="L579" s="4">
        <v>573</v>
      </c>
      <c r="M579" s="21">
        <v>51983.55836788725</v>
      </c>
    </row>
    <row r="580" spans="12:13" x14ac:dyDescent="0.2">
      <c r="L580" s="4">
        <v>574</v>
      </c>
      <c r="M580" s="21">
        <v>56907.820449100691</v>
      </c>
    </row>
    <row r="581" spans="12:13" x14ac:dyDescent="0.2">
      <c r="L581" s="4">
        <v>575</v>
      </c>
      <c r="M581" s="21">
        <v>-169295.74653433386</v>
      </c>
    </row>
    <row r="582" spans="12:13" x14ac:dyDescent="0.2">
      <c r="L582" s="4">
        <v>576</v>
      </c>
      <c r="M582" s="21">
        <v>236724.63548398967</v>
      </c>
    </row>
    <row r="583" spans="12:13" x14ac:dyDescent="0.2">
      <c r="L583" s="4">
        <v>577</v>
      </c>
      <c r="M583" s="21">
        <v>140249.41540630482</v>
      </c>
    </row>
    <row r="584" spans="12:13" x14ac:dyDescent="0.2">
      <c r="L584" s="4">
        <v>578</v>
      </c>
      <c r="M584" s="21">
        <v>-83119.48900124924</v>
      </c>
    </row>
    <row r="585" spans="12:13" x14ac:dyDescent="0.2">
      <c r="L585" s="4">
        <v>579</v>
      </c>
      <c r="M585" s="21">
        <v>-186805.74963196964</v>
      </c>
    </row>
    <row r="586" spans="12:13" x14ac:dyDescent="0.2">
      <c r="L586" s="4">
        <v>580</v>
      </c>
      <c r="M586" s="21">
        <v>-25530.528442090916</v>
      </c>
    </row>
    <row r="587" spans="12:13" x14ac:dyDescent="0.2">
      <c r="L587" s="4">
        <v>581</v>
      </c>
      <c r="M587" s="21">
        <v>-117674.69312418126</v>
      </c>
    </row>
    <row r="588" spans="12:13" x14ac:dyDescent="0.2">
      <c r="L588" s="4">
        <v>582</v>
      </c>
      <c r="M588" s="21">
        <v>166409.38934548805</v>
      </c>
    </row>
    <row r="589" spans="12:13" x14ac:dyDescent="0.2">
      <c r="L589" s="4">
        <v>583</v>
      </c>
      <c r="M589" s="21">
        <v>263707.41902521357</v>
      </c>
    </row>
    <row r="590" spans="12:13" x14ac:dyDescent="0.2">
      <c r="L590" s="4">
        <v>584</v>
      </c>
      <c r="M590" s="21">
        <v>-144527.89798720001</v>
      </c>
    </row>
    <row r="591" spans="12:13" x14ac:dyDescent="0.2">
      <c r="L591" s="4">
        <v>585</v>
      </c>
      <c r="M591" s="21">
        <v>204079.04142954265</v>
      </c>
    </row>
    <row r="592" spans="12:13" x14ac:dyDescent="0.2">
      <c r="L592" s="4">
        <v>586</v>
      </c>
      <c r="M592" s="21">
        <v>189786.38912670466</v>
      </c>
    </row>
    <row r="593" spans="12:13" x14ac:dyDescent="0.2">
      <c r="L593" s="4">
        <v>587</v>
      </c>
      <c r="M593" s="21">
        <v>39138.889003208227</v>
      </c>
    </row>
    <row r="594" spans="12:13" x14ac:dyDescent="0.2">
      <c r="L594" s="4">
        <v>588</v>
      </c>
      <c r="M594" s="21">
        <v>-395764.68399165472</v>
      </c>
    </row>
    <row r="595" spans="12:13" x14ac:dyDescent="0.2">
      <c r="L595" s="4">
        <v>589</v>
      </c>
      <c r="M595" s="21">
        <v>85286.777260045841</v>
      </c>
    </row>
    <row r="596" spans="12:13" x14ac:dyDescent="0.2">
      <c r="L596" s="4">
        <v>590</v>
      </c>
      <c r="M596" s="21">
        <v>374122.37830439874</v>
      </c>
    </row>
    <row r="597" spans="12:13" x14ac:dyDescent="0.2">
      <c r="L597" s="4">
        <v>591</v>
      </c>
      <c r="M597" s="21">
        <v>160709.69320483296</v>
      </c>
    </row>
    <row r="598" spans="12:13" x14ac:dyDescent="0.2">
      <c r="L598" s="4">
        <v>592</v>
      </c>
      <c r="M598" s="21">
        <v>168343.95789379851</v>
      </c>
    </row>
    <row r="599" spans="12:13" x14ac:dyDescent="0.2">
      <c r="L599" s="4">
        <v>593</v>
      </c>
      <c r="M599" s="21">
        <v>-143626.58908719273</v>
      </c>
    </row>
    <row r="600" spans="12:13" x14ac:dyDescent="0.2">
      <c r="L600" s="4">
        <v>594</v>
      </c>
      <c r="M600" s="21">
        <v>-208612.1553257528</v>
      </c>
    </row>
    <row r="601" spans="12:13" x14ac:dyDescent="0.2">
      <c r="L601" s="4">
        <v>595</v>
      </c>
      <c r="M601" s="21">
        <v>-73472.284432919565</v>
      </c>
    </row>
    <row r="602" spans="12:13" x14ac:dyDescent="0.2">
      <c r="L602" s="4">
        <v>596</v>
      </c>
      <c r="M602" s="21">
        <v>-211038.30673599514</v>
      </c>
    </row>
    <row r="603" spans="12:13" x14ac:dyDescent="0.2">
      <c r="L603" s="4">
        <v>597</v>
      </c>
      <c r="M603" s="21">
        <v>24124.194016335707</v>
      </c>
    </row>
    <row r="604" spans="12:13" x14ac:dyDescent="0.2">
      <c r="L604" s="4">
        <v>598</v>
      </c>
      <c r="M604" s="21">
        <v>173810.43649628258</v>
      </c>
    </row>
    <row r="605" spans="12:13" x14ac:dyDescent="0.2">
      <c r="L605" s="4">
        <v>599</v>
      </c>
      <c r="M605" s="21">
        <v>114511.55007298128</v>
      </c>
    </row>
    <row r="606" spans="12:13" x14ac:dyDescent="0.2">
      <c r="L606" s="4">
        <v>600</v>
      </c>
      <c r="M606" s="21">
        <v>248898.1047157837</v>
      </c>
    </row>
    <row r="607" spans="12:13" x14ac:dyDescent="0.2">
      <c r="L607" s="4">
        <v>601</v>
      </c>
      <c r="M607" s="21">
        <v>-220837.7984781753</v>
      </c>
    </row>
    <row r="608" spans="12:13" x14ac:dyDescent="0.2">
      <c r="L608" s="4">
        <v>602</v>
      </c>
      <c r="M608" s="21">
        <v>43434.232501459657</v>
      </c>
    </row>
    <row r="609" spans="12:13" x14ac:dyDescent="0.2">
      <c r="L609" s="4">
        <v>603</v>
      </c>
      <c r="M609" s="21">
        <v>574172.87007042556</v>
      </c>
    </row>
    <row r="610" spans="12:13" x14ac:dyDescent="0.2">
      <c r="L610" s="4">
        <v>604</v>
      </c>
      <c r="M610" s="21">
        <v>-119537.70660878428</v>
      </c>
    </row>
    <row r="611" spans="12:13" x14ac:dyDescent="0.2">
      <c r="L611" s="4">
        <v>605</v>
      </c>
      <c r="M611" s="21">
        <v>-57873.245739903621</v>
      </c>
    </row>
    <row r="612" spans="12:13" x14ac:dyDescent="0.2">
      <c r="L612" s="4">
        <v>606</v>
      </c>
      <c r="M612" s="21">
        <v>334262.82434770186</v>
      </c>
    </row>
    <row r="613" spans="12:13" x14ac:dyDescent="0.2">
      <c r="L613" s="4">
        <v>607</v>
      </c>
      <c r="M613" s="21">
        <v>-6683.2766691321449</v>
      </c>
    </row>
    <row r="614" spans="12:13" x14ac:dyDescent="0.2">
      <c r="L614" s="4">
        <v>608</v>
      </c>
      <c r="M614" s="21">
        <v>-77083.085606620007</v>
      </c>
    </row>
    <row r="615" spans="12:13" x14ac:dyDescent="0.2">
      <c r="L615" s="4">
        <v>609</v>
      </c>
      <c r="M615" s="21">
        <v>-169218.86877557018</v>
      </c>
    </row>
    <row r="616" spans="12:13" x14ac:dyDescent="0.2">
      <c r="L616" s="4">
        <v>610</v>
      </c>
      <c r="M616" s="21">
        <v>620503.15751610557</v>
      </c>
    </row>
    <row r="617" spans="12:13" x14ac:dyDescent="0.2">
      <c r="L617" s="4">
        <v>611</v>
      </c>
      <c r="M617" s="21">
        <v>70987.418600335048</v>
      </c>
    </row>
    <row r="618" spans="12:13" x14ac:dyDescent="0.2">
      <c r="L618" s="4">
        <v>612</v>
      </c>
      <c r="M618" s="21">
        <v>35828.817944409617</v>
      </c>
    </row>
    <row r="619" spans="12:13" x14ac:dyDescent="0.2">
      <c r="L619" s="4">
        <v>613</v>
      </c>
      <c r="M619" s="21">
        <v>159210.89575200624</v>
      </c>
    </row>
    <row r="620" spans="12:13" x14ac:dyDescent="0.2">
      <c r="L620" s="4">
        <v>614</v>
      </c>
      <c r="M620" s="21">
        <v>104175.35570925273</v>
      </c>
    </row>
    <row r="621" spans="12:13" x14ac:dyDescent="0.2">
      <c r="L621" s="4">
        <v>615</v>
      </c>
      <c r="M621" s="21">
        <v>204921.52065740258</v>
      </c>
    </row>
    <row r="622" spans="12:13" x14ac:dyDescent="0.2">
      <c r="L622" s="4">
        <v>616</v>
      </c>
      <c r="M622" s="21">
        <v>100997.51079199836</v>
      </c>
    </row>
    <row r="623" spans="12:13" x14ac:dyDescent="0.2">
      <c r="L623" s="4">
        <v>617</v>
      </c>
      <c r="M623" s="21">
        <v>108695.99063623301</v>
      </c>
    </row>
    <row r="624" spans="12:13" x14ac:dyDescent="0.2">
      <c r="L624" s="4">
        <v>618</v>
      </c>
      <c r="M624" s="21">
        <v>44207.894165778416</v>
      </c>
    </row>
    <row r="625" spans="12:13" x14ac:dyDescent="0.2">
      <c r="L625" s="4">
        <v>619</v>
      </c>
      <c r="M625" s="21">
        <v>-47840.930147922496</v>
      </c>
    </row>
    <row r="626" spans="12:13" x14ac:dyDescent="0.2">
      <c r="L626" s="4">
        <v>620</v>
      </c>
      <c r="M626" s="21">
        <v>-88094.586287654034</v>
      </c>
    </row>
    <row r="627" spans="12:13" x14ac:dyDescent="0.2">
      <c r="L627" s="4">
        <v>621</v>
      </c>
      <c r="M627" s="21">
        <v>531471.42456208006</v>
      </c>
    </row>
    <row r="628" spans="12:13" x14ac:dyDescent="0.2">
      <c r="L628" s="4">
        <v>622</v>
      </c>
      <c r="M628" s="21">
        <v>-90567.794919652311</v>
      </c>
    </row>
    <row r="629" spans="12:13" x14ac:dyDescent="0.2">
      <c r="L629" s="4">
        <v>623</v>
      </c>
      <c r="M629" s="21">
        <v>177155.92773652254</v>
      </c>
    </row>
    <row r="630" spans="12:13" x14ac:dyDescent="0.2">
      <c r="L630" s="4">
        <v>624</v>
      </c>
      <c r="M630" s="21">
        <v>-10396.917027132353</v>
      </c>
    </row>
    <row r="631" spans="12:13" x14ac:dyDescent="0.2">
      <c r="L631" s="4">
        <v>625</v>
      </c>
      <c r="M631" s="21">
        <v>-72725.009655944363</v>
      </c>
    </row>
    <row r="632" spans="12:13" x14ac:dyDescent="0.2">
      <c r="L632" s="4">
        <v>626</v>
      </c>
      <c r="M632" s="21">
        <v>-249831.65698001176</v>
      </c>
    </row>
    <row r="633" spans="12:13" x14ac:dyDescent="0.2">
      <c r="L633" s="4">
        <v>627</v>
      </c>
      <c r="M633" s="21">
        <v>31536.679339760216</v>
      </c>
    </row>
    <row r="634" spans="12:13" x14ac:dyDescent="0.2">
      <c r="L634" s="4">
        <v>628</v>
      </c>
      <c r="M634" s="21">
        <v>-129219.93831468497</v>
      </c>
    </row>
    <row r="635" spans="12:13" x14ac:dyDescent="0.2">
      <c r="L635" s="4">
        <v>629</v>
      </c>
      <c r="M635" s="21">
        <v>75761.518048777391</v>
      </c>
    </row>
    <row r="636" spans="12:13" x14ac:dyDescent="0.2">
      <c r="L636" s="4">
        <v>630</v>
      </c>
      <c r="M636" s="21">
        <v>122089.04884299033</v>
      </c>
    </row>
    <row r="637" spans="12:13" x14ac:dyDescent="0.2">
      <c r="L637" s="4">
        <v>631</v>
      </c>
      <c r="M637" s="21">
        <v>990.05635447360692</v>
      </c>
    </row>
    <row r="638" spans="12:13" x14ac:dyDescent="0.2">
      <c r="L638" s="4">
        <v>632</v>
      </c>
      <c r="M638" s="21">
        <v>271349.79068907932</v>
      </c>
    </row>
    <row r="639" spans="12:13" x14ac:dyDescent="0.2">
      <c r="L639" s="4">
        <v>633</v>
      </c>
      <c r="M639" s="21">
        <v>-80083.837105666593</v>
      </c>
    </row>
    <row r="640" spans="12:13" x14ac:dyDescent="0.2">
      <c r="L640" s="4">
        <v>634</v>
      </c>
      <c r="M640" s="21">
        <v>208697.65037667347</v>
      </c>
    </row>
    <row r="641" spans="12:13" x14ac:dyDescent="0.2">
      <c r="L641" s="4">
        <v>635</v>
      </c>
      <c r="M641" s="21">
        <v>93820.569347750366</v>
      </c>
    </row>
    <row r="642" spans="12:13" x14ac:dyDescent="0.2">
      <c r="L642" s="4">
        <v>636</v>
      </c>
      <c r="M642" s="21">
        <v>9815.7687630882428</v>
      </c>
    </row>
    <row r="643" spans="12:13" x14ac:dyDescent="0.2">
      <c r="L643" s="4">
        <v>637</v>
      </c>
      <c r="M643" s="21">
        <v>147347.92445423672</v>
      </c>
    </row>
    <row r="644" spans="12:13" x14ac:dyDescent="0.2">
      <c r="L644" s="4">
        <v>638</v>
      </c>
      <c r="M644" s="21">
        <v>73689.02294328378</v>
      </c>
    </row>
    <row r="645" spans="12:13" x14ac:dyDescent="0.2">
      <c r="L645" s="4">
        <v>639</v>
      </c>
      <c r="M645" s="21">
        <v>697146.961868393</v>
      </c>
    </row>
    <row r="646" spans="12:13" x14ac:dyDescent="0.2">
      <c r="L646" s="4">
        <v>640</v>
      </c>
      <c r="M646" s="21">
        <v>483222.93593190913</v>
      </c>
    </row>
    <row r="647" spans="12:13" x14ac:dyDescent="0.2">
      <c r="L647" s="4">
        <v>641</v>
      </c>
      <c r="M647" s="21">
        <v>5842.7059578463086</v>
      </c>
    </row>
    <row r="648" spans="12:13" x14ac:dyDescent="0.2">
      <c r="L648" s="4">
        <v>642</v>
      </c>
      <c r="M648" s="21">
        <v>-66630.247242429279</v>
      </c>
    </row>
    <row r="649" spans="12:13" x14ac:dyDescent="0.2">
      <c r="L649" s="4">
        <v>643</v>
      </c>
      <c r="M649" s="21">
        <v>127861.72735730425</v>
      </c>
    </row>
    <row r="650" spans="12:13" x14ac:dyDescent="0.2">
      <c r="L650" s="4">
        <v>644</v>
      </c>
      <c r="M650" s="21">
        <v>-32876.316717921683</v>
      </c>
    </row>
    <row r="651" spans="12:13" x14ac:dyDescent="0.2">
      <c r="L651" s="4">
        <v>645</v>
      </c>
      <c r="M651" s="21">
        <v>248769.17693833038</v>
      </c>
    </row>
    <row r="652" spans="12:13" x14ac:dyDescent="0.2">
      <c r="L652" s="4">
        <v>646</v>
      </c>
      <c r="M652" s="21">
        <v>-199509.30525038228</v>
      </c>
    </row>
    <row r="653" spans="12:13" x14ac:dyDescent="0.2">
      <c r="L653" s="4">
        <v>647</v>
      </c>
      <c r="M653" s="21">
        <v>14529.016099758213</v>
      </c>
    </row>
    <row r="654" spans="12:13" x14ac:dyDescent="0.2">
      <c r="L654" s="4">
        <v>648</v>
      </c>
      <c r="M654" s="21">
        <v>51811.268435938866</v>
      </c>
    </row>
    <row r="655" spans="12:13" x14ac:dyDescent="0.2">
      <c r="L655" s="4">
        <v>649</v>
      </c>
      <c r="M655" s="21">
        <v>-92470.662370330654</v>
      </c>
    </row>
    <row r="656" spans="12:13" x14ac:dyDescent="0.2">
      <c r="L656" s="4">
        <v>650</v>
      </c>
      <c r="M656" s="21">
        <v>5557.1297454798478</v>
      </c>
    </row>
    <row r="657" spans="12:13" x14ac:dyDescent="0.2">
      <c r="L657" s="4">
        <v>651</v>
      </c>
      <c r="M657" s="21">
        <v>14518.600947953237</v>
      </c>
    </row>
    <row r="658" spans="12:13" x14ac:dyDescent="0.2">
      <c r="L658" s="4">
        <v>652</v>
      </c>
      <c r="M658" s="21">
        <v>109690.61537892147</v>
      </c>
    </row>
    <row r="659" spans="12:13" x14ac:dyDescent="0.2">
      <c r="L659" s="4">
        <v>653</v>
      </c>
      <c r="M659" s="21">
        <v>-195137.69872770942</v>
      </c>
    </row>
    <row r="660" spans="12:13" x14ac:dyDescent="0.2">
      <c r="L660" s="4">
        <v>654</v>
      </c>
      <c r="M660" s="21">
        <v>-249189.50067024981</v>
      </c>
    </row>
    <row r="661" spans="12:13" x14ac:dyDescent="0.2">
      <c r="L661" s="4">
        <v>655</v>
      </c>
      <c r="M661" s="21">
        <v>206180.54205741067</v>
      </c>
    </row>
    <row r="662" spans="12:13" x14ac:dyDescent="0.2">
      <c r="L662" s="4">
        <v>656</v>
      </c>
      <c r="M662" s="21">
        <v>44457.083338119672</v>
      </c>
    </row>
    <row r="663" spans="12:13" x14ac:dyDescent="0.2">
      <c r="L663" s="4">
        <v>657</v>
      </c>
      <c r="M663" s="21">
        <v>259344.29675997782</v>
      </c>
    </row>
    <row r="664" spans="12:13" x14ac:dyDescent="0.2">
      <c r="L664" s="4">
        <v>658</v>
      </c>
      <c r="M664" s="21">
        <v>-186706.63967557155</v>
      </c>
    </row>
    <row r="665" spans="12:13" x14ac:dyDescent="0.2">
      <c r="L665" s="4">
        <v>659</v>
      </c>
      <c r="M665" s="21">
        <v>-53291.727494953084</v>
      </c>
    </row>
    <row r="666" spans="12:13" x14ac:dyDescent="0.2">
      <c r="L666" s="4">
        <v>660</v>
      </c>
      <c r="M666" s="21">
        <v>-15618.789427172291</v>
      </c>
    </row>
    <row r="667" spans="12:13" x14ac:dyDescent="0.2">
      <c r="L667" s="4">
        <v>661</v>
      </c>
      <c r="M667" s="21">
        <v>32695.209713160148</v>
      </c>
    </row>
    <row r="668" spans="12:13" x14ac:dyDescent="0.2">
      <c r="L668" s="4">
        <v>662</v>
      </c>
      <c r="M668" s="21">
        <v>175410.84608117244</v>
      </c>
    </row>
    <row r="669" spans="12:13" x14ac:dyDescent="0.2">
      <c r="L669" s="4">
        <v>663</v>
      </c>
      <c r="M669" s="21">
        <v>41713.118319683796</v>
      </c>
    </row>
    <row r="670" spans="12:13" x14ac:dyDescent="0.2">
      <c r="L670" s="4">
        <v>664</v>
      </c>
      <c r="M670" s="21">
        <v>-130530.98735067133</v>
      </c>
    </row>
    <row r="671" spans="12:13" x14ac:dyDescent="0.2">
      <c r="L671" s="4">
        <v>665</v>
      </c>
      <c r="M671" s="21">
        <v>-153314.90463890613</v>
      </c>
    </row>
    <row r="672" spans="12:13" x14ac:dyDescent="0.2">
      <c r="L672" s="4">
        <v>666</v>
      </c>
      <c r="M672" s="21">
        <v>52948.992092938861</v>
      </c>
    </row>
    <row r="673" spans="12:13" x14ac:dyDescent="0.2">
      <c r="L673" s="4">
        <v>667</v>
      </c>
      <c r="M673" s="21">
        <v>33210.311001534341</v>
      </c>
    </row>
    <row r="674" spans="12:13" x14ac:dyDescent="0.2">
      <c r="L674" s="4">
        <v>668</v>
      </c>
      <c r="M674" s="21">
        <v>228790.41725816566</v>
      </c>
    </row>
    <row r="675" spans="12:13" x14ac:dyDescent="0.2">
      <c r="L675" s="4">
        <v>669</v>
      </c>
      <c r="M675" s="21">
        <v>421951.14447768428</v>
      </c>
    </row>
    <row r="676" spans="12:13" x14ac:dyDescent="0.2">
      <c r="L676" s="4">
        <v>670</v>
      </c>
      <c r="M676" s="21">
        <v>-266879.44686357386</v>
      </c>
    </row>
    <row r="677" spans="12:13" x14ac:dyDescent="0.2">
      <c r="L677" s="4">
        <v>671</v>
      </c>
      <c r="M677" s="21">
        <v>-187745.43071948219</v>
      </c>
    </row>
    <row r="678" spans="12:13" x14ac:dyDescent="0.2">
      <c r="L678" s="4">
        <v>672</v>
      </c>
      <c r="M678" s="21">
        <v>-69601.479110139509</v>
      </c>
    </row>
    <row r="679" spans="12:13" x14ac:dyDescent="0.2">
      <c r="L679" s="4">
        <v>673</v>
      </c>
      <c r="M679" s="21">
        <v>-31648.427814040348</v>
      </c>
    </row>
    <row r="680" spans="12:13" x14ac:dyDescent="0.2">
      <c r="L680" s="4">
        <v>674</v>
      </c>
      <c r="M680" s="21">
        <v>-318374.3650451724</v>
      </c>
    </row>
    <row r="681" spans="12:13" x14ac:dyDescent="0.2">
      <c r="L681" s="4">
        <v>675</v>
      </c>
      <c r="M681" s="21">
        <v>-160712.59505303582</v>
      </c>
    </row>
    <row r="682" spans="12:13" x14ac:dyDescent="0.2">
      <c r="L682" s="4">
        <v>676</v>
      </c>
      <c r="M682" s="21">
        <v>-4842.3116549296828</v>
      </c>
    </row>
    <row r="683" spans="12:13" x14ac:dyDescent="0.2">
      <c r="L683" s="4">
        <v>677</v>
      </c>
      <c r="M683" s="21">
        <v>56359.80082830647</v>
      </c>
    </row>
    <row r="684" spans="12:13" x14ac:dyDescent="0.2">
      <c r="L684" s="4">
        <v>678</v>
      </c>
      <c r="M684" s="21">
        <v>36563.612801778509</v>
      </c>
    </row>
    <row r="685" spans="12:13" x14ac:dyDescent="0.2">
      <c r="L685" s="4">
        <v>679</v>
      </c>
      <c r="M685" s="21">
        <v>250633.13904477388</v>
      </c>
    </row>
    <row r="686" spans="12:13" x14ac:dyDescent="0.2">
      <c r="L686" s="4">
        <v>680</v>
      </c>
      <c r="M686" s="21">
        <v>-461268.36314176326</v>
      </c>
    </row>
    <row r="687" spans="12:13" x14ac:dyDescent="0.2">
      <c r="L687" s="4">
        <v>681</v>
      </c>
      <c r="M687" s="21">
        <v>195600.47064277952</v>
      </c>
    </row>
    <row r="688" spans="12:13" x14ac:dyDescent="0.2">
      <c r="L688" s="4">
        <v>682</v>
      </c>
      <c r="M688" s="21">
        <v>105803.02317775186</v>
      </c>
    </row>
    <row r="689" spans="12:13" x14ac:dyDescent="0.2">
      <c r="L689" s="4">
        <v>683</v>
      </c>
      <c r="M689" s="21">
        <v>124233.62940099489</v>
      </c>
    </row>
    <row r="690" spans="12:13" x14ac:dyDescent="0.2">
      <c r="L690" s="4">
        <v>684</v>
      </c>
      <c r="M690" s="21">
        <v>309766.68238945398</v>
      </c>
    </row>
    <row r="691" spans="12:13" x14ac:dyDescent="0.2">
      <c r="L691" s="4">
        <v>685</v>
      </c>
      <c r="M691" s="21">
        <v>5304.4125376170268</v>
      </c>
    </row>
    <row r="692" spans="12:13" x14ac:dyDescent="0.2">
      <c r="L692" s="4">
        <v>686</v>
      </c>
      <c r="M692" s="21">
        <v>-244567.89044390718</v>
      </c>
    </row>
    <row r="693" spans="12:13" x14ac:dyDescent="0.2">
      <c r="L693" s="4">
        <v>687</v>
      </c>
      <c r="M693" s="21">
        <v>266326.51622009266</v>
      </c>
    </row>
    <row r="694" spans="12:13" x14ac:dyDescent="0.2">
      <c r="L694" s="4">
        <v>688</v>
      </c>
      <c r="M694" s="21">
        <v>237348.74395756927</v>
      </c>
    </row>
    <row r="695" spans="12:13" x14ac:dyDescent="0.2">
      <c r="L695" s="4">
        <v>689</v>
      </c>
      <c r="M695" s="21">
        <v>-242737.10062169388</v>
      </c>
    </row>
    <row r="696" spans="12:13" x14ac:dyDescent="0.2">
      <c r="L696" s="4">
        <v>690</v>
      </c>
      <c r="M696" s="21">
        <v>-14818.348755818632</v>
      </c>
    </row>
    <row r="697" spans="12:13" x14ac:dyDescent="0.2">
      <c r="L697" s="4">
        <v>691</v>
      </c>
      <c r="M697" s="21">
        <v>-298594.15030122176</v>
      </c>
    </row>
    <row r="698" spans="12:13" x14ac:dyDescent="0.2">
      <c r="L698" s="4">
        <v>692</v>
      </c>
      <c r="M698" s="21">
        <v>182912.98623319567</v>
      </c>
    </row>
    <row r="699" spans="12:13" x14ac:dyDescent="0.2">
      <c r="L699" s="4">
        <v>693</v>
      </c>
      <c r="M699" s="21">
        <v>-3451.1280914010567</v>
      </c>
    </row>
    <row r="700" spans="12:13" x14ac:dyDescent="0.2">
      <c r="L700" s="4">
        <v>694</v>
      </c>
      <c r="M700" s="21">
        <v>6477.4477228893957</v>
      </c>
    </row>
    <row r="701" spans="12:13" x14ac:dyDescent="0.2">
      <c r="L701" s="4">
        <v>695</v>
      </c>
      <c r="M701" s="21">
        <v>-179076.05266690953</v>
      </c>
    </row>
    <row r="702" spans="12:13" x14ac:dyDescent="0.2">
      <c r="L702" s="4">
        <v>696</v>
      </c>
      <c r="M702" s="21">
        <v>-118425.30072245213</v>
      </c>
    </row>
    <row r="703" spans="12:13" x14ac:dyDescent="0.2">
      <c r="L703" s="4">
        <v>697</v>
      </c>
      <c r="M703" s="21">
        <v>-322215.74665569741</v>
      </c>
    </row>
    <row r="704" spans="12:13" x14ac:dyDescent="0.2">
      <c r="L704" s="4">
        <v>698</v>
      </c>
      <c r="M704" s="21">
        <v>-201042.0492746637</v>
      </c>
    </row>
    <row r="705" spans="12:13" x14ac:dyDescent="0.2">
      <c r="L705" s="4">
        <v>699</v>
      </c>
      <c r="M705" s="21">
        <v>358968.52120917774</v>
      </c>
    </row>
    <row r="706" spans="12:13" x14ac:dyDescent="0.2">
      <c r="L706" s="4">
        <v>700</v>
      </c>
      <c r="M706" s="21">
        <v>-20279.702923590725</v>
      </c>
    </row>
    <row r="707" spans="12:13" x14ac:dyDescent="0.2">
      <c r="L707" s="4">
        <v>701</v>
      </c>
      <c r="M707" s="21">
        <v>231089.7489789087</v>
      </c>
    </row>
    <row r="708" spans="12:13" x14ac:dyDescent="0.2">
      <c r="L708" s="4">
        <v>702</v>
      </c>
      <c r="M708" s="21">
        <v>456923.55075830512</v>
      </c>
    </row>
    <row r="709" spans="12:13" x14ac:dyDescent="0.2">
      <c r="L709" s="4">
        <v>703</v>
      </c>
      <c r="M709" s="21">
        <v>-299873.88107366755</v>
      </c>
    </row>
    <row r="710" spans="12:13" x14ac:dyDescent="0.2">
      <c r="L710" s="4">
        <v>704</v>
      </c>
      <c r="M710" s="21">
        <v>214558.80046745416</v>
      </c>
    </row>
    <row r="711" spans="12:13" x14ac:dyDescent="0.2">
      <c r="L711" s="4">
        <v>705</v>
      </c>
      <c r="M711" s="21">
        <v>22649.308960480819</v>
      </c>
    </row>
    <row r="712" spans="12:13" x14ac:dyDescent="0.2">
      <c r="L712" s="4">
        <v>706</v>
      </c>
      <c r="M712" s="21">
        <v>128973.3787948768</v>
      </c>
    </row>
    <row r="713" spans="12:13" x14ac:dyDescent="0.2">
      <c r="L713" s="4">
        <v>707</v>
      </c>
      <c r="M713" s="21">
        <v>-65420.279497204596</v>
      </c>
    </row>
    <row r="714" spans="12:13" x14ac:dyDescent="0.2">
      <c r="L714" s="4">
        <v>708</v>
      </c>
      <c r="M714" s="21">
        <v>-74854.09443739352</v>
      </c>
    </row>
    <row r="715" spans="12:13" x14ac:dyDescent="0.2">
      <c r="L715" s="4">
        <v>709</v>
      </c>
      <c r="M715" s="21">
        <v>-84179.319074080049</v>
      </c>
    </row>
    <row r="716" spans="12:13" x14ac:dyDescent="0.2">
      <c r="L716" s="4">
        <v>710</v>
      </c>
      <c r="M716" s="21">
        <v>-112197.43317743891</v>
      </c>
    </row>
    <row r="717" spans="12:13" x14ac:dyDescent="0.2">
      <c r="L717" s="4">
        <v>711</v>
      </c>
      <c r="M717" s="21">
        <v>81786.68120628217</v>
      </c>
    </row>
    <row r="718" spans="12:13" x14ac:dyDescent="0.2">
      <c r="L718" s="4">
        <v>712</v>
      </c>
      <c r="M718" s="21">
        <v>21986.882669709972</v>
      </c>
    </row>
    <row r="719" spans="12:13" x14ac:dyDescent="0.2">
      <c r="L719" s="4">
        <v>713</v>
      </c>
      <c r="M719" s="21">
        <v>59330.021291635232</v>
      </c>
    </row>
    <row r="720" spans="12:13" x14ac:dyDescent="0.2">
      <c r="L720" s="4">
        <v>714</v>
      </c>
      <c r="M720" s="21">
        <v>251194.06013276594</v>
      </c>
    </row>
    <row r="721" spans="12:13" x14ac:dyDescent="0.2">
      <c r="L721" s="4">
        <v>715</v>
      </c>
      <c r="M721" s="21">
        <v>-113031.59708628629</v>
      </c>
    </row>
    <row r="722" spans="12:13" x14ac:dyDescent="0.2">
      <c r="L722" s="4">
        <v>716</v>
      </c>
      <c r="M722" s="21">
        <v>-257848.14744222915</v>
      </c>
    </row>
    <row r="723" spans="12:13" x14ac:dyDescent="0.2">
      <c r="L723" s="4">
        <v>717</v>
      </c>
      <c r="M723" s="21">
        <v>70761.680176738591</v>
      </c>
    </row>
    <row r="724" spans="12:13" x14ac:dyDescent="0.2">
      <c r="L724" s="4">
        <v>718</v>
      </c>
      <c r="M724" s="21">
        <v>-25213.904715008539</v>
      </c>
    </row>
    <row r="725" spans="12:13" x14ac:dyDescent="0.2">
      <c r="L725" s="4">
        <v>719</v>
      </c>
      <c r="M725" s="21">
        <v>-15270.325491994954</v>
      </c>
    </row>
    <row r="726" spans="12:13" x14ac:dyDescent="0.2">
      <c r="L726" s="4">
        <v>720</v>
      </c>
      <c r="M726" s="21">
        <v>233702.39621044628</v>
      </c>
    </row>
    <row r="727" spans="12:13" x14ac:dyDescent="0.2">
      <c r="L727" s="4">
        <v>721</v>
      </c>
      <c r="M727" s="21">
        <v>-416791.2449359367</v>
      </c>
    </row>
    <row r="728" spans="12:13" x14ac:dyDescent="0.2">
      <c r="L728" s="4">
        <v>722</v>
      </c>
      <c r="M728" s="21">
        <v>229427.61083412674</v>
      </c>
    </row>
    <row r="729" spans="12:13" x14ac:dyDescent="0.2">
      <c r="L729" s="4">
        <v>723</v>
      </c>
      <c r="M729" s="21">
        <v>94406.045525724097</v>
      </c>
    </row>
    <row r="730" spans="12:13" x14ac:dyDescent="0.2">
      <c r="L730" s="4">
        <v>724</v>
      </c>
      <c r="M730" s="21">
        <v>139027.48402112702</v>
      </c>
    </row>
    <row r="731" spans="12:13" x14ac:dyDescent="0.2">
      <c r="L731" s="4">
        <v>725</v>
      </c>
      <c r="M731" s="21">
        <v>36836.885559312912</v>
      </c>
    </row>
    <row r="732" spans="12:13" x14ac:dyDescent="0.2">
      <c r="L732" s="4">
        <v>726</v>
      </c>
      <c r="M732" s="21">
        <v>81133.743612982857</v>
      </c>
    </row>
    <row r="733" spans="12:13" x14ac:dyDescent="0.2">
      <c r="L733" s="4">
        <v>727</v>
      </c>
      <c r="M733" s="21">
        <v>-107394.23321672266</v>
      </c>
    </row>
    <row r="734" spans="12:13" x14ac:dyDescent="0.2">
      <c r="L734" s="4">
        <v>728</v>
      </c>
      <c r="M734" s="21">
        <v>417611.55820472864</v>
      </c>
    </row>
    <row r="735" spans="12:13" x14ac:dyDescent="0.2">
      <c r="L735" s="4">
        <v>729</v>
      </c>
      <c r="M735" s="21">
        <v>138641.55908192648</v>
      </c>
    </row>
    <row r="736" spans="12:13" x14ac:dyDescent="0.2">
      <c r="L736" s="4">
        <v>730</v>
      </c>
      <c r="M736" s="21">
        <v>-107733.113877243</v>
      </c>
    </row>
    <row r="737" spans="12:13" x14ac:dyDescent="0.2">
      <c r="L737" s="4">
        <v>731</v>
      </c>
      <c r="M737" s="21">
        <v>16668.143682158901</v>
      </c>
    </row>
    <row r="738" spans="12:13" x14ac:dyDescent="0.2">
      <c r="L738" s="4">
        <v>732</v>
      </c>
      <c r="M738" s="21">
        <v>144925.84529547428</v>
      </c>
    </row>
    <row r="739" spans="12:13" x14ac:dyDescent="0.2">
      <c r="L739" s="4">
        <v>733</v>
      </c>
      <c r="M739" s="21">
        <v>282808.95067958615</v>
      </c>
    </row>
    <row r="740" spans="12:13" x14ac:dyDescent="0.2">
      <c r="L740" s="4">
        <v>734</v>
      </c>
      <c r="M740" s="21">
        <v>98155.040033672849</v>
      </c>
    </row>
    <row r="741" spans="12:13" x14ac:dyDescent="0.2">
      <c r="L741" s="4">
        <v>735</v>
      </c>
      <c r="M741" s="21">
        <v>130245.79294900602</v>
      </c>
    </row>
    <row r="742" spans="12:13" x14ac:dyDescent="0.2">
      <c r="L742" s="4">
        <v>736</v>
      </c>
      <c r="M742" s="21">
        <v>297389.74032956531</v>
      </c>
    </row>
    <row r="743" spans="12:13" x14ac:dyDescent="0.2">
      <c r="L743" s="4">
        <v>737</v>
      </c>
      <c r="M743" s="21">
        <v>223934.26333485014</v>
      </c>
    </row>
    <row r="744" spans="12:13" x14ac:dyDescent="0.2">
      <c r="L744" s="4">
        <v>738</v>
      </c>
      <c r="M744" s="21">
        <v>165731.45188961711</v>
      </c>
    </row>
    <row r="745" spans="12:13" x14ac:dyDescent="0.2">
      <c r="L745" s="4">
        <v>739</v>
      </c>
      <c r="M745" s="21">
        <v>210553.90373068638</v>
      </c>
    </row>
    <row r="746" spans="12:13" x14ac:dyDescent="0.2">
      <c r="L746" s="4">
        <v>740</v>
      </c>
      <c r="M746" s="21">
        <v>26448.262590808823</v>
      </c>
    </row>
    <row r="747" spans="12:13" x14ac:dyDescent="0.2">
      <c r="L747" s="4">
        <v>741</v>
      </c>
      <c r="M747" s="21">
        <v>310014.80254185444</v>
      </c>
    </row>
    <row r="748" spans="12:13" x14ac:dyDescent="0.2">
      <c r="L748" s="4">
        <v>742</v>
      </c>
      <c r="M748" s="21">
        <v>36447.118349170516</v>
      </c>
    </row>
    <row r="749" spans="12:13" x14ac:dyDescent="0.2">
      <c r="L749" s="4">
        <v>743</v>
      </c>
      <c r="M749" s="21">
        <v>214973.90495103237</v>
      </c>
    </row>
    <row r="750" spans="12:13" x14ac:dyDescent="0.2">
      <c r="L750" s="4">
        <v>744</v>
      </c>
      <c r="M750" s="21">
        <v>-66661.533265086138</v>
      </c>
    </row>
    <row r="751" spans="12:13" x14ac:dyDescent="0.2">
      <c r="L751" s="4">
        <v>745</v>
      </c>
      <c r="M751" s="21">
        <v>-122079.89123349682</v>
      </c>
    </row>
    <row r="752" spans="12:13" x14ac:dyDescent="0.2">
      <c r="L752" s="4">
        <v>746</v>
      </c>
      <c r="M752" s="21">
        <v>29803.612599481654</v>
      </c>
    </row>
    <row r="753" spans="12:13" x14ac:dyDescent="0.2">
      <c r="L753" s="4">
        <v>747</v>
      </c>
      <c r="M753" s="21">
        <v>49035.353797825606</v>
      </c>
    </row>
    <row r="754" spans="12:13" x14ac:dyDescent="0.2">
      <c r="L754" s="4">
        <v>748</v>
      </c>
      <c r="M754" s="21">
        <v>143713.97921262312</v>
      </c>
    </row>
    <row r="755" spans="12:13" x14ac:dyDescent="0.2">
      <c r="L755" s="4">
        <v>749</v>
      </c>
      <c r="M755" s="21">
        <v>4939.8233876509476</v>
      </c>
    </row>
    <row r="756" spans="12:13" x14ac:dyDescent="0.2">
      <c r="L756" s="4">
        <v>750</v>
      </c>
      <c r="M756" s="21">
        <v>301090.16621396563</v>
      </c>
    </row>
    <row r="757" spans="12:13" x14ac:dyDescent="0.2">
      <c r="L757" s="4">
        <v>751</v>
      </c>
      <c r="M757" s="21">
        <v>-275114.53370097524</v>
      </c>
    </row>
    <row r="758" spans="12:13" x14ac:dyDescent="0.2">
      <c r="L758" s="4">
        <v>752</v>
      </c>
      <c r="M758" s="21">
        <v>330046.70732482022</v>
      </c>
    </row>
    <row r="759" spans="12:13" x14ac:dyDescent="0.2">
      <c r="L759" s="4">
        <v>753</v>
      </c>
      <c r="M759" s="21">
        <v>130577.16427674479</v>
      </c>
    </row>
    <row r="760" spans="12:13" x14ac:dyDescent="0.2">
      <c r="L760" s="4">
        <v>754</v>
      </c>
      <c r="M760" s="21">
        <v>28156.618625742907</v>
      </c>
    </row>
    <row r="761" spans="12:13" x14ac:dyDescent="0.2">
      <c r="L761" s="4">
        <v>755</v>
      </c>
      <c r="M761" s="21">
        <v>240568.87113553766</v>
      </c>
    </row>
    <row r="762" spans="12:13" x14ac:dyDescent="0.2">
      <c r="L762" s="4">
        <v>756</v>
      </c>
      <c r="M762" s="21">
        <v>-7995.6063958274899</v>
      </c>
    </row>
    <row r="763" spans="12:13" x14ac:dyDescent="0.2">
      <c r="L763" s="4">
        <v>757</v>
      </c>
      <c r="M763" s="21">
        <v>133481.69422346039</v>
      </c>
    </row>
    <row r="764" spans="12:13" x14ac:dyDescent="0.2">
      <c r="L764" s="4">
        <v>758</v>
      </c>
      <c r="M764" s="21">
        <v>-100467.9549254653</v>
      </c>
    </row>
    <row r="765" spans="12:13" x14ac:dyDescent="0.2">
      <c r="L765" s="4">
        <v>759</v>
      </c>
      <c r="M765" s="21">
        <v>-45079.596350849635</v>
      </c>
    </row>
    <row r="766" spans="12:13" x14ac:dyDescent="0.2">
      <c r="L766" s="4">
        <v>760</v>
      </c>
      <c r="M766" s="21">
        <v>-340719.51288041344</v>
      </c>
    </row>
    <row r="767" spans="12:13" x14ac:dyDescent="0.2">
      <c r="L767" s="4">
        <v>761</v>
      </c>
      <c r="M767" s="21">
        <v>243346.4487478857</v>
      </c>
    </row>
    <row r="768" spans="12:13" x14ac:dyDescent="0.2">
      <c r="L768" s="4">
        <v>762</v>
      </c>
      <c r="M768" s="21">
        <v>18773.072809885954</v>
      </c>
    </row>
    <row r="769" spans="12:13" x14ac:dyDescent="0.2">
      <c r="L769" s="4">
        <v>763</v>
      </c>
      <c r="M769" s="21">
        <v>49074.352840228821</v>
      </c>
    </row>
    <row r="770" spans="12:13" x14ac:dyDescent="0.2">
      <c r="L770" s="4">
        <v>764</v>
      </c>
      <c r="M770" s="21">
        <v>89098.220872242382</v>
      </c>
    </row>
    <row r="771" spans="12:13" x14ac:dyDescent="0.2">
      <c r="L771" s="4">
        <v>765</v>
      </c>
      <c r="M771" s="21">
        <v>22416.195568702766</v>
      </c>
    </row>
    <row r="772" spans="12:13" x14ac:dyDescent="0.2">
      <c r="L772" s="4">
        <v>766</v>
      </c>
      <c r="M772" s="21">
        <v>341667.48104541597</v>
      </c>
    </row>
    <row r="773" spans="12:13" x14ac:dyDescent="0.2">
      <c r="L773" s="4">
        <v>767</v>
      </c>
      <c r="M773" s="21">
        <v>-135878.56897034045</v>
      </c>
    </row>
    <row r="774" spans="12:13" x14ac:dyDescent="0.2">
      <c r="L774" s="4">
        <v>768</v>
      </c>
      <c r="M774" s="21">
        <v>13315.194115272112</v>
      </c>
    </row>
    <row r="775" spans="12:13" x14ac:dyDescent="0.2">
      <c r="L775" s="4">
        <v>769</v>
      </c>
      <c r="M775" s="21">
        <v>-117577.74877723164</v>
      </c>
    </row>
    <row r="776" spans="12:13" x14ac:dyDescent="0.2">
      <c r="L776" s="4">
        <v>770</v>
      </c>
      <c r="M776" s="21">
        <v>147928.38129869252</v>
      </c>
    </row>
    <row r="777" spans="12:13" x14ac:dyDescent="0.2">
      <c r="L777" s="4">
        <v>771</v>
      </c>
      <c r="M777" s="21">
        <v>152461.63610337483</v>
      </c>
    </row>
    <row r="778" spans="12:13" x14ac:dyDescent="0.2">
      <c r="L778" s="4">
        <v>772</v>
      </c>
      <c r="M778" s="21">
        <v>-124048.43142351459</v>
      </c>
    </row>
    <row r="779" spans="12:13" x14ac:dyDescent="0.2">
      <c r="L779" s="4">
        <v>773</v>
      </c>
      <c r="M779" s="21">
        <v>188706.34572045234</v>
      </c>
    </row>
    <row r="780" spans="12:13" x14ac:dyDescent="0.2">
      <c r="L780" s="4">
        <v>774</v>
      </c>
      <c r="M780" s="21">
        <v>39865.017351233313</v>
      </c>
    </row>
    <row r="781" spans="12:13" x14ac:dyDescent="0.2">
      <c r="L781" s="4">
        <v>775</v>
      </c>
      <c r="M781" s="21">
        <v>-319672.59412862122</v>
      </c>
    </row>
    <row r="782" spans="12:13" x14ac:dyDescent="0.2">
      <c r="L782" s="4">
        <v>776</v>
      </c>
      <c r="M782" s="21">
        <v>-230888.10148821247</v>
      </c>
    </row>
    <row r="783" spans="12:13" x14ac:dyDescent="0.2">
      <c r="L783" s="4">
        <v>777</v>
      </c>
      <c r="M783" s="21">
        <v>-57315.708332035356</v>
      </c>
    </row>
    <row r="784" spans="12:13" x14ac:dyDescent="0.2">
      <c r="L784" s="4">
        <v>778</v>
      </c>
      <c r="M784" s="21">
        <v>134170.51020732254</v>
      </c>
    </row>
    <row r="785" spans="12:13" x14ac:dyDescent="0.2">
      <c r="L785" s="4">
        <v>779</v>
      </c>
      <c r="M785" s="21">
        <v>-57098.755535827659</v>
      </c>
    </row>
    <row r="786" spans="12:13" x14ac:dyDescent="0.2">
      <c r="L786" s="4">
        <v>780</v>
      </c>
      <c r="M786" s="21">
        <v>240024.34799743467</v>
      </c>
    </row>
    <row r="787" spans="12:13" x14ac:dyDescent="0.2">
      <c r="L787" s="4">
        <v>781</v>
      </c>
      <c r="M787" s="21">
        <v>-83089.083197075073</v>
      </c>
    </row>
    <row r="788" spans="12:13" x14ac:dyDescent="0.2">
      <c r="L788" s="4">
        <v>782</v>
      </c>
      <c r="M788" s="21">
        <v>-90658.159715332629</v>
      </c>
    </row>
    <row r="789" spans="12:13" x14ac:dyDescent="0.2">
      <c r="L789" s="4">
        <v>783</v>
      </c>
      <c r="M789" s="21">
        <v>145688.99050027956</v>
      </c>
    </row>
    <row r="790" spans="12:13" x14ac:dyDescent="0.2">
      <c r="L790" s="4">
        <v>784</v>
      </c>
      <c r="M790" s="21">
        <v>-111421.74325854162</v>
      </c>
    </row>
    <row r="791" spans="12:13" x14ac:dyDescent="0.2">
      <c r="L791" s="4">
        <v>785</v>
      </c>
      <c r="M791" s="21">
        <v>52324.157712296088</v>
      </c>
    </row>
    <row r="792" spans="12:13" x14ac:dyDescent="0.2">
      <c r="L792" s="4">
        <v>786</v>
      </c>
      <c r="M792" s="21">
        <v>72955.388187471806</v>
      </c>
    </row>
    <row r="793" spans="12:13" x14ac:dyDescent="0.2">
      <c r="L793" s="4">
        <v>787</v>
      </c>
      <c r="M793" s="21">
        <v>105721.13300547644</v>
      </c>
    </row>
    <row r="794" spans="12:13" x14ac:dyDescent="0.2">
      <c r="L794" s="4">
        <v>788</v>
      </c>
      <c r="M794" s="21">
        <v>-482079.38324620575</v>
      </c>
    </row>
    <row r="795" spans="12:13" x14ac:dyDescent="0.2">
      <c r="L795" s="4">
        <v>789</v>
      </c>
      <c r="M795" s="21">
        <v>-131475.01200184089</v>
      </c>
    </row>
    <row r="796" spans="12:13" x14ac:dyDescent="0.2">
      <c r="L796" s="4">
        <v>790</v>
      </c>
      <c r="M796" s="21">
        <v>402270.11412585777</v>
      </c>
    </row>
    <row r="797" spans="12:13" x14ac:dyDescent="0.2">
      <c r="L797" s="4">
        <v>791</v>
      </c>
      <c r="M797" s="21">
        <v>-34966.17768419566</v>
      </c>
    </row>
    <row r="798" spans="12:13" x14ac:dyDescent="0.2">
      <c r="L798" s="4">
        <v>792</v>
      </c>
      <c r="M798" s="21">
        <v>394568.12189865264</v>
      </c>
    </row>
    <row r="799" spans="12:13" x14ac:dyDescent="0.2">
      <c r="L799" s="4">
        <v>793</v>
      </c>
      <c r="M799" s="21">
        <v>-28496.214054069293</v>
      </c>
    </row>
    <row r="800" spans="12:13" x14ac:dyDescent="0.2">
      <c r="L800" s="4">
        <v>794</v>
      </c>
      <c r="M800" s="21">
        <v>167300.57894190896</v>
      </c>
    </row>
    <row r="801" spans="12:13" x14ac:dyDescent="0.2">
      <c r="L801" s="4">
        <v>795</v>
      </c>
      <c r="M801" s="21">
        <v>204211.08874577688</v>
      </c>
    </row>
    <row r="802" spans="12:13" x14ac:dyDescent="0.2">
      <c r="L802" s="4">
        <v>796</v>
      </c>
      <c r="M802" s="21">
        <v>-284391.93023272738</v>
      </c>
    </row>
    <row r="803" spans="12:13" x14ac:dyDescent="0.2">
      <c r="L803" s="4">
        <v>797</v>
      </c>
      <c r="M803" s="21">
        <v>-314431.4149481862</v>
      </c>
    </row>
    <row r="804" spans="12:13" x14ac:dyDescent="0.2">
      <c r="L804" s="4">
        <v>798</v>
      </c>
      <c r="M804" s="21">
        <v>205495.66826420178</v>
      </c>
    </row>
    <row r="805" spans="12:13" x14ac:dyDescent="0.2">
      <c r="L805" s="4">
        <v>799</v>
      </c>
      <c r="M805" s="21">
        <v>352535.31522031594</v>
      </c>
    </row>
    <row r="806" spans="12:13" x14ac:dyDescent="0.2">
      <c r="L806" s="4">
        <v>800</v>
      </c>
      <c r="M806" s="21">
        <v>-267127.55238226469</v>
      </c>
    </row>
    <row r="807" spans="12:13" x14ac:dyDescent="0.2">
      <c r="L807" s="4">
        <v>801</v>
      </c>
      <c r="M807" s="21">
        <v>393759.80866397067</v>
      </c>
    </row>
    <row r="808" spans="12:13" x14ac:dyDescent="0.2">
      <c r="L808" s="4">
        <v>802</v>
      </c>
      <c r="M808" s="21">
        <v>157420.38275538903</v>
      </c>
    </row>
    <row r="809" spans="12:13" x14ac:dyDescent="0.2">
      <c r="L809" s="4">
        <v>803</v>
      </c>
      <c r="M809" s="21">
        <v>16933.842430574266</v>
      </c>
    </row>
    <row r="810" spans="12:13" x14ac:dyDescent="0.2">
      <c r="L810" s="4">
        <v>804</v>
      </c>
      <c r="M810" s="21">
        <v>-5414.65184143644</v>
      </c>
    </row>
    <row r="811" spans="12:13" x14ac:dyDescent="0.2">
      <c r="L811" s="4">
        <v>805</v>
      </c>
      <c r="M811" s="21">
        <v>-255760.48396972055</v>
      </c>
    </row>
    <row r="812" spans="12:13" x14ac:dyDescent="0.2">
      <c r="L812" s="4">
        <v>806</v>
      </c>
      <c r="M812" s="21">
        <v>366577.12249263749</v>
      </c>
    </row>
    <row r="813" spans="12:13" x14ac:dyDescent="0.2">
      <c r="L813" s="4">
        <v>807</v>
      </c>
      <c r="M813" s="21">
        <v>-239295.55852373835</v>
      </c>
    </row>
    <row r="814" spans="12:13" x14ac:dyDescent="0.2">
      <c r="L814" s="4">
        <v>808</v>
      </c>
      <c r="M814" s="21">
        <v>-67344.183622798388</v>
      </c>
    </row>
    <row r="815" spans="12:13" x14ac:dyDescent="0.2">
      <c r="L815" s="4">
        <v>809</v>
      </c>
      <c r="M815" s="21">
        <v>-69374.84027016403</v>
      </c>
    </row>
    <row r="816" spans="12:13" x14ac:dyDescent="0.2">
      <c r="L816" s="4">
        <v>810</v>
      </c>
      <c r="M816" s="21">
        <v>16447.683962973795</v>
      </c>
    </row>
    <row r="817" spans="12:13" x14ac:dyDescent="0.2">
      <c r="L817" s="4">
        <v>811</v>
      </c>
      <c r="M817" s="21">
        <v>-392868.2655858128</v>
      </c>
    </row>
    <row r="818" spans="12:13" x14ac:dyDescent="0.2">
      <c r="L818" s="4">
        <v>812</v>
      </c>
      <c r="M818" s="21">
        <v>207210.86536537763</v>
      </c>
    </row>
    <row r="819" spans="12:13" x14ac:dyDescent="0.2">
      <c r="L819" s="4">
        <v>813</v>
      </c>
      <c r="M819" s="21">
        <v>255652.01479558009</v>
      </c>
    </row>
    <row r="820" spans="12:13" x14ac:dyDescent="0.2">
      <c r="L820" s="4">
        <v>814</v>
      </c>
      <c r="M820" s="21">
        <v>167994.69853750055</v>
      </c>
    </row>
    <row r="821" spans="12:13" x14ac:dyDescent="0.2">
      <c r="L821" s="4">
        <v>815</v>
      </c>
      <c r="M821" s="21">
        <v>-84756.323862758945</v>
      </c>
    </row>
    <row r="822" spans="12:13" x14ac:dyDescent="0.2">
      <c r="L822" s="4">
        <v>816</v>
      </c>
      <c r="M822" s="21">
        <v>-406118.4021604567</v>
      </c>
    </row>
    <row r="823" spans="12:13" x14ac:dyDescent="0.2">
      <c r="L823" s="4">
        <v>817</v>
      </c>
      <c r="M823" s="21">
        <v>88737.344174926839</v>
      </c>
    </row>
    <row r="824" spans="12:13" x14ac:dyDescent="0.2">
      <c r="L824" s="4">
        <v>818</v>
      </c>
      <c r="M824" s="21">
        <v>268524.45300248585</v>
      </c>
    </row>
    <row r="825" spans="12:13" x14ac:dyDescent="0.2">
      <c r="L825" s="4">
        <v>819</v>
      </c>
      <c r="M825" s="21">
        <v>318445.56027235748</v>
      </c>
    </row>
    <row r="826" spans="12:13" x14ac:dyDescent="0.2">
      <c r="L826" s="4">
        <v>820</v>
      </c>
      <c r="M826" s="21">
        <v>32642.582013054373</v>
      </c>
    </row>
    <row r="827" spans="12:13" x14ac:dyDescent="0.2">
      <c r="L827" s="4">
        <v>821</v>
      </c>
      <c r="M827" s="21">
        <v>72989.063699150429</v>
      </c>
    </row>
    <row r="828" spans="12:13" x14ac:dyDescent="0.2">
      <c r="L828" s="4">
        <v>822</v>
      </c>
      <c r="M828" s="21">
        <v>-22639.165506756035</v>
      </c>
    </row>
    <row r="829" spans="12:13" x14ac:dyDescent="0.2">
      <c r="L829" s="4">
        <v>823</v>
      </c>
      <c r="M829" s="21">
        <v>89888.007875237934</v>
      </c>
    </row>
    <row r="830" spans="12:13" x14ac:dyDescent="0.2">
      <c r="L830" s="4">
        <v>824</v>
      </c>
      <c r="M830" s="21">
        <v>65745.476358635176</v>
      </c>
    </row>
    <row r="831" spans="12:13" x14ac:dyDescent="0.2">
      <c r="L831" s="4">
        <v>825</v>
      </c>
      <c r="M831" s="21">
        <v>-77658.18840668253</v>
      </c>
    </row>
    <row r="832" spans="12:13" x14ac:dyDescent="0.2">
      <c r="L832" s="4">
        <v>826</v>
      </c>
      <c r="M832" s="21">
        <v>53431.258215756447</v>
      </c>
    </row>
    <row r="833" spans="12:13" x14ac:dyDescent="0.2">
      <c r="L833" s="4">
        <v>827</v>
      </c>
      <c r="M833" s="21">
        <v>-189887.19823067071</v>
      </c>
    </row>
    <row r="834" spans="12:13" x14ac:dyDescent="0.2">
      <c r="L834" s="4">
        <v>828</v>
      </c>
      <c r="M834" s="21">
        <v>-359772.32374974934</v>
      </c>
    </row>
    <row r="835" spans="12:13" x14ac:dyDescent="0.2">
      <c r="L835" s="4">
        <v>829</v>
      </c>
      <c r="M835" s="21">
        <v>-151853.14477350604</v>
      </c>
    </row>
    <row r="836" spans="12:13" x14ac:dyDescent="0.2">
      <c r="L836" s="4">
        <v>830</v>
      </c>
      <c r="M836" s="21">
        <v>-118622.41328716243</v>
      </c>
    </row>
    <row r="837" spans="12:13" x14ac:dyDescent="0.2">
      <c r="L837" s="4">
        <v>831</v>
      </c>
      <c r="M837" s="21">
        <v>4326.9959316492896</v>
      </c>
    </row>
    <row r="838" spans="12:13" x14ac:dyDescent="0.2">
      <c r="L838" s="4">
        <v>832</v>
      </c>
      <c r="M838" s="21">
        <v>-20537.423365046474</v>
      </c>
    </row>
    <row r="839" spans="12:13" x14ac:dyDescent="0.2">
      <c r="L839" s="4">
        <v>833</v>
      </c>
      <c r="M839" s="21">
        <v>193353.35481494191</v>
      </c>
    </row>
    <row r="840" spans="12:13" x14ac:dyDescent="0.2">
      <c r="L840" s="4">
        <v>834</v>
      </c>
      <c r="M840" s="21">
        <v>-94988.043699495713</v>
      </c>
    </row>
    <row r="841" spans="12:13" x14ac:dyDescent="0.2">
      <c r="L841" s="4">
        <v>835</v>
      </c>
      <c r="M841" s="21">
        <v>206938.39042638868</v>
      </c>
    </row>
    <row r="842" spans="12:13" x14ac:dyDescent="0.2">
      <c r="L842" s="4">
        <v>836</v>
      </c>
      <c r="M842" s="21">
        <v>402752.78888678737</v>
      </c>
    </row>
    <row r="843" spans="12:13" x14ac:dyDescent="0.2">
      <c r="L843" s="4">
        <v>837</v>
      </c>
      <c r="M843" s="21">
        <v>-157276.9445256019</v>
      </c>
    </row>
    <row r="844" spans="12:13" x14ac:dyDescent="0.2">
      <c r="L844" s="4">
        <v>838</v>
      </c>
      <c r="M844" s="21">
        <v>309821.78245894425</v>
      </c>
    </row>
    <row r="845" spans="12:13" x14ac:dyDescent="0.2">
      <c r="L845" s="4">
        <v>839</v>
      </c>
      <c r="M845" s="21">
        <v>-282387.90504649852</v>
      </c>
    </row>
    <row r="846" spans="12:13" x14ac:dyDescent="0.2">
      <c r="L846" s="4">
        <v>840</v>
      </c>
      <c r="M846" s="21">
        <v>-195467.17235535293</v>
      </c>
    </row>
    <row r="847" spans="12:13" x14ac:dyDescent="0.2">
      <c r="L847" s="4">
        <v>841</v>
      </c>
      <c r="M847" s="21">
        <v>-27049.028418628586</v>
      </c>
    </row>
    <row r="848" spans="12:13" x14ac:dyDescent="0.2">
      <c r="L848" s="4">
        <v>842</v>
      </c>
      <c r="M848" s="21">
        <v>19.697254750877619</v>
      </c>
    </row>
    <row r="849" spans="12:13" x14ac:dyDescent="0.2">
      <c r="L849" s="4">
        <v>843</v>
      </c>
      <c r="M849" s="21">
        <v>319627.01144438819</v>
      </c>
    </row>
    <row r="850" spans="12:13" x14ac:dyDescent="0.2">
      <c r="L850" s="4">
        <v>844</v>
      </c>
      <c r="M850" s="21">
        <v>94733.412547322776</v>
      </c>
    </row>
    <row r="851" spans="12:13" x14ac:dyDescent="0.2">
      <c r="L851" s="4">
        <v>845</v>
      </c>
      <c r="M851" s="21">
        <v>149231.84474235761</v>
      </c>
    </row>
    <row r="852" spans="12:13" x14ac:dyDescent="0.2">
      <c r="L852" s="4">
        <v>846</v>
      </c>
      <c r="M852" s="21">
        <v>-82209.9023158536</v>
      </c>
    </row>
    <row r="853" spans="12:13" x14ac:dyDescent="0.2">
      <c r="L853" s="4">
        <v>847</v>
      </c>
      <c r="M853" s="21">
        <v>-175485.80783537804</v>
      </c>
    </row>
    <row r="854" spans="12:13" x14ac:dyDescent="0.2">
      <c r="L854" s="4">
        <v>848</v>
      </c>
      <c r="M854" s="21">
        <v>44164.791625581216</v>
      </c>
    </row>
    <row r="855" spans="12:13" x14ac:dyDescent="0.2">
      <c r="L855" s="4">
        <v>849</v>
      </c>
      <c r="M855" s="21">
        <v>-132391.32005442536</v>
      </c>
    </row>
    <row r="856" spans="12:13" x14ac:dyDescent="0.2">
      <c r="L856" s="4">
        <v>850</v>
      </c>
      <c r="M856" s="21">
        <v>-287268.02143913385</v>
      </c>
    </row>
    <row r="857" spans="12:13" x14ac:dyDescent="0.2">
      <c r="L857" s="4">
        <v>851</v>
      </c>
      <c r="M857" s="21">
        <v>85478.993153464718</v>
      </c>
    </row>
    <row r="858" spans="12:13" x14ac:dyDescent="0.2">
      <c r="L858" s="4">
        <v>852</v>
      </c>
      <c r="M858" s="21">
        <v>-31453.682242151175</v>
      </c>
    </row>
    <row r="859" spans="12:13" x14ac:dyDescent="0.2">
      <c r="L859" s="4">
        <v>853</v>
      </c>
      <c r="M859" s="21">
        <v>71669.075783029344</v>
      </c>
    </row>
    <row r="860" spans="12:13" x14ac:dyDescent="0.2">
      <c r="L860" s="4">
        <v>854</v>
      </c>
      <c r="M860" s="21">
        <v>76951.716027375049</v>
      </c>
    </row>
    <row r="861" spans="12:13" x14ac:dyDescent="0.2">
      <c r="L861" s="4">
        <v>855</v>
      </c>
      <c r="M861" s="21">
        <v>97100.761997185298</v>
      </c>
    </row>
    <row r="862" spans="12:13" x14ac:dyDescent="0.2">
      <c r="L862" s="4">
        <v>856</v>
      </c>
      <c r="M862" s="21">
        <v>42123.15658946347</v>
      </c>
    </row>
    <row r="863" spans="12:13" x14ac:dyDescent="0.2">
      <c r="L863" s="4">
        <v>857</v>
      </c>
      <c r="M863" s="21">
        <v>-43167.532761644965</v>
      </c>
    </row>
    <row r="864" spans="12:13" x14ac:dyDescent="0.2">
      <c r="L864" s="4">
        <v>858</v>
      </c>
      <c r="M864" s="21">
        <v>43593.866155189346</v>
      </c>
    </row>
    <row r="865" spans="12:13" x14ac:dyDescent="0.2">
      <c r="L865" s="4">
        <v>859</v>
      </c>
      <c r="M865" s="21">
        <v>35345.642447767983</v>
      </c>
    </row>
    <row r="866" spans="12:13" x14ac:dyDescent="0.2">
      <c r="L866" s="4">
        <v>860</v>
      </c>
      <c r="M866" s="21">
        <v>46833.693014076707</v>
      </c>
    </row>
    <row r="867" spans="12:13" x14ac:dyDescent="0.2">
      <c r="L867" s="4">
        <v>861</v>
      </c>
      <c r="M867" s="21">
        <v>-209711.7732034066</v>
      </c>
    </row>
    <row r="868" spans="12:13" x14ac:dyDescent="0.2">
      <c r="L868" s="4">
        <v>862</v>
      </c>
      <c r="M868" s="21">
        <v>-148362.36367978196</v>
      </c>
    </row>
    <row r="869" spans="12:13" x14ac:dyDescent="0.2">
      <c r="L869" s="4">
        <v>863</v>
      </c>
      <c r="M869" s="21">
        <v>208147.60627437138</v>
      </c>
    </row>
    <row r="870" spans="12:13" x14ac:dyDescent="0.2">
      <c r="L870" s="4">
        <v>864</v>
      </c>
      <c r="M870" s="21">
        <v>306144.85996500292</v>
      </c>
    </row>
    <row r="871" spans="12:13" x14ac:dyDescent="0.2">
      <c r="L871" s="4">
        <v>865</v>
      </c>
      <c r="M871" s="21">
        <v>488670.51648761239</v>
      </c>
    </row>
    <row r="872" spans="12:13" x14ac:dyDescent="0.2">
      <c r="L872" s="4">
        <v>866</v>
      </c>
      <c r="M872" s="21">
        <v>72674.978809354856</v>
      </c>
    </row>
    <row r="873" spans="12:13" x14ac:dyDescent="0.2">
      <c r="L873" s="4">
        <v>867</v>
      </c>
      <c r="M873" s="21">
        <v>270618.24644402775</v>
      </c>
    </row>
    <row r="874" spans="12:13" x14ac:dyDescent="0.2">
      <c r="L874" s="4">
        <v>868</v>
      </c>
      <c r="M874" s="21">
        <v>243211.20087860085</v>
      </c>
    </row>
    <row r="875" spans="12:13" x14ac:dyDescent="0.2">
      <c r="L875" s="4">
        <v>869</v>
      </c>
      <c r="M875" s="21">
        <v>54014.595333886042</v>
      </c>
    </row>
    <row r="876" spans="12:13" x14ac:dyDescent="0.2">
      <c r="L876" s="4">
        <v>870</v>
      </c>
      <c r="M876" s="21">
        <v>-144150.91288464889</v>
      </c>
    </row>
    <row r="877" spans="12:13" x14ac:dyDescent="0.2">
      <c r="L877" s="4">
        <v>871</v>
      </c>
      <c r="M877" s="21">
        <v>-182900.7552356738</v>
      </c>
    </row>
    <row r="878" spans="12:13" x14ac:dyDescent="0.2">
      <c r="L878" s="4">
        <v>872</v>
      </c>
      <c r="M878" s="21">
        <v>-148274.04291128981</v>
      </c>
    </row>
    <row r="879" spans="12:13" x14ac:dyDescent="0.2">
      <c r="L879" s="4">
        <v>873</v>
      </c>
      <c r="M879" s="21">
        <v>-4664.6277721982478</v>
      </c>
    </row>
    <row r="880" spans="12:13" x14ac:dyDescent="0.2">
      <c r="L880" s="4">
        <v>874</v>
      </c>
      <c r="M880" s="21">
        <v>72862.010240122094</v>
      </c>
    </row>
    <row r="881" spans="12:13" x14ac:dyDescent="0.2">
      <c r="L881" s="4">
        <v>875</v>
      </c>
      <c r="M881" s="21">
        <v>-34096.03180030454</v>
      </c>
    </row>
    <row r="882" spans="12:13" x14ac:dyDescent="0.2">
      <c r="L882" s="4">
        <v>876</v>
      </c>
      <c r="M882" s="21">
        <v>-40493.614446007312</v>
      </c>
    </row>
    <row r="883" spans="12:13" x14ac:dyDescent="0.2">
      <c r="L883" s="4">
        <v>877</v>
      </c>
      <c r="M883" s="21">
        <v>-54573.682738952964</v>
      </c>
    </row>
    <row r="884" spans="12:13" x14ac:dyDescent="0.2">
      <c r="L884" s="4">
        <v>878</v>
      </c>
      <c r="M884" s="21">
        <v>329723.49960799527</v>
      </c>
    </row>
    <row r="885" spans="12:13" x14ac:dyDescent="0.2">
      <c r="L885" s="4">
        <v>879</v>
      </c>
      <c r="M885" s="21">
        <v>-310063.98377649079</v>
      </c>
    </row>
    <row r="886" spans="12:13" x14ac:dyDescent="0.2">
      <c r="L886" s="4">
        <v>880</v>
      </c>
      <c r="M886" s="21">
        <v>-104950.48605398828</v>
      </c>
    </row>
    <row r="887" spans="12:13" x14ac:dyDescent="0.2">
      <c r="L887" s="4">
        <v>881</v>
      </c>
      <c r="M887" s="21">
        <v>-142577.45762430184</v>
      </c>
    </row>
    <row r="888" spans="12:13" x14ac:dyDescent="0.2">
      <c r="L888" s="4">
        <v>882</v>
      </c>
      <c r="M888" s="21">
        <v>225011.53366400354</v>
      </c>
    </row>
    <row r="889" spans="12:13" x14ac:dyDescent="0.2">
      <c r="L889" s="4">
        <v>883</v>
      </c>
      <c r="M889" s="21">
        <v>-213231.31240553776</v>
      </c>
    </row>
    <row r="890" spans="12:13" x14ac:dyDescent="0.2">
      <c r="L890" s="4">
        <v>884</v>
      </c>
      <c r="M890" s="21">
        <v>-117226.39284323795</v>
      </c>
    </row>
    <row r="891" spans="12:13" x14ac:dyDescent="0.2">
      <c r="L891" s="4">
        <v>885</v>
      </c>
      <c r="M891" s="21">
        <v>-8229.65437684067</v>
      </c>
    </row>
    <row r="892" spans="12:13" x14ac:dyDescent="0.2">
      <c r="L892" s="4">
        <v>886</v>
      </c>
      <c r="M892" s="21">
        <v>167589.47069335508</v>
      </c>
    </row>
    <row r="893" spans="12:13" x14ac:dyDescent="0.2">
      <c r="L893" s="4">
        <v>887</v>
      </c>
      <c r="M893" s="21">
        <v>34148.166318742704</v>
      </c>
    </row>
    <row r="894" spans="12:13" x14ac:dyDescent="0.2">
      <c r="L894" s="4">
        <v>888</v>
      </c>
      <c r="M894" s="21">
        <v>-150766.72811276524</v>
      </c>
    </row>
    <row r="895" spans="12:13" x14ac:dyDescent="0.2">
      <c r="L895" s="4">
        <v>889</v>
      </c>
      <c r="M895" s="21">
        <v>-150578.83990304137</v>
      </c>
    </row>
    <row r="896" spans="12:13" x14ac:dyDescent="0.2">
      <c r="L896" s="4">
        <v>890</v>
      </c>
      <c r="M896" s="21">
        <v>-152790.83943830093</v>
      </c>
    </row>
    <row r="897" spans="12:13" x14ac:dyDescent="0.2">
      <c r="L897" s="4">
        <v>891</v>
      </c>
      <c r="M897" s="21">
        <v>-57730.646974221992</v>
      </c>
    </row>
    <row r="898" spans="12:13" x14ac:dyDescent="0.2">
      <c r="L898" s="4">
        <v>892</v>
      </c>
      <c r="M898" s="21">
        <v>281485.5592928055</v>
      </c>
    </row>
    <row r="899" spans="12:13" x14ac:dyDescent="0.2">
      <c r="L899" s="4">
        <v>893</v>
      </c>
      <c r="M899" s="21">
        <v>151922.23704551882</v>
      </c>
    </row>
    <row r="900" spans="12:13" x14ac:dyDescent="0.2">
      <c r="L900" s="4">
        <v>894</v>
      </c>
      <c r="M900" s="21">
        <v>-142607.1767821667</v>
      </c>
    </row>
    <row r="901" spans="12:13" x14ac:dyDescent="0.2">
      <c r="L901" s="4">
        <v>895</v>
      </c>
      <c r="M901" s="21">
        <v>-96929.415710491681</v>
      </c>
    </row>
    <row r="902" spans="12:13" x14ac:dyDescent="0.2">
      <c r="L902" s="4">
        <v>896</v>
      </c>
      <c r="M902" s="21">
        <v>384655.64948306832</v>
      </c>
    </row>
    <row r="903" spans="12:13" x14ac:dyDescent="0.2">
      <c r="L903" s="4">
        <v>897</v>
      </c>
      <c r="M903" s="21">
        <v>5858.4517938533681</v>
      </c>
    </row>
    <row r="904" spans="12:13" x14ac:dyDescent="0.2">
      <c r="L904" s="4">
        <v>898</v>
      </c>
      <c r="M904" s="21">
        <v>244846.73138919674</v>
      </c>
    </row>
    <row r="905" spans="12:13" x14ac:dyDescent="0.2">
      <c r="L905" s="4">
        <v>899</v>
      </c>
      <c r="M905" s="21">
        <v>-157991.69268082455</v>
      </c>
    </row>
    <row r="906" spans="12:13" x14ac:dyDescent="0.2">
      <c r="L906" s="4">
        <v>900</v>
      </c>
      <c r="M906" s="21">
        <v>-282778.58767752576</v>
      </c>
    </row>
    <row r="907" spans="12:13" x14ac:dyDescent="0.2">
      <c r="L907" s="4">
        <v>901</v>
      </c>
      <c r="M907" s="21">
        <v>-11532.047385048412</v>
      </c>
    </row>
    <row r="908" spans="12:13" x14ac:dyDescent="0.2">
      <c r="L908" s="4">
        <v>902</v>
      </c>
      <c r="M908" s="21">
        <v>174054.24352939962</v>
      </c>
    </row>
    <row r="909" spans="12:13" x14ac:dyDescent="0.2">
      <c r="L909" s="4">
        <v>903</v>
      </c>
      <c r="M909" s="21">
        <v>-169468.55148220682</v>
      </c>
    </row>
    <row r="910" spans="12:13" x14ac:dyDescent="0.2">
      <c r="L910" s="4">
        <v>904</v>
      </c>
      <c r="M910" s="21">
        <v>302.62077462498564</v>
      </c>
    </row>
    <row r="911" spans="12:13" x14ac:dyDescent="0.2">
      <c r="L911" s="4">
        <v>905</v>
      </c>
      <c r="M911" s="21">
        <v>324989.23137087259</v>
      </c>
    </row>
    <row r="912" spans="12:13" x14ac:dyDescent="0.2">
      <c r="L912" s="4">
        <v>906</v>
      </c>
      <c r="M912" s="21">
        <v>147571.11506090427</v>
      </c>
    </row>
    <row r="913" spans="12:13" x14ac:dyDescent="0.2">
      <c r="L913" s="4">
        <v>907</v>
      </c>
      <c r="M913" s="21">
        <v>505884.26422809012</v>
      </c>
    </row>
    <row r="914" spans="12:13" x14ac:dyDescent="0.2">
      <c r="L914" s="4">
        <v>908</v>
      </c>
      <c r="M914" s="21">
        <v>285558.23060449562</v>
      </c>
    </row>
    <row r="915" spans="12:13" x14ac:dyDescent="0.2">
      <c r="L915" s="4">
        <v>909</v>
      </c>
      <c r="M915" s="21">
        <v>-129497.20611339419</v>
      </c>
    </row>
    <row r="916" spans="12:13" x14ac:dyDescent="0.2">
      <c r="L916" s="4">
        <v>910</v>
      </c>
      <c r="M916" s="21">
        <v>-109318.53334431539</v>
      </c>
    </row>
    <row r="917" spans="12:13" x14ac:dyDescent="0.2">
      <c r="L917" s="4">
        <v>911</v>
      </c>
      <c r="M917" s="21">
        <v>322919.04817172413</v>
      </c>
    </row>
    <row r="918" spans="12:13" x14ac:dyDescent="0.2">
      <c r="L918" s="4">
        <v>912</v>
      </c>
      <c r="M918" s="21">
        <v>81024.681426465744</v>
      </c>
    </row>
    <row r="919" spans="12:13" x14ac:dyDescent="0.2">
      <c r="L919" s="4">
        <v>913</v>
      </c>
      <c r="M919" s="21">
        <v>-83312.975232170123</v>
      </c>
    </row>
    <row r="920" spans="12:13" x14ac:dyDescent="0.2">
      <c r="L920" s="4">
        <v>914</v>
      </c>
      <c r="M920" s="21">
        <v>-188589.48887815874</v>
      </c>
    </row>
    <row r="921" spans="12:13" x14ac:dyDescent="0.2">
      <c r="L921" s="4">
        <v>915</v>
      </c>
      <c r="M921" s="21">
        <v>-12461.574074770382</v>
      </c>
    </row>
    <row r="922" spans="12:13" x14ac:dyDescent="0.2">
      <c r="L922" s="4">
        <v>916</v>
      </c>
      <c r="M922" s="21">
        <v>-144577.95985842816</v>
      </c>
    </row>
    <row r="923" spans="12:13" x14ac:dyDescent="0.2">
      <c r="L923" s="4">
        <v>917</v>
      </c>
      <c r="M923" s="21">
        <v>71148.380067867402</v>
      </c>
    </row>
    <row r="924" spans="12:13" x14ac:dyDescent="0.2">
      <c r="L924" s="4">
        <v>918</v>
      </c>
      <c r="M924" s="21">
        <v>-77266.118953634737</v>
      </c>
    </row>
    <row r="925" spans="12:13" x14ac:dyDescent="0.2">
      <c r="L925" s="4">
        <v>919</v>
      </c>
      <c r="M925" s="21">
        <v>36137.489638447179</v>
      </c>
    </row>
    <row r="926" spans="12:13" x14ac:dyDescent="0.2">
      <c r="L926" s="4">
        <v>920</v>
      </c>
      <c r="M926" s="21">
        <v>-246939.89394859012</v>
      </c>
    </row>
    <row r="927" spans="12:13" x14ac:dyDescent="0.2">
      <c r="L927" s="4">
        <v>921</v>
      </c>
      <c r="M927" s="21">
        <v>69152.990714727639</v>
      </c>
    </row>
    <row r="928" spans="12:13" x14ac:dyDescent="0.2">
      <c r="L928" s="4">
        <v>922</v>
      </c>
      <c r="M928" s="21">
        <v>412154.43888062751</v>
      </c>
    </row>
    <row r="929" spans="12:13" x14ac:dyDescent="0.2">
      <c r="L929" s="4">
        <v>923</v>
      </c>
      <c r="M929" s="21">
        <v>120424.89754350804</v>
      </c>
    </row>
    <row r="930" spans="12:13" x14ac:dyDescent="0.2">
      <c r="L930" s="4">
        <v>924</v>
      </c>
      <c r="M930" s="21">
        <v>-12191.768551010711</v>
      </c>
    </row>
    <row r="931" spans="12:13" x14ac:dyDescent="0.2">
      <c r="L931" s="4">
        <v>925</v>
      </c>
      <c r="M931" s="21">
        <v>408267.54117740854</v>
      </c>
    </row>
    <row r="932" spans="12:13" x14ac:dyDescent="0.2">
      <c r="L932" s="4">
        <v>926</v>
      </c>
      <c r="M932" s="21">
        <v>439547.26526291517</v>
      </c>
    </row>
    <row r="933" spans="12:13" x14ac:dyDescent="0.2">
      <c r="L933" s="4">
        <v>927</v>
      </c>
      <c r="M933" s="21">
        <v>-189606.7008143572</v>
      </c>
    </row>
    <row r="934" spans="12:13" x14ac:dyDescent="0.2">
      <c r="L934" s="4">
        <v>928</v>
      </c>
      <c r="M934" s="21">
        <v>1029565.7192864824</v>
      </c>
    </row>
    <row r="935" spans="12:13" x14ac:dyDescent="0.2">
      <c r="L935" s="4">
        <v>929</v>
      </c>
      <c r="M935" s="21">
        <v>-70699.134550871575</v>
      </c>
    </row>
    <row r="936" spans="12:13" x14ac:dyDescent="0.2">
      <c r="L936" s="4">
        <v>930</v>
      </c>
      <c r="M936" s="21">
        <v>291341.40886515565</v>
      </c>
    </row>
    <row r="937" spans="12:13" x14ac:dyDescent="0.2">
      <c r="L937" s="4">
        <v>931</v>
      </c>
      <c r="M937" s="21">
        <v>92588.214194410539</v>
      </c>
    </row>
    <row r="938" spans="12:13" x14ac:dyDescent="0.2">
      <c r="L938" s="4">
        <v>932</v>
      </c>
      <c r="M938" s="21">
        <v>73127.119291605224</v>
      </c>
    </row>
    <row r="939" spans="12:13" x14ac:dyDescent="0.2">
      <c r="L939" s="4">
        <v>933</v>
      </c>
      <c r="M939" s="21">
        <v>308911.66061750811</v>
      </c>
    </row>
    <row r="940" spans="12:13" x14ac:dyDescent="0.2">
      <c r="L940" s="4">
        <v>934</v>
      </c>
      <c r="M940" s="21">
        <v>363224.31341136474</v>
      </c>
    </row>
    <row r="941" spans="12:13" x14ac:dyDescent="0.2">
      <c r="L941" s="4">
        <v>935</v>
      </c>
      <c r="M941" s="21">
        <v>166242.66082156368</v>
      </c>
    </row>
    <row r="942" spans="12:13" x14ac:dyDescent="0.2">
      <c r="L942" s="4">
        <v>936</v>
      </c>
      <c r="M942" s="21">
        <v>-148900.7899899414</v>
      </c>
    </row>
    <row r="943" spans="12:13" x14ac:dyDescent="0.2">
      <c r="L943" s="4">
        <v>937</v>
      </c>
      <c r="M943" s="21">
        <v>-141610.88123937143</v>
      </c>
    </row>
    <row r="944" spans="12:13" x14ac:dyDescent="0.2">
      <c r="L944" s="4">
        <v>938</v>
      </c>
      <c r="M944" s="21">
        <v>-145464.22682385897</v>
      </c>
    </row>
    <row r="945" spans="12:13" x14ac:dyDescent="0.2">
      <c r="L945" s="4">
        <v>939</v>
      </c>
      <c r="M945" s="21">
        <v>125221.36050849638</v>
      </c>
    </row>
    <row r="946" spans="12:13" x14ac:dyDescent="0.2">
      <c r="L946" s="4">
        <v>940</v>
      </c>
      <c r="M946" s="21">
        <v>-216145.44485153741</v>
      </c>
    </row>
    <row r="947" spans="12:13" x14ac:dyDescent="0.2">
      <c r="L947" s="4">
        <v>941</v>
      </c>
      <c r="M947" s="21">
        <v>-20119.044183984501</v>
      </c>
    </row>
    <row r="948" spans="12:13" x14ac:dyDescent="0.2">
      <c r="L948" s="4">
        <v>942</v>
      </c>
      <c r="M948" s="21">
        <v>165706.06357839794</v>
      </c>
    </row>
    <row r="949" spans="12:13" x14ac:dyDescent="0.2">
      <c r="L949" s="4">
        <v>943</v>
      </c>
      <c r="M949" s="21">
        <v>36156.760655893129</v>
      </c>
    </row>
    <row r="950" spans="12:13" x14ac:dyDescent="0.2">
      <c r="L950" s="4">
        <v>944</v>
      </c>
      <c r="M950" s="21">
        <v>64505.850599839439</v>
      </c>
    </row>
    <row r="951" spans="12:13" x14ac:dyDescent="0.2">
      <c r="L951" s="4">
        <v>945</v>
      </c>
      <c r="M951" s="21">
        <v>9622.8722506665799</v>
      </c>
    </row>
    <row r="952" spans="12:13" x14ac:dyDescent="0.2">
      <c r="L952" s="4">
        <v>946</v>
      </c>
      <c r="M952" s="21">
        <v>-216948.61146272771</v>
      </c>
    </row>
    <row r="953" spans="12:13" x14ac:dyDescent="0.2">
      <c r="L953" s="4">
        <v>947</v>
      </c>
      <c r="M953" s="21">
        <v>121644.68373455238</v>
      </c>
    </row>
    <row r="954" spans="12:13" x14ac:dyDescent="0.2">
      <c r="L954" s="4">
        <v>948</v>
      </c>
      <c r="M954" s="21">
        <v>-29028.995746454937</v>
      </c>
    </row>
    <row r="955" spans="12:13" x14ac:dyDescent="0.2">
      <c r="L955" s="4">
        <v>949</v>
      </c>
      <c r="M955" s="21">
        <v>266549.97944745899</v>
      </c>
    </row>
    <row r="956" spans="12:13" x14ac:dyDescent="0.2">
      <c r="L956" s="4">
        <v>950</v>
      </c>
      <c r="M956" s="21">
        <v>367395.34234453447</v>
      </c>
    </row>
    <row r="957" spans="12:13" x14ac:dyDescent="0.2">
      <c r="L957" s="4">
        <v>951</v>
      </c>
      <c r="M957" s="21">
        <v>90271.126637463254</v>
      </c>
    </row>
    <row r="958" spans="12:13" x14ac:dyDescent="0.2">
      <c r="L958" s="4">
        <v>952</v>
      </c>
      <c r="M958" s="21">
        <v>435.55836646724492</v>
      </c>
    </row>
    <row r="959" spans="12:13" x14ac:dyDescent="0.2">
      <c r="L959" s="4">
        <v>953</v>
      </c>
      <c r="M959" s="21">
        <v>-483687.13886360405</v>
      </c>
    </row>
    <row r="960" spans="12:13" x14ac:dyDescent="0.2">
      <c r="L960" s="4">
        <v>954</v>
      </c>
      <c r="M960" s="21">
        <v>-110588.82388953838</v>
      </c>
    </row>
    <row r="961" spans="12:13" x14ac:dyDescent="0.2">
      <c r="L961" s="4">
        <v>955</v>
      </c>
      <c r="M961" s="21">
        <v>60462.025275745254</v>
      </c>
    </row>
    <row r="962" spans="12:13" x14ac:dyDescent="0.2">
      <c r="L962" s="4">
        <v>956</v>
      </c>
      <c r="M962" s="21">
        <v>-27939.841023966335</v>
      </c>
    </row>
    <row r="963" spans="12:13" x14ac:dyDescent="0.2">
      <c r="L963" s="4">
        <v>957</v>
      </c>
      <c r="M963" s="21">
        <v>369968.10656914738</v>
      </c>
    </row>
    <row r="964" spans="12:13" x14ac:dyDescent="0.2">
      <c r="L964" s="4">
        <v>958</v>
      </c>
      <c r="M964" s="21">
        <v>120889.23791180522</v>
      </c>
    </row>
    <row r="965" spans="12:13" x14ac:dyDescent="0.2">
      <c r="L965" s="4">
        <v>959</v>
      </c>
      <c r="M965" s="21">
        <v>-209459.75147227428</v>
      </c>
    </row>
    <row r="966" spans="12:13" x14ac:dyDescent="0.2">
      <c r="L966" s="4">
        <v>960</v>
      </c>
      <c r="M966" s="21">
        <v>-260492.09906146146</v>
      </c>
    </row>
    <row r="967" spans="12:13" x14ac:dyDescent="0.2">
      <c r="L967" s="4">
        <v>961</v>
      </c>
      <c r="M967" s="21">
        <v>-157029.81283956749</v>
      </c>
    </row>
    <row r="968" spans="12:13" x14ac:dyDescent="0.2">
      <c r="L968" s="4">
        <v>962</v>
      </c>
      <c r="M968" s="21">
        <v>-1627.2188362474262</v>
      </c>
    </row>
    <row r="969" spans="12:13" x14ac:dyDescent="0.2">
      <c r="L969" s="4">
        <v>963</v>
      </c>
      <c r="M969" s="21">
        <v>50087.597523701261</v>
      </c>
    </row>
    <row r="970" spans="12:13" x14ac:dyDescent="0.2">
      <c r="L970" s="4">
        <v>964</v>
      </c>
      <c r="M970" s="21">
        <v>351293.81109846733</v>
      </c>
    </row>
    <row r="971" spans="12:13" x14ac:dyDescent="0.2">
      <c r="L971" s="4">
        <v>965</v>
      </c>
      <c r="M971" s="21">
        <v>169251.62239490965</v>
      </c>
    </row>
    <row r="972" spans="12:13" x14ac:dyDescent="0.2">
      <c r="L972" s="4">
        <v>966</v>
      </c>
      <c r="M972" s="21">
        <v>475037.38417706429</v>
      </c>
    </row>
    <row r="973" spans="12:13" x14ac:dyDescent="0.2">
      <c r="L973" s="4">
        <v>967</v>
      </c>
      <c r="M973" s="21">
        <v>358285.6790749483</v>
      </c>
    </row>
    <row r="974" spans="12:13" x14ac:dyDescent="0.2">
      <c r="L974" s="4">
        <v>968</v>
      </c>
      <c r="M974" s="21">
        <v>-185115.53294274211</v>
      </c>
    </row>
    <row r="975" spans="12:13" x14ac:dyDescent="0.2">
      <c r="L975" s="4">
        <v>969</v>
      </c>
      <c r="M975" s="21">
        <v>23934.113958440983</v>
      </c>
    </row>
    <row r="976" spans="12:13" x14ac:dyDescent="0.2">
      <c r="L976" s="4">
        <v>970</v>
      </c>
      <c r="M976" s="21">
        <v>292268.63821203361</v>
      </c>
    </row>
    <row r="977" spans="12:13" x14ac:dyDescent="0.2">
      <c r="L977" s="4">
        <v>971</v>
      </c>
      <c r="M977" s="21">
        <v>-105303.81361145944</v>
      </c>
    </row>
    <row r="978" spans="12:13" x14ac:dyDescent="0.2">
      <c r="L978" s="4">
        <v>972</v>
      </c>
      <c r="M978" s="21">
        <v>262298.15943493694</v>
      </c>
    </row>
    <row r="979" spans="12:13" x14ac:dyDescent="0.2">
      <c r="L979" s="4">
        <v>973</v>
      </c>
      <c r="M979" s="21">
        <v>92733.222786143509</v>
      </c>
    </row>
    <row r="980" spans="12:13" x14ac:dyDescent="0.2">
      <c r="L980" s="4">
        <v>974</v>
      </c>
      <c r="M980" s="21">
        <v>-250845.22229546617</v>
      </c>
    </row>
    <row r="981" spans="12:13" x14ac:dyDescent="0.2">
      <c r="L981" s="4">
        <v>975</v>
      </c>
      <c r="M981" s="21">
        <v>187173.20621768781</v>
      </c>
    </row>
    <row r="982" spans="12:13" x14ac:dyDescent="0.2">
      <c r="L982" s="4">
        <v>976</v>
      </c>
      <c r="M982" s="21">
        <v>94002.069542914105</v>
      </c>
    </row>
    <row r="983" spans="12:13" x14ac:dyDescent="0.2">
      <c r="L983" s="4">
        <v>977</v>
      </c>
      <c r="M983" s="21">
        <v>405451.94635881612</v>
      </c>
    </row>
    <row r="984" spans="12:13" x14ac:dyDescent="0.2">
      <c r="L984" s="4">
        <v>978</v>
      </c>
      <c r="M984" s="21">
        <v>171707.65287676532</v>
      </c>
    </row>
    <row r="985" spans="12:13" x14ac:dyDescent="0.2">
      <c r="L985" s="4">
        <v>979</v>
      </c>
      <c r="M985" s="21">
        <v>-66454.567079971574</v>
      </c>
    </row>
    <row r="986" spans="12:13" x14ac:dyDescent="0.2">
      <c r="L986" s="4">
        <v>980</v>
      </c>
      <c r="M986" s="21">
        <v>-60504.209808213185</v>
      </c>
    </row>
    <row r="987" spans="12:13" x14ac:dyDescent="0.2">
      <c r="L987" s="4">
        <v>981</v>
      </c>
      <c r="M987" s="21">
        <v>47738.752582110057</v>
      </c>
    </row>
    <row r="988" spans="12:13" x14ac:dyDescent="0.2">
      <c r="L988" s="4">
        <v>982</v>
      </c>
      <c r="M988" s="21">
        <v>-45391.903838328522</v>
      </c>
    </row>
    <row r="989" spans="12:13" x14ac:dyDescent="0.2">
      <c r="L989" s="4">
        <v>983</v>
      </c>
      <c r="M989" s="21">
        <v>23526.009072616813</v>
      </c>
    </row>
    <row r="990" spans="12:13" x14ac:dyDescent="0.2">
      <c r="L990" s="4">
        <v>984</v>
      </c>
      <c r="M990" s="21">
        <v>6717.7757288360735</v>
      </c>
    </row>
    <row r="991" spans="12:13" x14ac:dyDescent="0.2">
      <c r="L991" s="4">
        <v>985</v>
      </c>
      <c r="M991" s="21">
        <v>-71004.558884564452</v>
      </c>
    </row>
    <row r="992" spans="12:13" x14ac:dyDescent="0.2">
      <c r="L992" s="4">
        <v>986</v>
      </c>
      <c r="M992" s="21">
        <v>146415.50346388656</v>
      </c>
    </row>
    <row r="993" spans="12:13" x14ac:dyDescent="0.2">
      <c r="L993" s="4">
        <v>987</v>
      </c>
      <c r="M993" s="21">
        <v>-225774.00839375766</v>
      </c>
    </row>
    <row r="994" spans="12:13" x14ac:dyDescent="0.2">
      <c r="L994" s="4">
        <v>988</v>
      </c>
      <c r="M994" s="21">
        <v>64556.116441479593</v>
      </c>
    </row>
    <row r="995" spans="12:13" x14ac:dyDescent="0.2">
      <c r="L995" s="4">
        <v>989</v>
      </c>
      <c r="M995" s="21">
        <v>427451.28377196705</v>
      </c>
    </row>
    <row r="996" spans="12:13" x14ac:dyDescent="0.2">
      <c r="L996" s="4">
        <v>990</v>
      </c>
      <c r="M996" s="21">
        <v>-439300.83838828863</v>
      </c>
    </row>
    <row r="997" spans="12:13" x14ac:dyDescent="0.2">
      <c r="L997" s="4">
        <v>991</v>
      </c>
      <c r="M997" s="21">
        <v>-87343.433631633525</v>
      </c>
    </row>
    <row r="998" spans="12:13" x14ac:dyDescent="0.2">
      <c r="L998" s="4">
        <v>992</v>
      </c>
      <c r="M998" s="21">
        <v>-139014.77047497465</v>
      </c>
    </row>
    <row r="999" spans="12:13" x14ac:dyDescent="0.2">
      <c r="L999" s="4">
        <v>993</v>
      </c>
      <c r="M999" s="21">
        <v>404235.07769716991</v>
      </c>
    </row>
    <row r="1000" spans="12:13" x14ac:dyDescent="0.2">
      <c r="L1000" s="4">
        <v>994</v>
      </c>
      <c r="M1000" s="21">
        <v>202204.5219336614</v>
      </c>
    </row>
    <row r="1001" spans="12:13" x14ac:dyDescent="0.2">
      <c r="L1001" s="4">
        <v>995</v>
      </c>
      <c r="M1001" s="21">
        <v>-97518.94724157195</v>
      </c>
    </row>
    <row r="1002" spans="12:13" x14ac:dyDescent="0.2">
      <c r="L1002" s="4">
        <v>996</v>
      </c>
      <c r="M1002" s="21">
        <v>-48664.972734530456</v>
      </c>
    </row>
    <row r="1003" spans="12:13" x14ac:dyDescent="0.2">
      <c r="L1003" s="4">
        <v>997</v>
      </c>
      <c r="M1003" s="21">
        <v>44960.620241699507</v>
      </c>
    </row>
    <row r="1004" spans="12:13" x14ac:dyDescent="0.2">
      <c r="L1004" s="4">
        <v>998</v>
      </c>
      <c r="M1004" s="21">
        <v>-268172.63412289036</v>
      </c>
    </row>
    <row r="1005" spans="12:13" x14ac:dyDescent="0.2">
      <c r="L1005" s="4">
        <v>999</v>
      </c>
      <c r="M1005" s="21">
        <v>125928.44253905668</v>
      </c>
    </row>
    <row r="1006" spans="12:13" x14ac:dyDescent="0.2">
      <c r="L1006" s="4">
        <v>1000</v>
      </c>
      <c r="M1006" s="21">
        <v>-4244.9480269799096</v>
      </c>
    </row>
    <row r="1007" spans="12:13" x14ac:dyDescent="0.2">
      <c r="L1007" s="4">
        <v>1001</v>
      </c>
      <c r="M1007" s="21">
        <v>74386.544492359331</v>
      </c>
    </row>
    <row r="1008" spans="12:13" x14ac:dyDescent="0.2">
      <c r="L1008" s="4">
        <v>1002</v>
      </c>
      <c r="M1008" s="21">
        <v>-88112.854061743346</v>
      </c>
    </row>
    <row r="1009" spans="12:13" x14ac:dyDescent="0.2">
      <c r="L1009" s="4">
        <v>1003</v>
      </c>
      <c r="M1009" s="21">
        <v>-164968.13071638893</v>
      </c>
    </row>
    <row r="1010" spans="12:13" x14ac:dyDescent="0.2">
      <c r="L1010" s="4">
        <v>1004</v>
      </c>
      <c r="M1010" s="21">
        <v>-332763.86506227928</v>
      </c>
    </row>
    <row r="1011" spans="12:13" x14ac:dyDescent="0.2">
      <c r="L1011" s="4">
        <v>1005</v>
      </c>
      <c r="M1011" s="21">
        <v>195692.59301011908</v>
      </c>
    </row>
    <row r="1012" spans="12:13" x14ac:dyDescent="0.2">
      <c r="L1012" s="4">
        <v>1006</v>
      </c>
      <c r="M1012" s="21">
        <v>10256.069121258275</v>
      </c>
    </row>
    <row r="1013" spans="12:13" x14ac:dyDescent="0.2">
      <c r="L1013" s="4">
        <v>1007</v>
      </c>
      <c r="M1013" s="21">
        <v>84890.446486939414</v>
      </c>
    </row>
    <row r="1014" spans="12:13" x14ac:dyDescent="0.2">
      <c r="L1014" s="4">
        <v>1008</v>
      </c>
      <c r="M1014" s="21">
        <v>254485.05782496338</v>
      </c>
    </row>
    <row r="1015" spans="12:13" x14ac:dyDescent="0.2">
      <c r="L1015" s="4">
        <v>1009</v>
      </c>
      <c r="M1015" s="21">
        <v>-70141.873271294622</v>
      </c>
    </row>
    <row r="1016" spans="12:13" x14ac:dyDescent="0.2">
      <c r="L1016" s="4">
        <v>1010</v>
      </c>
      <c r="M1016" s="21">
        <v>254016.6196975272</v>
      </c>
    </row>
    <row r="1017" spans="12:13" x14ac:dyDescent="0.2">
      <c r="L1017" s="4">
        <v>1011</v>
      </c>
      <c r="M1017" s="21">
        <v>-18265.658660915491</v>
      </c>
    </row>
    <row r="1018" spans="12:13" x14ac:dyDescent="0.2">
      <c r="L1018" s="4">
        <v>1012</v>
      </c>
      <c r="M1018" s="21">
        <v>-54121.227119230112</v>
      </c>
    </row>
    <row r="1019" spans="12:13" x14ac:dyDescent="0.2">
      <c r="L1019" s="4">
        <v>1013</v>
      </c>
      <c r="M1019" s="21">
        <v>-257002.5983845953</v>
      </c>
    </row>
    <row r="1020" spans="12:13" x14ac:dyDescent="0.2">
      <c r="L1020" s="4">
        <v>1014</v>
      </c>
      <c r="M1020" s="21">
        <v>-382014.86517315399</v>
      </c>
    </row>
    <row r="1021" spans="12:13" x14ac:dyDescent="0.2">
      <c r="L1021" s="4">
        <v>1015</v>
      </c>
      <c r="M1021" s="21">
        <v>127021.57929988281</v>
      </c>
    </row>
    <row r="1022" spans="12:13" x14ac:dyDescent="0.2">
      <c r="L1022" s="4">
        <v>1016</v>
      </c>
      <c r="M1022" s="21">
        <v>64694.529807794606</v>
      </c>
    </row>
    <row r="1023" spans="12:13" x14ac:dyDescent="0.2">
      <c r="L1023" s="4">
        <v>1017</v>
      </c>
      <c r="M1023" s="21">
        <v>-40458.172646257852</v>
      </c>
    </row>
    <row r="1024" spans="12:13" x14ac:dyDescent="0.2">
      <c r="L1024" s="4">
        <v>1018</v>
      </c>
      <c r="M1024" s="21">
        <v>-97723.142994895781</v>
      </c>
    </row>
    <row r="1025" spans="12:13" x14ac:dyDescent="0.2">
      <c r="L1025" s="4">
        <v>1019</v>
      </c>
      <c r="M1025" s="21">
        <v>260986.02437022023</v>
      </c>
    </row>
    <row r="1026" spans="12:13" x14ac:dyDescent="0.2">
      <c r="L1026" s="4">
        <v>1020</v>
      </c>
      <c r="M1026" s="21">
        <v>-78534.582792037982</v>
      </c>
    </row>
    <row r="1027" spans="12:13" x14ac:dyDescent="0.2">
      <c r="L1027" s="4">
        <v>1021</v>
      </c>
      <c r="M1027" s="21">
        <v>-289495.27029158839</v>
      </c>
    </row>
    <row r="1028" spans="12:13" x14ac:dyDescent="0.2">
      <c r="L1028" s="4">
        <v>1022</v>
      </c>
      <c r="M1028" s="21">
        <v>12889.179939590016</v>
      </c>
    </row>
    <row r="1029" spans="12:13" x14ac:dyDescent="0.2">
      <c r="L1029" s="4">
        <v>1023</v>
      </c>
      <c r="M1029" s="21">
        <v>79699.323211119161</v>
      </c>
    </row>
    <row r="1030" spans="12:13" x14ac:dyDescent="0.2">
      <c r="L1030" s="4">
        <v>1024</v>
      </c>
      <c r="M1030" s="21">
        <v>283220.63343045686</v>
      </c>
    </row>
    <row r="1031" spans="12:13" x14ac:dyDescent="0.2">
      <c r="L1031" s="4">
        <v>1025</v>
      </c>
      <c r="M1031" s="21">
        <v>449090.13236865104</v>
      </c>
    </row>
    <row r="1032" spans="12:13" x14ac:dyDescent="0.2">
      <c r="L1032" s="4">
        <v>1026</v>
      </c>
      <c r="M1032" s="21">
        <v>78495.222312574973</v>
      </c>
    </row>
    <row r="1033" spans="12:13" x14ac:dyDescent="0.2">
      <c r="L1033" s="4">
        <v>1027</v>
      </c>
      <c r="M1033" s="21">
        <v>34070.003397333407</v>
      </c>
    </row>
    <row r="1034" spans="12:13" x14ac:dyDescent="0.2">
      <c r="L1034" s="4">
        <v>1028</v>
      </c>
      <c r="M1034" s="21">
        <v>-85055.008775228373</v>
      </c>
    </row>
    <row r="1035" spans="12:13" x14ac:dyDescent="0.2">
      <c r="L1035" s="4">
        <v>1029</v>
      </c>
      <c r="M1035" s="21">
        <v>160508.81898045511</v>
      </c>
    </row>
    <row r="1036" spans="12:13" x14ac:dyDescent="0.2">
      <c r="L1036" s="4">
        <v>1030</v>
      </c>
      <c r="M1036" s="21">
        <v>-151931.18275721493</v>
      </c>
    </row>
    <row r="1037" spans="12:13" x14ac:dyDescent="0.2">
      <c r="L1037" s="4">
        <v>1031</v>
      </c>
      <c r="M1037" s="21">
        <v>464760.52589637542</v>
      </c>
    </row>
    <row r="1038" spans="12:13" x14ac:dyDescent="0.2">
      <c r="L1038" s="4">
        <v>1032</v>
      </c>
      <c r="M1038" s="21">
        <v>264494.13236044312</v>
      </c>
    </row>
    <row r="1039" spans="12:13" x14ac:dyDescent="0.2">
      <c r="L1039" s="4">
        <v>1033</v>
      </c>
      <c r="M1039" s="21">
        <v>243156.6652983769</v>
      </c>
    </row>
    <row r="1040" spans="12:13" x14ac:dyDescent="0.2">
      <c r="L1040" s="4">
        <v>1034</v>
      </c>
      <c r="M1040" s="21">
        <v>50853.591575344326</v>
      </c>
    </row>
    <row r="1041" spans="12:13" x14ac:dyDescent="0.2">
      <c r="L1041" s="4">
        <v>1035</v>
      </c>
      <c r="M1041" s="21">
        <v>303566.40737027151</v>
      </c>
    </row>
    <row r="1042" spans="12:13" x14ac:dyDescent="0.2">
      <c r="L1042" s="4">
        <v>1036</v>
      </c>
      <c r="M1042" s="21">
        <v>37418.373893361946</v>
      </c>
    </row>
    <row r="1043" spans="12:13" x14ac:dyDescent="0.2">
      <c r="L1043" s="4">
        <v>1037</v>
      </c>
      <c r="M1043" s="21">
        <v>-30168.34146400413</v>
      </c>
    </row>
    <row r="1044" spans="12:13" x14ac:dyDescent="0.2">
      <c r="L1044" s="4">
        <v>1038</v>
      </c>
      <c r="M1044" s="21">
        <v>-172381.84084035759</v>
      </c>
    </row>
    <row r="1045" spans="12:13" x14ac:dyDescent="0.2">
      <c r="L1045" s="4">
        <v>1039</v>
      </c>
      <c r="M1045" s="21">
        <v>25774.828956472775</v>
      </c>
    </row>
    <row r="1046" spans="12:13" x14ac:dyDescent="0.2">
      <c r="L1046" s="4">
        <v>1040</v>
      </c>
      <c r="M1046" s="21">
        <v>198355.88883960299</v>
      </c>
    </row>
    <row r="1047" spans="12:13" x14ac:dyDescent="0.2">
      <c r="L1047" s="4">
        <v>1041</v>
      </c>
      <c r="M1047" s="21">
        <v>127347.10668603398</v>
      </c>
    </row>
    <row r="1048" spans="12:13" x14ac:dyDescent="0.2">
      <c r="L1048" s="4">
        <v>1042</v>
      </c>
      <c r="M1048" s="21">
        <v>-55848.580248504382</v>
      </c>
    </row>
    <row r="1049" spans="12:13" x14ac:dyDescent="0.2">
      <c r="L1049" s="4">
        <v>1043</v>
      </c>
      <c r="M1049" s="21">
        <v>294442.28455028048</v>
      </c>
    </row>
    <row r="1050" spans="12:13" x14ac:dyDescent="0.2">
      <c r="L1050" s="4">
        <v>1044</v>
      </c>
      <c r="M1050" s="21">
        <v>82714.153512128978</v>
      </c>
    </row>
    <row r="1051" spans="12:13" x14ac:dyDescent="0.2">
      <c r="L1051" s="4">
        <v>1045</v>
      </c>
      <c r="M1051" s="21">
        <v>-57761.487382597799</v>
      </c>
    </row>
    <row r="1052" spans="12:13" x14ac:dyDescent="0.2">
      <c r="L1052" s="4">
        <v>1046</v>
      </c>
      <c r="M1052" s="21">
        <v>144911.12683551098</v>
      </c>
    </row>
    <row r="1053" spans="12:13" x14ac:dyDescent="0.2">
      <c r="L1053" s="4">
        <v>1047</v>
      </c>
      <c r="M1053" s="21">
        <v>-412112.47085593967</v>
      </c>
    </row>
    <row r="1054" spans="12:13" x14ac:dyDescent="0.2">
      <c r="L1054" s="4">
        <v>1048</v>
      </c>
      <c r="M1054" s="21">
        <v>-38393.237123018785</v>
      </c>
    </row>
    <row r="1055" spans="12:13" x14ac:dyDescent="0.2">
      <c r="L1055" s="4">
        <v>1049</v>
      </c>
      <c r="M1055" s="21">
        <v>-373449.52015692013</v>
      </c>
    </row>
    <row r="1056" spans="12:13" x14ac:dyDescent="0.2">
      <c r="L1056" s="4">
        <v>1050</v>
      </c>
      <c r="M1056" s="21">
        <v>96419.51185966286</v>
      </c>
    </row>
    <row r="1057" spans="12:13" x14ac:dyDescent="0.2">
      <c r="L1057" s="4">
        <v>1051</v>
      </c>
      <c r="M1057" s="21">
        <v>154821.60349858348</v>
      </c>
    </row>
    <row r="1058" spans="12:13" x14ac:dyDescent="0.2">
      <c r="L1058" s="4">
        <v>1052</v>
      </c>
      <c r="M1058" s="21">
        <v>-340792.33570599603</v>
      </c>
    </row>
    <row r="1059" spans="12:13" x14ac:dyDescent="0.2">
      <c r="L1059" s="4">
        <v>1053</v>
      </c>
      <c r="M1059" s="21">
        <v>137771.31726145637</v>
      </c>
    </row>
    <row r="1060" spans="12:13" x14ac:dyDescent="0.2">
      <c r="L1060" s="4">
        <v>1054</v>
      </c>
      <c r="M1060" s="21">
        <v>293945.34175973397</v>
      </c>
    </row>
    <row r="1061" spans="12:13" x14ac:dyDescent="0.2">
      <c r="L1061" s="4">
        <v>1055</v>
      </c>
      <c r="M1061" s="21">
        <v>-147902.82454493883</v>
      </c>
    </row>
    <row r="1062" spans="12:13" x14ac:dyDescent="0.2">
      <c r="L1062" s="4">
        <v>1056</v>
      </c>
      <c r="M1062" s="21">
        <v>153832.46566856003</v>
      </c>
    </row>
    <row r="1063" spans="12:13" x14ac:dyDescent="0.2">
      <c r="L1063" s="4">
        <v>1057</v>
      </c>
      <c r="M1063" s="21">
        <v>238262.03606175593</v>
      </c>
    </row>
    <row r="1064" spans="12:13" x14ac:dyDescent="0.2">
      <c r="L1064" s="4">
        <v>1058</v>
      </c>
      <c r="M1064" s="21">
        <v>-176885.05995508214</v>
      </c>
    </row>
    <row r="1065" spans="12:13" x14ac:dyDescent="0.2">
      <c r="L1065" s="4">
        <v>1059</v>
      </c>
      <c r="M1065" s="21">
        <v>164698.92153291989</v>
      </c>
    </row>
    <row r="1066" spans="12:13" x14ac:dyDescent="0.2">
      <c r="L1066" s="4">
        <v>1060</v>
      </c>
      <c r="M1066" s="21">
        <v>-281493.5426682214</v>
      </c>
    </row>
    <row r="1067" spans="12:13" x14ac:dyDescent="0.2">
      <c r="L1067" s="4">
        <v>1061</v>
      </c>
      <c r="M1067" s="21">
        <v>73646.357138384512</v>
      </c>
    </row>
    <row r="1068" spans="12:13" x14ac:dyDescent="0.2">
      <c r="L1068" s="4">
        <v>1062</v>
      </c>
      <c r="M1068" s="21">
        <v>-56751.671440504651</v>
      </c>
    </row>
    <row r="1069" spans="12:13" x14ac:dyDescent="0.2">
      <c r="L1069" s="4">
        <v>1063</v>
      </c>
      <c r="M1069" s="21">
        <v>162510.37909985331</v>
      </c>
    </row>
    <row r="1070" spans="12:13" x14ac:dyDescent="0.2">
      <c r="L1070" s="4">
        <v>1064</v>
      </c>
      <c r="M1070" s="21">
        <v>-174765.37216719007</v>
      </c>
    </row>
    <row r="1071" spans="12:13" x14ac:dyDescent="0.2">
      <c r="L1071" s="4">
        <v>1065</v>
      </c>
      <c r="M1071" s="21">
        <v>-134873.88897863223</v>
      </c>
    </row>
    <row r="1072" spans="12:13" x14ac:dyDescent="0.2">
      <c r="L1072" s="4">
        <v>1066</v>
      </c>
      <c r="M1072" s="21">
        <v>-92590.012426885252</v>
      </c>
    </row>
    <row r="1073" spans="12:13" x14ac:dyDescent="0.2">
      <c r="L1073" s="4">
        <v>1067</v>
      </c>
      <c r="M1073" s="21">
        <v>12001.215416650695</v>
      </c>
    </row>
    <row r="1074" spans="12:13" x14ac:dyDescent="0.2">
      <c r="L1074" s="4">
        <v>1068</v>
      </c>
      <c r="M1074" s="21">
        <v>101999.33720565776</v>
      </c>
    </row>
    <row r="1075" spans="12:13" x14ac:dyDescent="0.2">
      <c r="L1075" s="4">
        <v>1069</v>
      </c>
      <c r="M1075" s="21">
        <v>65854.37558612987</v>
      </c>
    </row>
    <row r="1076" spans="12:13" x14ac:dyDescent="0.2">
      <c r="L1076" s="4">
        <v>1070</v>
      </c>
      <c r="M1076" s="21">
        <v>464375.67890784994</v>
      </c>
    </row>
    <row r="1077" spans="12:13" x14ac:dyDescent="0.2">
      <c r="L1077" s="4">
        <v>1071</v>
      </c>
      <c r="M1077" s="21">
        <v>-341268.79277589329</v>
      </c>
    </row>
    <row r="1078" spans="12:13" x14ac:dyDescent="0.2">
      <c r="L1078" s="4">
        <v>1072</v>
      </c>
      <c r="M1078" s="21">
        <v>-31520.687019913865</v>
      </c>
    </row>
    <row r="1079" spans="12:13" x14ac:dyDescent="0.2">
      <c r="L1079" s="4">
        <v>1073</v>
      </c>
      <c r="M1079" s="21">
        <v>-110981.86641173606</v>
      </c>
    </row>
    <row r="1080" spans="12:13" x14ac:dyDescent="0.2">
      <c r="L1080" s="4">
        <v>1074</v>
      </c>
      <c r="M1080" s="21">
        <v>-330397.91857926606</v>
      </c>
    </row>
    <row r="1081" spans="12:13" x14ac:dyDescent="0.2">
      <c r="L1081" s="4">
        <v>1075</v>
      </c>
      <c r="M1081" s="21">
        <v>-85513.155130923231</v>
      </c>
    </row>
    <row r="1082" spans="12:13" x14ac:dyDescent="0.2">
      <c r="L1082" s="4">
        <v>1076</v>
      </c>
      <c r="M1082" s="21">
        <v>-22313.529134664699</v>
      </c>
    </row>
    <row r="1083" spans="12:13" x14ac:dyDescent="0.2">
      <c r="L1083" s="4">
        <v>1077</v>
      </c>
      <c r="M1083" s="21">
        <v>48061.358069844107</v>
      </c>
    </row>
    <row r="1084" spans="12:13" x14ac:dyDescent="0.2">
      <c r="L1084" s="4">
        <v>1078</v>
      </c>
      <c r="M1084" s="21">
        <v>-92278.847985622415</v>
      </c>
    </row>
    <row r="1085" spans="12:13" x14ac:dyDescent="0.2">
      <c r="L1085" s="4">
        <v>1079</v>
      </c>
      <c r="M1085" s="21">
        <v>157552.84205503541</v>
      </c>
    </row>
    <row r="1086" spans="12:13" x14ac:dyDescent="0.2">
      <c r="L1086" s="4">
        <v>1080</v>
      </c>
      <c r="M1086" s="21">
        <v>164200.6035323187</v>
      </c>
    </row>
    <row r="1087" spans="12:13" x14ac:dyDescent="0.2">
      <c r="L1087" s="4">
        <v>1081</v>
      </c>
      <c r="M1087" s="21">
        <v>-81619.83767389979</v>
      </c>
    </row>
    <row r="1088" spans="12:13" x14ac:dyDescent="0.2">
      <c r="L1088" s="4">
        <v>1082</v>
      </c>
      <c r="M1088" s="21">
        <v>24923.70387776717</v>
      </c>
    </row>
    <row r="1089" spans="12:13" x14ac:dyDescent="0.2">
      <c r="L1089" s="4">
        <v>1083</v>
      </c>
      <c r="M1089" s="21">
        <v>16221.747108500218</v>
      </c>
    </row>
    <row r="1090" spans="12:13" x14ac:dyDescent="0.2">
      <c r="L1090" s="4">
        <v>1084</v>
      </c>
      <c r="M1090" s="21">
        <v>77359.665814940294</v>
      </c>
    </row>
    <row r="1091" spans="12:13" x14ac:dyDescent="0.2">
      <c r="L1091" s="4">
        <v>1085</v>
      </c>
      <c r="M1091" s="21">
        <v>-224862.21170005164</v>
      </c>
    </row>
    <row r="1092" spans="12:13" x14ac:dyDescent="0.2">
      <c r="L1092" s="4">
        <v>1086</v>
      </c>
      <c r="M1092" s="21">
        <v>228225.57061102378</v>
      </c>
    </row>
    <row r="1093" spans="12:13" x14ac:dyDescent="0.2">
      <c r="L1093" s="4">
        <v>1087</v>
      </c>
      <c r="M1093" s="21">
        <v>59265.268446054251</v>
      </c>
    </row>
    <row r="1094" spans="12:13" x14ac:dyDescent="0.2">
      <c r="L1094" s="4">
        <v>1088</v>
      </c>
      <c r="M1094" s="21">
        <v>-51343.695418505493</v>
      </c>
    </row>
    <row r="1095" spans="12:13" x14ac:dyDescent="0.2">
      <c r="L1095" s="4">
        <v>1089</v>
      </c>
      <c r="M1095" s="21">
        <v>-83869.140504114941</v>
      </c>
    </row>
    <row r="1096" spans="12:13" x14ac:dyDescent="0.2">
      <c r="L1096" s="4">
        <v>1090</v>
      </c>
      <c r="M1096" s="21">
        <v>-211615.22196233424</v>
      </c>
    </row>
    <row r="1097" spans="12:13" x14ac:dyDescent="0.2">
      <c r="L1097" s="4">
        <v>1091</v>
      </c>
      <c r="M1097" s="21">
        <v>44502.602688093088</v>
      </c>
    </row>
    <row r="1098" spans="12:13" x14ac:dyDescent="0.2">
      <c r="L1098" s="4">
        <v>1092</v>
      </c>
      <c r="M1098" s="21">
        <v>119852.63850998241</v>
      </c>
    </row>
    <row r="1099" spans="12:13" x14ac:dyDescent="0.2">
      <c r="L1099" s="4">
        <v>1093</v>
      </c>
      <c r="M1099" s="21">
        <v>124992.9913651502</v>
      </c>
    </row>
    <row r="1100" spans="12:13" x14ac:dyDescent="0.2">
      <c r="L1100" s="4">
        <v>1094</v>
      </c>
      <c r="M1100" s="21">
        <v>-200214.16920221649</v>
      </c>
    </row>
    <row r="1101" spans="12:13" x14ac:dyDescent="0.2">
      <c r="L1101" s="4">
        <v>1095</v>
      </c>
      <c r="M1101" s="21">
        <v>425612.88047218043</v>
      </c>
    </row>
    <row r="1102" spans="12:13" x14ac:dyDescent="0.2">
      <c r="L1102" s="4">
        <v>1096</v>
      </c>
      <c r="M1102" s="21">
        <v>-42041.514411206124</v>
      </c>
    </row>
    <row r="1103" spans="12:13" x14ac:dyDescent="0.2">
      <c r="L1103" s="4">
        <v>1097</v>
      </c>
      <c r="M1103" s="21">
        <v>415814.75563035661</v>
      </c>
    </row>
    <row r="1104" spans="12:13" x14ac:dyDescent="0.2">
      <c r="L1104" s="4">
        <v>1098</v>
      </c>
      <c r="M1104" s="21">
        <v>49339.592847356776</v>
      </c>
    </row>
    <row r="1105" spans="12:13" x14ac:dyDescent="0.2">
      <c r="L1105" s="4">
        <v>1099</v>
      </c>
      <c r="M1105" s="21">
        <v>40381.189280745195</v>
      </c>
    </row>
    <row r="1106" spans="12:13" x14ac:dyDescent="0.2">
      <c r="L1106" s="4">
        <v>1100</v>
      </c>
      <c r="M1106" s="21">
        <v>291000.11503891402</v>
      </c>
    </row>
    <row r="1107" spans="12:13" x14ac:dyDescent="0.2">
      <c r="L1107" s="4">
        <v>1101</v>
      </c>
      <c r="M1107" s="21">
        <v>-87452.946328024045</v>
      </c>
    </row>
    <row r="1108" spans="12:13" x14ac:dyDescent="0.2">
      <c r="L1108" s="4">
        <v>1102</v>
      </c>
      <c r="M1108" s="21">
        <v>97114.244246167305</v>
      </c>
    </row>
    <row r="1109" spans="12:13" x14ac:dyDescent="0.2">
      <c r="L1109" s="4">
        <v>1103</v>
      </c>
      <c r="M1109" s="21">
        <v>-239103.65155856695</v>
      </c>
    </row>
    <row r="1110" spans="12:13" x14ac:dyDescent="0.2">
      <c r="L1110" s="4">
        <v>1104</v>
      </c>
      <c r="M1110" s="21">
        <v>141709.92345700529</v>
      </c>
    </row>
    <row r="1111" spans="12:13" x14ac:dyDescent="0.2">
      <c r="L1111" s="4">
        <v>1105</v>
      </c>
      <c r="M1111" s="21">
        <v>-323309.67960422538</v>
      </c>
    </row>
    <row r="1112" spans="12:13" x14ac:dyDescent="0.2">
      <c r="L1112" s="4">
        <v>1106</v>
      </c>
      <c r="M1112" s="21">
        <v>-19156.885265201214</v>
      </c>
    </row>
    <row r="1113" spans="12:13" x14ac:dyDescent="0.2">
      <c r="L1113" s="4">
        <v>1107</v>
      </c>
      <c r="M1113" s="21">
        <v>383980.66864002112</v>
      </c>
    </row>
    <row r="1114" spans="12:13" x14ac:dyDescent="0.2">
      <c r="L1114" s="4">
        <v>1108</v>
      </c>
      <c r="M1114" s="21">
        <v>-252429.26387086394</v>
      </c>
    </row>
    <row r="1115" spans="12:13" x14ac:dyDescent="0.2">
      <c r="L1115" s="4">
        <v>1109</v>
      </c>
      <c r="M1115" s="21">
        <v>223405.10048968616</v>
      </c>
    </row>
    <row r="1116" spans="12:13" x14ac:dyDescent="0.2">
      <c r="L1116" s="4">
        <v>1110</v>
      </c>
      <c r="M1116" s="21">
        <v>-136188.52612014819</v>
      </c>
    </row>
    <row r="1117" spans="12:13" x14ac:dyDescent="0.2">
      <c r="L1117" s="4">
        <v>1111</v>
      </c>
      <c r="M1117" s="21">
        <v>163023.82538028559</v>
      </c>
    </row>
    <row r="1118" spans="12:13" x14ac:dyDescent="0.2">
      <c r="L1118" s="4">
        <v>1112</v>
      </c>
      <c r="M1118" s="21">
        <v>118814.54590513316</v>
      </c>
    </row>
    <row r="1119" spans="12:13" x14ac:dyDescent="0.2">
      <c r="L1119" s="4">
        <v>1113</v>
      </c>
      <c r="M1119" s="21">
        <v>-270831.07761068642</v>
      </c>
    </row>
    <row r="1120" spans="12:13" x14ac:dyDescent="0.2">
      <c r="L1120" s="4">
        <v>1114</v>
      </c>
      <c r="M1120" s="21">
        <v>-15425.433512899646</v>
      </c>
    </row>
    <row r="1121" spans="12:13" x14ac:dyDescent="0.2">
      <c r="L1121" s="4">
        <v>1115</v>
      </c>
      <c r="M1121" s="21">
        <v>-100032.532723287</v>
      </c>
    </row>
    <row r="1122" spans="12:13" x14ac:dyDescent="0.2">
      <c r="L1122" s="4">
        <v>1116</v>
      </c>
      <c r="M1122" s="21">
        <v>354353.79835241055</v>
      </c>
    </row>
    <row r="1123" spans="12:13" x14ac:dyDescent="0.2">
      <c r="L1123" s="4">
        <v>1117</v>
      </c>
      <c r="M1123" s="21">
        <v>-62644.467654455439</v>
      </c>
    </row>
    <row r="1124" spans="12:13" x14ac:dyDescent="0.2">
      <c r="L1124" s="4">
        <v>1118</v>
      </c>
      <c r="M1124" s="21">
        <v>-66410.656382024157</v>
      </c>
    </row>
    <row r="1125" spans="12:13" x14ac:dyDescent="0.2">
      <c r="L1125" s="4">
        <v>1119</v>
      </c>
      <c r="M1125" s="21">
        <v>-181649.90053472872</v>
      </c>
    </row>
    <row r="1126" spans="12:13" x14ac:dyDescent="0.2">
      <c r="L1126" s="4">
        <v>1120</v>
      </c>
      <c r="M1126" s="21">
        <v>-37964.766100079665</v>
      </c>
    </row>
    <row r="1127" spans="12:13" x14ac:dyDescent="0.2">
      <c r="L1127" s="4">
        <v>1121</v>
      </c>
      <c r="M1127" s="21">
        <v>-24319.164164826449</v>
      </c>
    </row>
    <row r="1128" spans="12:13" x14ac:dyDescent="0.2">
      <c r="L1128" s="4">
        <v>1122</v>
      </c>
      <c r="M1128" s="21">
        <v>74051.824870232958</v>
      </c>
    </row>
    <row r="1129" spans="12:13" x14ac:dyDescent="0.2">
      <c r="L1129" s="4">
        <v>1123</v>
      </c>
      <c r="M1129" s="21">
        <v>413416.78073497687</v>
      </c>
    </row>
    <row r="1130" spans="12:13" x14ac:dyDescent="0.2">
      <c r="L1130" s="4">
        <v>1124</v>
      </c>
      <c r="M1130" s="21">
        <v>-268253.21702288586</v>
      </c>
    </row>
    <row r="1131" spans="12:13" x14ac:dyDescent="0.2">
      <c r="L1131" s="4">
        <v>1125</v>
      </c>
      <c r="M1131" s="21">
        <v>114835.59341419194</v>
      </c>
    </row>
    <row r="1132" spans="12:13" x14ac:dyDescent="0.2">
      <c r="L1132" s="4">
        <v>1126</v>
      </c>
      <c r="M1132" s="21">
        <v>287034.5717788951</v>
      </c>
    </row>
    <row r="1133" spans="12:13" x14ac:dyDescent="0.2">
      <c r="L1133" s="4">
        <v>1127</v>
      </c>
      <c r="M1133" s="21">
        <v>-5545.5612140448211</v>
      </c>
    </row>
    <row r="1134" spans="12:13" x14ac:dyDescent="0.2">
      <c r="L1134" s="4">
        <v>1128</v>
      </c>
      <c r="M1134" s="21">
        <v>-3199.9143267857726</v>
      </c>
    </row>
    <row r="1135" spans="12:13" x14ac:dyDescent="0.2">
      <c r="L1135" s="4">
        <v>1129</v>
      </c>
      <c r="M1135" s="21">
        <v>382304.57536047068</v>
      </c>
    </row>
    <row r="1136" spans="12:13" x14ac:dyDescent="0.2">
      <c r="L1136" s="4">
        <v>1130</v>
      </c>
      <c r="M1136" s="21">
        <v>219697.38398111481</v>
      </c>
    </row>
    <row r="1137" spans="12:13" x14ac:dyDescent="0.2">
      <c r="L1137" s="4">
        <v>1131</v>
      </c>
      <c r="M1137" s="21">
        <v>185633.86054343052</v>
      </c>
    </row>
    <row r="1138" spans="12:13" x14ac:dyDescent="0.2">
      <c r="L1138" s="4">
        <v>1132</v>
      </c>
      <c r="M1138" s="21">
        <v>96303.40887034277</v>
      </c>
    </row>
    <row r="1139" spans="12:13" x14ac:dyDescent="0.2">
      <c r="L1139" s="4">
        <v>1133</v>
      </c>
      <c r="M1139" s="21">
        <v>60137.750004905101</v>
      </c>
    </row>
    <row r="1140" spans="12:13" x14ac:dyDescent="0.2">
      <c r="L1140" s="4">
        <v>1134</v>
      </c>
      <c r="M1140" s="21">
        <v>-66957.044025656869</v>
      </c>
    </row>
    <row r="1141" spans="12:13" x14ac:dyDescent="0.2">
      <c r="L1141" s="4">
        <v>1135</v>
      </c>
      <c r="M1141" s="21">
        <v>292114.93939194432</v>
      </c>
    </row>
    <row r="1142" spans="12:13" x14ac:dyDescent="0.2">
      <c r="L1142" s="4">
        <v>1136</v>
      </c>
      <c r="M1142" s="21">
        <v>201128.81700254211</v>
      </c>
    </row>
    <row r="1143" spans="12:13" x14ac:dyDescent="0.2">
      <c r="L1143" s="4">
        <v>1137</v>
      </c>
      <c r="M1143" s="21">
        <v>-21797.499834115166</v>
      </c>
    </row>
    <row r="1144" spans="12:13" x14ac:dyDescent="0.2">
      <c r="L1144" s="4">
        <v>1138</v>
      </c>
      <c r="M1144" s="21">
        <v>-145328.31668648357</v>
      </c>
    </row>
    <row r="1145" spans="12:13" x14ac:dyDescent="0.2">
      <c r="L1145" s="4">
        <v>1139</v>
      </c>
      <c r="M1145" s="21">
        <v>-84688.028276005702</v>
      </c>
    </row>
    <row r="1146" spans="12:13" x14ac:dyDescent="0.2">
      <c r="L1146" s="4">
        <v>1140</v>
      </c>
      <c r="M1146" s="21">
        <v>-300686.37620567868</v>
      </c>
    </row>
    <row r="1147" spans="12:13" x14ac:dyDescent="0.2">
      <c r="L1147" s="4">
        <v>1141</v>
      </c>
      <c r="M1147" s="21">
        <v>-19352.914423287133</v>
      </c>
    </row>
    <row r="1148" spans="12:13" x14ac:dyDescent="0.2">
      <c r="L1148" s="4">
        <v>1142</v>
      </c>
      <c r="M1148" s="21">
        <v>289934.1688033574</v>
      </c>
    </row>
    <row r="1149" spans="12:13" x14ac:dyDescent="0.2">
      <c r="L1149" s="4">
        <v>1143</v>
      </c>
      <c r="M1149" s="21">
        <v>312276.94874517532</v>
      </c>
    </row>
    <row r="1150" spans="12:13" x14ac:dyDescent="0.2">
      <c r="L1150" s="4">
        <v>1144</v>
      </c>
      <c r="M1150" s="21">
        <v>-71949.583658386648</v>
      </c>
    </row>
    <row r="1151" spans="12:13" x14ac:dyDescent="0.2">
      <c r="L1151" s="4">
        <v>1145</v>
      </c>
      <c r="M1151" s="21">
        <v>-88556.270906057442</v>
      </c>
    </row>
    <row r="1152" spans="12:13" x14ac:dyDescent="0.2">
      <c r="L1152" s="4">
        <v>1146</v>
      </c>
      <c r="M1152" s="21">
        <v>311053.27740869782</v>
      </c>
    </row>
    <row r="1153" spans="12:13" x14ac:dyDescent="0.2">
      <c r="L1153" s="4">
        <v>1147</v>
      </c>
      <c r="M1153" s="21">
        <v>-28035.79801176516</v>
      </c>
    </row>
    <row r="1154" spans="12:13" x14ac:dyDescent="0.2">
      <c r="L1154" s="4">
        <v>1148</v>
      </c>
      <c r="M1154" s="21">
        <v>-289207.06094562379</v>
      </c>
    </row>
    <row r="1155" spans="12:13" x14ac:dyDescent="0.2">
      <c r="L1155" s="4">
        <v>1149</v>
      </c>
      <c r="M1155" s="21">
        <v>244972.96147401322</v>
      </c>
    </row>
    <row r="1156" spans="12:13" x14ac:dyDescent="0.2">
      <c r="L1156" s="4">
        <v>1150</v>
      </c>
      <c r="M1156" s="21">
        <v>188789.84139205617</v>
      </c>
    </row>
    <row r="1157" spans="12:13" x14ac:dyDescent="0.2">
      <c r="L1157" s="4">
        <v>1151</v>
      </c>
      <c r="M1157" s="21">
        <v>-7973.4706454880361</v>
      </c>
    </row>
    <row r="1158" spans="12:13" x14ac:dyDescent="0.2">
      <c r="L1158" s="4">
        <v>1152</v>
      </c>
      <c r="M1158" s="21">
        <v>281794.44596964994</v>
      </c>
    </row>
    <row r="1159" spans="12:13" x14ac:dyDescent="0.2">
      <c r="L1159" s="4">
        <v>1153</v>
      </c>
      <c r="M1159" s="21">
        <v>309773.60714362562</v>
      </c>
    </row>
    <row r="1160" spans="12:13" x14ac:dyDescent="0.2">
      <c r="L1160" s="4">
        <v>1154</v>
      </c>
      <c r="M1160" s="21">
        <v>277853.31064087874</v>
      </c>
    </row>
    <row r="1161" spans="12:13" x14ac:dyDescent="0.2">
      <c r="L1161" s="4">
        <v>1155</v>
      </c>
      <c r="M1161" s="21">
        <v>-265531.92898921692</v>
      </c>
    </row>
    <row r="1162" spans="12:13" x14ac:dyDescent="0.2">
      <c r="L1162" s="4">
        <v>1156</v>
      </c>
      <c r="M1162" s="21">
        <v>325409.65599508554</v>
      </c>
    </row>
    <row r="1163" spans="12:13" x14ac:dyDescent="0.2">
      <c r="L1163" s="4">
        <v>1157</v>
      </c>
      <c r="M1163" s="21">
        <v>30621.785538619268</v>
      </c>
    </row>
    <row r="1164" spans="12:13" x14ac:dyDescent="0.2">
      <c r="L1164" s="4">
        <v>1158</v>
      </c>
      <c r="M1164" s="21">
        <v>-28269.739251060324</v>
      </c>
    </row>
    <row r="1165" spans="12:13" x14ac:dyDescent="0.2">
      <c r="L1165" s="4">
        <v>1159</v>
      </c>
      <c r="M1165" s="21">
        <v>-149519.8938382031</v>
      </c>
    </row>
    <row r="1166" spans="12:13" x14ac:dyDescent="0.2">
      <c r="L1166" s="4">
        <v>1160</v>
      </c>
      <c r="M1166" s="21">
        <v>38436.526630898356</v>
      </c>
    </row>
    <row r="1167" spans="12:13" x14ac:dyDescent="0.2">
      <c r="L1167" s="4">
        <v>1161</v>
      </c>
      <c r="M1167" s="21">
        <v>-180398.11745505399</v>
      </c>
    </row>
    <row r="1168" spans="12:13" x14ac:dyDescent="0.2">
      <c r="L1168" s="4">
        <v>1162</v>
      </c>
      <c r="M1168" s="21">
        <v>-167848.60274835757</v>
      </c>
    </row>
    <row r="1169" spans="12:13" x14ac:dyDescent="0.2">
      <c r="L1169" s="4">
        <v>1163</v>
      </c>
      <c r="M1169" s="21">
        <v>91247.039191800926</v>
      </c>
    </row>
    <row r="1170" spans="12:13" x14ac:dyDescent="0.2">
      <c r="L1170" s="4">
        <v>1164</v>
      </c>
      <c r="M1170" s="21">
        <v>49923.656803740916</v>
      </c>
    </row>
    <row r="1171" spans="12:13" x14ac:dyDescent="0.2">
      <c r="L1171" s="4">
        <v>1165</v>
      </c>
      <c r="M1171" s="21">
        <v>43717.82919012889</v>
      </c>
    </row>
    <row r="1172" spans="12:13" x14ac:dyDescent="0.2">
      <c r="L1172" s="4">
        <v>1166</v>
      </c>
      <c r="M1172" s="21">
        <v>60707.328762452933</v>
      </c>
    </row>
    <row r="1173" spans="12:13" x14ac:dyDescent="0.2">
      <c r="L1173" s="4">
        <v>1167</v>
      </c>
      <c r="M1173" s="21">
        <v>166334.57233260118</v>
      </c>
    </row>
    <row r="1174" spans="12:13" x14ac:dyDescent="0.2">
      <c r="L1174" s="4">
        <v>1168</v>
      </c>
      <c r="M1174" s="21">
        <v>120805.12314956737</v>
      </c>
    </row>
    <row r="1175" spans="12:13" x14ac:dyDescent="0.2">
      <c r="L1175" s="4">
        <v>1169</v>
      </c>
      <c r="M1175" s="21">
        <v>172023.03745403796</v>
      </c>
    </row>
    <row r="1176" spans="12:13" x14ac:dyDescent="0.2">
      <c r="L1176" s="4">
        <v>1170</v>
      </c>
      <c r="M1176" s="21">
        <v>50539.862983210507</v>
      </c>
    </row>
    <row r="1177" spans="12:13" x14ac:dyDescent="0.2">
      <c r="L1177" s="4">
        <v>1171</v>
      </c>
      <c r="M1177" s="21">
        <v>-244884.59272756847</v>
      </c>
    </row>
    <row r="1178" spans="12:13" x14ac:dyDescent="0.2">
      <c r="L1178" s="4">
        <v>1172</v>
      </c>
      <c r="M1178" s="21">
        <v>128446.38523536903</v>
      </c>
    </row>
    <row r="1179" spans="12:13" x14ac:dyDescent="0.2">
      <c r="L1179" s="4">
        <v>1173</v>
      </c>
      <c r="M1179" s="21">
        <v>-208660.05288697931</v>
      </c>
    </row>
    <row r="1180" spans="12:13" x14ac:dyDescent="0.2">
      <c r="L1180" s="4">
        <v>1174</v>
      </c>
      <c r="M1180" s="21">
        <v>-28423.138846681482</v>
      </c>
    </row>
    <row r="1181" spans="12:13" x14ac:dyDescent="0.2">
      <c r="L1181" s="4">
        <v>1175</v>
      </c>
      <c r="M1181" s="21">
        <v>41724.909771112114</v>
      </c>
    </row>
    <row r="1182" spans="12:13" x14ac:dyDescent="0.2">
      <c r="L1182" s="4">
        <v>1176</v>
      </c>
      <c r="M1182" s="21">
        <v>-249522.76178080085</v>
      </c>
    </row>
    <row r="1183" spans="12:13" x14ac:dyDescent="0.2">
      <c r="L1183" s="4">
        <v>1177</v>
      </c>
      <c r="M1183" s="21">
        <v>123099.29191209975</v>
      </c>
    </row>
    <row r="1184" spans="12:13" x14ac:dyDescent="0.2">
      <c r="L1184" s="4">
        <v>1178</v>
      </c>
      <c r="M1184" s="21">
        <v>-36197.802457726473</v>
      </c>
    </row>
    <row r="1185" spans="12:13" x14ac:dyDescent="0.2">
      <c r="L1185" s="4">
        <v>1179</v>
      </c>
      <c r="M1185" s="21">
        <v>-51726.222448943605</v>
      </c>
    </row>
    <row r="1186" spans="12:13" x14ac:dyDescent="0.2">
      <c r="L1186" s="4">
        <v>1180</v>
      </c>
      <c r="M1186" s="21">
        <v>-26445.428099669924</v>
      </c>
    </row>
    <row r="1187" spans="12:13" x14ac:dyDescent="0.2">
      <c r="L1187" s="4">
        <v>1181</v>
      </c>
      <c r="M1187" s="21">
        <v>-158658.04382332671</v>
      </c>
    </row>
    <row r="1188" spans="12:13" x14ac:dyDescent="0.2">
      <c r="L1188" s="4">
        <v>1182</v>
      </c>
      <c r="M1188" s="21">
        <v>25432.043988338468</v>
      </c>
    </row>
    <row r="1189" spans="12:13" x14ac:dyDescent="0.2">
      <c r="L1189" s="4">
        <v>1183</v>
      </c>
      <c r="M1189" s="21">
        <v>-94276.03225770063</v>
      </c>
    </row>
    <row r="1190" spans="12:13" x14ac:dyDescent="0.2">
      <c r="L1190" s="4">
        <v>1184</v>
      </c>
      <c r="M1190" s="21">
        <v>77407.701915556361</v>
      </c>
    </row>
    <row r="1191" spans="12:13" x14ac:dyDescent="0.2">
      <c r="L1191" s="4">
        <v>1185</v>
      </c>
      <c r="M1191" s="21">
        <v>-234081.45222254188</v>
      </c>
    </row>
    <row r="1192" spans="12:13" x14ac:dyDescent="0.2">
      <c r="L1192" s="4">
        <v>1186</v>
      </c>
      <c r="M1192" s="21">
        <v>196971.54028247073</v>
      </c>
    </row>
    <row r="1193" spans="12:13" x14ac:dyDescent="0.2">
      <c r="L1193" s="4">
        <v>1187</v>
      </c>
      <c r="M1193" s="21">
        <v>311243.98859796999</v>
      </c>
    </row>
    <row r="1194" spans="12:13" x14ac:dyDescent="0.2">
      <c r="L1194" s="4">
        <v>1188</v>
      </c>
      <c r="M1194" s="21">
        <v>473635.24727294687</v>
      </c>
    </row>
    <row r="1195" spans="12:13" x14ac:dyDescent="0.2">
      <c r="L1195" s="4">
        <v>1189</v>
      </c>
      <c r="M1195" s="21">
        <v>-60348.649442904076</v>
      </c>
    </row>
    <row r="1196" spans="12:13" x14ac:dyDescent="0.2">
      <c r="L1196" s="4">
        <v>1190</v>
      </c>
      <c r="M1196" s="21">
        <v>-38156.578682713473</v>
      </c>
    </row>
    <row r="1197" spans="12:13" x14ac:dyDescent="0.2">
      <c r="L1197" s="4">
        <v>1191</v>
      </c>
      <c r="M1197" s="21">
        <v>164034.43749569266</v>
      </c>
    </row>
    <row r="1198" spans="12:13" x14ac:dyDescent="0.2">
      <c r="L1198" s="4">
        <v>1192</v>
      </c>
      <c r="M1198" s="21">
        <v>59814.051342367806</v>
      </c>
    </row>
    <row r="1199" spans="12:13" x14ac:dyDescent="0.2">
      <c r="L1199" s="4">
        <v>1193</v>
      </c>
      <c r="M1199" s="21">
        <v>73281.76036144048</v>
      </c>
    </row>
    <row r="1200" spans="12:13" x14ac:dyDescent="0.2">
      <c r="L1200" s="4">
        <v>1194</v>
      </c>
      <c r="M1200" s="21">
        <v>-98359.314188293749</v>
      </c>
    </row>
    <row r="1201" spans="12:13" x14ac:dyDescent="0.2">
      <c r="L1201" s="4">
        <v>1195</v>
      </c>
      <c r="M1201" s="21">
        <v>-282151.45145654102</v>
      </c>
    </row>
    <row r="1202" spans="12:13" x14ac:dyDescent="0.2">
      <c r="L1202" s="4">
        <v>1196</v>
      </c>
      <c r="M1202" s="21">
        <v>198443.02530238315</v>
      </c>
    </row>
    <row r="1203" spans="12:13" x14ac:dyDescent="0.2">
      <c r="L1203" s="4">
        <v>1197</v>
      </c>
      <c r="M1203" s="21">
        <v>-173535.95596121289</v>
      </c>
    </row>
    <row r="1204" spans="12:13" x14ac:dyDescent="0.2">
      <c r="L1204" s="4">
        <v>1198</v>
      </c>
      <c r="M1204" s="21">
        <v>100679.44087702569</v>
      </c>
    </row>
    <row r="1205" spans="12:13" x14ac:dyDescent="0.2">
      <c r="L1205" s="4">
        <v>1199</v>
      </c>
      <c r="M1205" s="21">
        <v>-131245.29975719407</v>
      </c>
    </row>
    <row r="1206" spans="12:13" x14ac:dyDescent="0.2">
      <c r="L1206" s="4">
        <v>1200</v>
      </c>
      <c r="M1206" s="21">
        <v>-133913.01113390236</v>
      </c>
    </row>
    <row r="1207" spans="12:13" x14ac:dyDescent="0.2">
      <c r="L1207" s="4">
        <v>1201</v>
      </c>
      <c r="M1207" s="21">
        <v>106014.38984801335</v>
      </c>
    </row>
    <row r="1208" spans="12:13" x14ac:dyDescent="0.2">
      <c r="L1208" s="4">
        <v>1202</v>
      </c>
      <c r="M1208" s="21">
        <v>-154152.28143288917</v>
      </c>
    </row>
    <row r="1209" spans="12:13" x14ac:dyDescent="0.2">
      <c r="L1209" s="4">
        <v>1203</v>
      </c>
      <c r="M1209" s="21">
        <v>-23841.423899410904</v>
      </c>
    </row>
    <row r="1210" spans="12:13" x14ac:dyDescent="0.2">
      <c r="L1210" s="4">
        <v>1204</v>
      </c>
      <c r="M1210" s="21">
        <v>-150326.7224961941</v>
      </c>
    </row>
    <row r="1211" spans="12:13" x14ac:dyDescent="0.2">
      <c r="L1211" s="4">
        <v>1205</v>
      </c>
      <c r="M1211" s="21">
        <v>157406.4867474724</v>
      </c>
    </row>
    <row r="1212" spans="12:13" x14ac:dyDescent="0.2">
      <c r="L1212" s="4">
        <v>1206</v>
      </c>
      <c r="M1212" s="21">
        <v>47212.649368148093</v>
      </c>
    </row>
    <row r="1213" spans="12:13" x14ac:dyDescent="0.2">
      <c r="L1213" s="4">
        <v>1207</v>
      </c>
      <c r="M1213" s="21">
        <v>9203.2895715304767</v>
      </c>
    </row>
    <row r="1214" spans="12:13" x14ac:dyDescent="0.2">
      <c r="L1214" s="4">
        <v>1208</v>
      </c>
      <c r="M1214" s="21">
        <v>484699.47251962766</v>
      </c>
    </row>
    <row r="1215" spans="12:13" x14ac:dyDescent="0.2">
      <c r="L1215" s="4">
        <v>1209</v>
      </c>
      <c r="M1215" s="21">
        <v>18864.838830023946</v>
      </c>
    </row>
    <row r="1216" spans="12:13" x14ac:dyDescent="0.2">
      <c r="L1216" s="4">
        <v>1210</v>
      </c>
      <c r="M1216" s="21">
        <v>587198.33998291614</v>
      </c>
    </row>
    <row r="1217" spans="12:13" x14ac:dyDescent="0.2">
      <c r="L1217" s="4">
        <v>1211</v>
      </c>
      <c r="M1217" s="21">
        <v>288879.3721154345</v>
      </c>
    </row>
    <row r="1218" spans="12:13" x14ac:dyDescent="0.2">
      <c r="L1218" s="4">
        <v>1212</v>
      </c>
      <c r="M1218" s="21">
        <v>-58749.606336024983</v>
      </c>
    </row>
    <row r="1219" spans="12:13" x14ac:dyDescent="0.2">
      <c r="L1219" s="4">
        <v>1213</v>
      </c>
      <c r="M1219" s="21">
        <v>-306862.63877830614</v>
      </c>
    </row>
    <row r="1220" spans="12:13" x14ac:dyDescent="0.2">
      <c r="L1220" s="4">
        <v>1214</v>
      </c>
      <c r="M1220" s="21">
        <v>138088.04878892147</v>
      </c>
    </row>
    <row r="1221" spans="12:13" x14ac:dyDescent="0.2">
      <c r="L1221" s="4">
        <v>1215</v>
      </c>
      <c r="M1221" s="21">
        <v>-35149.527303874085</v>
      </c>
    </row>
    <row r="1222" spans="12:13" x14ac:dyDescent="0.2">
      <c r="L1222" s="4">
        <v>1216</v>
      </c>
      <c r="M1222" s="21">
        <v>140175.71402735452</v>
      </c>
    </row>
    <row r="1223" spans="12:13" x14ac:dyDescent="0.2">
      <c r="L1223" s="4">
        <v>1217</v>
      </c>
      <c r="M1223" s="21">
        <v>154836.60213347594</v>
      </c>
    </row>
    <row r="1224" spans="12:13" x14ac:dyDescent="0.2">
      <c r="L1224" s="4">
        <v>1218</v>
      </c>
      <c r="M1224" s="21">
        <v>488854.03056332713</v>
      </c>
    </row>
    <row r="1225" spans="12:13" x14ac:dyDescent="0.2">
      <c r="L1225" s="4">
        <v>1219</v>
      </c>
      <c r="M1225" s="21">
        <v>200875.09523462673</v>
      </c>
    </row>
    <row r="1226" spans="12:13" x14ac:dyDescent="0.2">
      <c r="L1226" s="4">
        <v>1220</v>
      </c>
      <c r="M1226" s="21">
        <v>-205720.36967055226</v>
      </c>
    </row>
    <row r="1227" spans="12:13" x14ac:dyDescent="0.2">
      <c r="L1227" s="4">
        <v>1221</v>
      </c>
      <c r="M1227" s="21">
        <v>106223.72769488327</v>
      </c>
    </row>
    <row r="1228" spans="12:13" x14ac:dyDescent="0.2">
      <c r="L1228" s="4">
        <v>1222</v>
      </c>
      <c r="M1228" s="21">
        <v>-5303.0373101359874</v>
      </c>
    </row>
    <row r="1229" spans="12:13" x14ac:dyDescent="0.2">
      <c r="L1229" s="4">
        <v>1223</v>
      </c>
      <c r="M1229" s="21">
        <v>-111625.21653103289</v>
      </c>
    </row>
    <row r="1230" spans="12:13" x14ac:dyDescent="0.2">
      <c r="L1230" s="4">
        <v>1224</v>
      </c>
      <c r="M1230" s="21">
        <v>198232.5226100607</v>
      </c>
    </row>
    <row r="1231" spans="12:13" x14ac:dyDescent="0.2">
      <c r="L1231" s="4">
        <v>1225</v>
      </c>
      <c r="M1231" s="21">
        <v>-91416.002007998919</v>
      </c>
    </row>
    <row r="1232" spans="12:13" x14ac:dyDescent="0.2">
      <c r="L1232" s="4">
        <v>1226</v>
      </c>
      <c r="M1232" s="21">
        <v>2957.2032584169065</v>
      </c>
    </row>
    <row r="1233" spans="12:13" x14ac:dyDescent="0.2">
      <c r="L1233" s="4">
        <v>1227</v>
      </c>
      <c r="M1233" s="21">
        <v>43633.205463948107</v>
      </c>
    </row>
    <row r="1234" spans="12:13" x14ac:dyDescent="0.2">
      <c r="L1234" s="4">
        <v>1228</v>
      </c>
      <c r="M1234" s="21">
        <v>167038.84706825248</v>
      </c>
    </row>
    <row r="1235" spans="12:13" x14ac:dyDescent="0.2">
      <c r="L1235" s="4">
        <v>1229</v>
      </c>
      <c r="M1235" s="21">
        <v>44635.950194463745</v>
      </c>
    </row>
    <row r="1236" spans="12:13" x14ac:dyDescent="0.2">
      <c r="L1236" s="4">
        <v>1230</v>
      </c>
      <c r="M1236" s="21">
        <v>-117658.32811745451</v>
      </c>
    </row>
    <row r="1237" spans="12:13" x14ac:dyDescent="0.2">
      <c r="L1237" s="4">
        <v>1231</v>
      </c>
      <c r="M1237" s="21">
        <v>111847.29323743511</v>
      </c>
    </row>
    <row r="1238" spans="12:13" x14ac:dyDescent="0.2">
      <c r="L1238" s="4">
        <v>1232</v>
      </c>
      <c r="M1238" s="21">
        <v>150795.10767193863</v>
      </c>
    </row>
    <row r="1239" spans="12:13" x14ac:dyDescent="0.2">
      <c r="L1239" s="4">
        <v>1233</v>
      </c>
      <c r="M1239" s="21">
        <v>581826.33729368879</v>
      </c>
    </row>
    <row r="1240" spans="12:13" x14ac:dyDescent="0.2">
      <c r="L1240" s="4">
        <v>1234</v>
      </c>
      <c r="M1240" s="21">
        <v>140578.02596700596</v>
      </c>
    </row>
    <row r="1241" spans="12:13" x14ac:dyDescent="0.2">
      <c r="L1241" s="4">
        <v>1235</v>
      </c>
      <c r="M1241" s="21">
        <v>59494.265542700188</v>
      </c>
    </row>
    <row r="1242" spans="12:13" x14ac:dyDescent="0.2">
      <c r="L1242" s="4">
        <v>1236</v>
      </c>
      <c r="M1242" s="21">
        <v>278601.89762163721</v>
      </c>
    </row>
    <row r="1243" spans="12:13" x14ac:dyDescent="0.2">
      <c r="L1243" s="4">
        <v>1237</v>
      </c>
      <c r="M1243" s="21">
        <v>104072.00731474164</v>
      </c>
    </row>
    <row r="1244" spans="12:13" x14ac:dyDescent="0.2">
      <c r="L1244" s="4">
        <v>1238</v>
      </c>
      <c r="M1244" s="21">
        <v>-357410.82603787864</v>
      </c>
    </row>
    <row r="1245" spans="12:13" x14ac:dyDescent="0.2">
      <c r="L1245" s="4">
        <v>1239</v>
      </c>
      <c r="M1245" s="21">
        <v>59349.101860384835</v>
      </c>
    </row>
    <row r="1246" spans="12:13" x14ac:dyDescent="0.2">
      <c r="L1246" s="4">
        <v>1240</v>
      </c>
      <c r="M1246" s="21">
        <v>284359.46322364372</v>
      </c>
    </row>
    <row r="1247" spans="12:13" x14ac:dyDescent="0.2">
      <c r="L1247" s="4">
        <v>1241</v>
      </c>
      <c r="M1247" s="21">
        <v>81243.811098186445</v>
      </c>
    </row>
    <row r="1248" spans="12:13" x14ac:dyDescent="0.2">
      <c r="L1248" s="4">
        <v>1242</v>
      </c>
      <c r="M1248" s="21">
        <v>-7024.8417393862765</v>
      </c>
    </row>
    <row r="1249" spans="12:13" x14ac:dyDescent="0.2">
      <c r="L1249" s="4">
        <v>1243</v>
      </c>
      <c r="M1249" s="21">
        <v>-355085.26380599895</v>
      </c>
    </row>
    <row r="1250" spans="12:13" x14ac:dyDescent="0.2">
      <c r="L1250" s="4">
        <v>1244</v>
      </c>
      <c r="M1250" s="21">
        <v>100945.15619982706</v>
      </c>
    </row>
    <row r="1251" spans="12:13" x14ac:dyDescent="0.2">
      <c r="L1251" s="4">
        <v>1245</v>
      </c>
      <c r="M1251" s="21">
        <v>-275371.18331051065</v>
      </c>
    </row>
    <row r="1252" spans="12:13" x14ac:dyDescent="0.2">
      <c r="L1252" s="4">
        <v>1246</v>
      </c>
      <c r="M1252" s="21">
        <v>410453.91367239412</v>
      </c>
    </row>
    <row r="1253" spans="12:13" x14ac:dyDescent="0.2">
      <c r="L1253" s="4">
        <v>1247</v>
      </c>
      <c r="M1253" s="21">
        <v>-36131.880740685272</v>
      </c>
    </row>
    <row r="1254" spans="12:13" x14ac:dyDescent="0.2">
      <c r="L1254" s="4">
        <v>1248</v>
      </c>
      <c r="M1254" s="21">
        <v>3435.8708186501171</v>
      </c>
    </row>
    <row r="1255" spans="12:13" x14ac:dyDescent="0.2">
      <c r="L1255" s="4">
        <v>1249</v>
      </c>
      <c r="M1255" s="21">
        <v>-255606.06038645608</v>
      </c>
    </row>
    <row r="1256" spans="12:13" x14ac:dyDescent="0.2">
      <c r="L1256" s="4">
        <v>1250</v>
      </c>
      <c r="M1256" s="21">
        <v>193178.85173656291</v>
      </c>
    </row>
    <row r="1257" spans="12:13" x14ac:dyDescent="0.2">
      <c r="L1257" s="4">
        <v>1251</v>
      </c>
      <c r="M1257" s="21">
        <v>58985.348127867852</v>
      </c>
    </row>
    <row r="1258" spans="12:13" x14ac:dyDescent="0.2">
      <c r="L1258" s="4">
        <v>1252</v>
      </c>
      <c r="M1258" s="21">
        <v>403682.2791751427</v>
      </c>
    </row>
    <row r="1259" spans="12:13" x14ac:dyDescent="0.2">
      <c r="L1259" s="4">
        <v>1253</v>
      </c>
      <c r="M1259" s="21">
        <v>-94552.055071846058</v>
      </c>
    </row>
    <row r="1260" spans="12:13" x14ac:dyDescent="0.2">
      <c r="L1260" s="4">
        <v>1254</v>
      </c>
      <c r="M1260" s="21">
        <v>22951.986501499661</v>
      </c>
    </row>
    <row r="1261" spans="12:13" x14ac:dyDescent="0.2">
      <c r="L1261" s="4">
        <v>1255</v>
      </c>
      <c r="M1261" s="21">
        <v>33594.817769849353</v>
      </c>
    </row>
    <row r="1262" spans="12:13" x14ac:dyDescent="0.2">
      <c r="L1262" s="4">
        <v>1256</v>
      </c>
      <c r="M1262" s="21">
        <v>333653.62296199257</v>
      </c>
    </row>
    <row r="1263" spans="12:13" x14ac:dyDescent="0.2">
      <c r="L1263" s="4">
        <v>1257</v>
      </c>
      <c r="M1263" s="21">
        <v>127387.77244852652</v>
      </c>
    </row>
    <row r="1264" spans="12:13" x14ac:dyDescent="0.2">
      <c r="L1264" s="4">
        <v>1258</v>
      </c>
      <c r="M1264" s="21">
        <v>-120061.54474458791</v>
      </c>
    </row>
    <row r="1265" spans="12:13" x14ac:dyDescent="0.2">
      <c r="L1265" s="4">
        <v>1259</v>
      </c>
      <c r="M1265" s="21">
        <v>456867.8152896656</v>
      </c>
    </row>
    <row r="1266" spans="12:13" x14ac:dyDescent="0.2">
      <c r="L1266" s="4">
        <v>1260</v>
      </c>
      <c r="M1266" s="21">
        <v>3888.7546229527215</v>
      </c>
    </row>
    <row r="1267" spans="12:13" x14ac:dyDescent="0.2">
      <c r="L1267" s="4">
        <v>1261</v>
      </c>
      <c r="M1267" s="21">
        <v>64272.933189527277</v>
      </c>
    </row>
    <row r="1268" spans="12:13" x14ac:dyDescent="0.2">
      <c r="L1268" s="4">
        <v>1262</v>
      </c>
      <c r="M1268" s="21">
        <v>101352.11644154435</v>
      </c>
    </row>
    <row r="1269" spans="12:13" x14ac:dyDescent="0.2">
      <c r="L1269" s="4">
        <v>1263</v>
      </c>
      <c r="M1269" s="21">
        <v>-35261.398546211771</v>
      </c>
    </row>
    <row r="1270" spans="12:13" x14ac:dyDescent="0.2">
      <c r="L1270" s="4">
        <v>1264</v>
      </c>
      <c r="M1270" s="21">
        <v>-36346.4304633539</v>
      </c>
    </row>
    <row r="1271" spans="12:13" x14ac:dyDescent="0.2">
      <c r="L1271" s="4">
        <v>1265</v>
      </c>
      <c r="M1271" s="21">
        <v>10295.713255181123</v>
      </c>
    </row>
    <row r="1272" spans="12:13" x14ac:dyDescent="0.2">
      <c r="L1272" s="4">
        <v>1266</v>
      </c>
      <c r="M1272" s="21">
        <v>-59935.166790645453</v>
      </c>
    </row>
    <row r="1273" spans="12:13" x14ac:dyDescent="0.2">
      <c r="L1273" s="4">
        <v>1267</v>
      </c>
      <c r="M1273" s="21">
        <v>38164.06340546711</v>
      </c>
    </row>
    <row r="1274" spans="12:13" x14ac:dyDescent="0.2">
      <c r="L1274" s="4">
        <v>1268</v>
      </c>
      <c r="M1274" s="21">
        <v>-93034.388166174569</v>
      </c>
    </row>
    <row r="1275" spans="12:13" x14ac:dyDescent="0.2">
      <c r="L1275" s="4">
        <v>1269</v>
      </c>
      <c r="M1275" s="21">
        <v>-188652.20663123694</v>
      </c>
    </row>
    <row r="1276" spans="12:13" x14ac:dyDescent="0.2">
      <c r="L1276" s="4">
        <v>1270</v>
      </c>
      <c r="M1276" s="21">
        <v>77427.582312596234</v>
      </c>
    </row>
    <row r="1277" spans="12:13" x14ac:dyDescent="0.2">
      <c r="L1277" s="4">
        <v>1271</v>
      </c>
      <c r="M1277" s="21">
        <v>-100391.84497127125</v>
      </c>
    </row>
    <row r="1278" spans="12:13" x14ac:dyDescent="0.2">
      <c r="L1278" s="4">
        <v>1272</v>
      </c>
      <c r="M1278" s="21">
        <v>-145052.1306347007</v>
      </c>
    </row>
    <row r="1279" spans="12:13" x14ac:dyDescent="0.2">
      <c r="L1279" s="4">
        <v>1273</v>
      </c>
      <c r="M1279" s="21">
        <v>-102383.99443727161</v>
      </c>
    </row>
    <row r="1280" spans="12:13" x14ac:dyDescent="0.2">
      <c r="L1280" s="4">
        <v>1274</v>
      </c>
      <c r="M1280" s="21">
        <v>3997.360383804742</v>
      </c>
    </row>
    <row r="1281" spans="12:13" x14ac:dyDescent="0.2">
      <c r="L1281" s="4">
        <v>1275</v>
      </c>
      <c r="M1281" s="21">
        <v>-139665.04893255071</v>
      </c>
    </row>
    <row r="1282" spans="12:13" x14ac:dyDescent="0.2">
      <c r="L1282" s="4">
        <v>1276</v>
      </c>
      <c r="M1282" s="21">
        <v>-3317.0827539538295</v>
      </c>
    </row>
    <row r="1283" spans="12:13" x14ac:dyDescent="0.2">
      <c r="L1283" s="4">
        <v>1277</v>
      </c>
      <c r="M1283" s="21">
        <v>138265.53379204735</v>
      </c>
    </row>
    <row r="1284" spans="12:13" x14ac:dyDescent="0.2">
      <c r="L1284" s="4">
        <v>1278</v>
      </c>
      <c r="M1284" s="21">
        <v>-131930.38598543673</v>
      </c>
    </row>
    <row r="1285" spans="12:13" x14ac:dyDescent="0.2">
      <c r="L1285" s="4">
        <v>1279</v>
      </c>
      <c r="M1285" s="21">
        <v>321190.71696987178</v>
      </c>
    </row>
    <row r="1286" spans="12:13" x14ac:dyDescent="0.2">
      <c r="L1286" s="4">
        <v>1280</v>
      </c>
      <c r="M1286" s="21">
        <v>-3486.157068635599</v>
      </c>
    </row>
    <row r="1287" spans="12:13" x14ac:dyDescent="0.2">
      <c r="L1287" s="4">
        <v>1281</v>
      </c>
      <c r="M1287" s="21">
        <v>140233.8957016514</v>
      </c>
    </row>
    <row r="1288" spans="12:13" x14ac:dyDescent="0.2">
      <c r="L1288" s="4">
        <v>1282</v>
      </c>
      <c r="M1288" s="21">
        <v>92182.32162212822</v>
      </c>
    </row>
    <row r="1289" spans="12:13" x14ac:dyDescent="0.2">
      <c r="L1289" s="4">
        <v>1283</v>
      </c>
      <c r="M1289" s="21">
        <v>-216106.62261200248</v>
      </c>
    </row>
    <row r="1290" spans="12:13" x14ac:dyDescent="0.2">
      <c r="L1290" s="4">
        <v>1284</v>
      </c>
      <c r="M1290" s="21">
        <v>53666.54123538814</v>
      </c>
    </row>
    <row r="1291" spans="12:13" x14ac:dyDescent="0.2">
      <c r="L1291" s="4">
        <v>1285</v>
      </c>
      <c r="M1291" s="21">
        <v>780454.83491024189</v>
      </c>
    </row>
    <row r="1292" spans="12:13" x14ac:dyDescent="0.2">
      <c r="L1292" s="4">
        <v>1286</v>
      </c>
      <c r="M1292" s="21">
        <v>-184467.01164242203</v>
      </c>
    </row>
    <row r="1293" spans="12:13" x14ac:dyDescent="0.2">
      <c r="L1293" s="4">
        <v>1287</v>
      </c>
      <c r="M1293" s="21">
        <v>252068.61955026074</v>
      </c>
    </row>
    <row r="1294" spans="12:13" x14ac:dyDescent="0.2">
      <c r="L1294" s="4">
        <v>1288</v>
      </c>
      <c r="M1294" s="21">
        <v>289070.22336747946</v>
      </c>
    </row>
    <row r="1295" spans="12:13" x14ac:dyDescent="0.2">
      <c r="L1295" s="4">
        <v>1289</v>
      </c>
      <c r="M1295" s="21">
        <v>196580.12438182576</v>
      </c>
    </row>
    <row r="1296" spans="12:13" x14ac:dyDescent="0.2">
      <c r="L1296" s="4">
        <v>1290</v>
      </c>
      <c r="M1296" s="21">
        <v>46334.698473612953</v>
      </c>
    </row>
    <row r="1297" spans="12:13" x14ac:dyDescent="0.2">
      <c r="L1297" s="4">
        <v>1291</v>
      </c>
      <c r="M1297" s="21">
        <v>49000.500780888979</v>
      </c>
    </row>
    <row r="1298" spans="12:13" x14ac:dyDescent="0.2">
      <c r="L1298" s="4">
        <v>1292</v>
      </c>
      <c r="M1298" s="21">
        <v>-174352.79396454856</v>
      </c>
    </row>
    <row r="1299" spans="12:13" x14ac:dyDescent="0.2">
      <c r="L1299" s="4">
        <v>1293</v>
      </c>
      <c r="M1299" s="21">
        <v>109732.66915285125</v>
      </c>
    </row>
    <row r="1300" spans="12:13" x14ac:dyDescent="0.2">
      <c r="L1300" s="4">
        <v>1294</v>
      </c>
      <c r="M1300" s="21">
        <v>246043.49683649052</v>
      </c>
    </row>
    <row r="1301" spans="12:13" x14ac:dyDescent="0.2">
      <c r="L1301" s="4">
        <v>1295</v>
      </c>
      <c r="M1301" s="21">
        <v>65730.338232658745</v>
      </c>
    </row>
    <row r="1302" spans="12:13" x14ac:dyDescent="0.2">
      <c r="L1302" s="4">
        <v>1296</v>
      </c>
      <c r="M1302" s="21">
        <v>-68031.370249520958</v>
      </c>
    </row>
    <row r="1303" spans="12:13" x14ac:dyDescent="0.2">
      <c r="L1303" s="4">
        <v>1297</v>
      </c>
      <c r="M1303" s="21">
        <v>-233761.34320504824</v>
      </c>
    </row>
    <row r="1304" spans="12:13" x14ac:dyDescent="0.2">
      <c r="L1304" s="4">
        <v>1298</v>
      </c>
      <c r="M1304" s="21">
        <v>89997.463259170501</v>
      </c>
    </row>
    <row r="1305" spans="12:13" x14ac:dyDescent="0.2">
      <c r="L1305" s="4">
        <v>1299</v>
      </c>
      <c r="M1305" s="21">
        <v>-265450.69336601614</v>
      </c>
    </row>
    <row r="1306" spans="12:13" x14ac:dyDescent="0.2">
      <c r="L1306" s="4">
        <v>1300</v>
      </c>
      <c r="M1306" s="21">
        <v>-186509.90755110147</v>
      </c>
    </row>
    <row r="1307" spans="12:13" x14ac:dyDescent="0.2">
      <c r="L1307" s="4">
        <v>1301</v>
      </c>
      <c r="M1307" s="21">
        <v>59080.237179464864</v>
      </c>
    </row>
    <row r="1308" spans="12:13" x14ac:dyDescent="0.2">
      <c r="L1308" s="4">
        <v>1302</v>
      </c>
      <c r="M1308" s="21">
        <v>641871.68180379074</v>
      </c>
    </row>
    <row r="1309" spans="12:13" x14ac:dyDescent="0.2">
      <c r="L1309" s="4">
        <v>1303</v>
      </c>
      <c r="M1309" s="21">
        <v>313697.76269603369</v>
      </c>
    </row>
    <row r="1310" spans="12:13" x14ac:dyDescent="0.2">
      <c r="L1310" s="4">
        <v>1304</v>
      </c>
      <c r="M1310" s="21">
        <v>220172.74867169582</v>
      </c>
    </row>
    <row r="1311" spans="12:13" x14ac:dyDescent="0.2">
      <c r="L1311" s="4">
        <v>1305</v>
      </c>
      <c r="M1311" s="21">
        <v>-69133.419733056697</v>
      </c>
    </row>
    <row r="1312" spans="12:13" x14ac:dyDescent="0.2">
      <c r="L1312" s="4">
        <v>1306</v>
      </c>
      <c r="M1312" s="21">
        <v>-172870.841861722</v>
      </c>
    </row>
    <row r="1313" spans="12:13" x14ac:dyDescent="0.2">
      <c r="L1313" s="4">
        <v>1307</v>
      </c>
      <c r="M1313" s="21">
        <v>87582.428972785245</v>
      </c>
    </row>
    <row r="1314" spans="12:13" x14ac:dyDescent="0.2">
      <c r="L1314" s="4">
        <v>1308</v>
      </c>
      <c r="M1314" s="21">
        <v>480934.90485489101</v>
      </c>
    </row>
    <row r="1315" spans="12:13" x14ac:dyDescent="0.2">
      <c r="L1315" s="4">
        <v>1309</v>
      </c>
      <c r="M1315" s="21">
        <v>-110092.64157529264</v>
      </c>
    </row>
    <row r="1316" spans="12:13" x14ac:dyDescent="0.2">
      <c r="L1316" s="4">
        <v>1310</v>
      </c>
      <c r="M1316" s="21">
        <v>-56924.193509453369</v>
      </c>
    </row>
    <row r="1317" spans="12:13" x14ac:dyDescent="0.2">
      <c r="L1317" s="4">
        <v>1311</v>
      </c>
      <c r="M1317" s="21">
        <v>-167930.8351609669</v>
      </c>
    </row>
    <row r="1318" spans="12:13" x14ac:dyDescent="0.2">
      <c r="L1318" s="4">
        <v>1312</v>
      </c>
      <c r="M1318" s="21">
        <v>99122.847649525735</v>
      </c>
    </row>
    <row r="1319" spans="12:13" x14ac:dyDescent="0.2">
      <c r="L1319" s="4">
        <v>1313</v>
      </c>
      <c r="M1319" s="21">
        <v>-143365.99277284552</v>
      </c>
    </row>
    <row r="1320" spans="12:13" x14ac:dyDescent="0.2">
      <c r="L1320" s="4">
        <v>1314</v>
      </c>
      <c r="M1320" s="21">
        <v>443585.74504688941</v>
      </c>
    </row>
    <row r="1321" spans="12:13" x14ac:dyDescent="0.2">
      <c r="L1321" s="4">
        <v>1315</v>
      </c>
      <c r="M1321" s="21">
        <v>-30297.143286338993</v>
      </c>
    </row>
    <row r="1322" spans="12:13" x14ac:dyDescent="0.2">
      <c r="L1322" s="4">
        <v>1316</v>
      </c>
      <c r="M1322" s="21">
        <v>158583.96048563049</v>
      </c>
    </row>
    <row r="1323" spans="12:13" x14ac:dyDescent="0.2">
      <c r="L1323" s="4">
        <v>1317</v>
      </c>
      <c r="M1323" s="21">
        <v>119564.53592914814</v>
      </c>
    </row>
    <row r="1324" spans="12:13" x14ac:dyDescent="0.2">
      <c r="L1324" s="4">
        <v>1318</v>
      </c>
      <c r="M1324" s="21">
        <v>-76435.172101690579</v>
      </c>
    </row>
    <row r="1325" spans="12:13" x14ac:dyDescent="0.2">
      <c r="L1325" s="4">
        <v>1319</v>
      </c>
      <c r="M1325" s="21">
        <v>91007.389227542997</v>
      </c>
    </row>
    <row r="1326" spans="12:13" x14ac:dyDescent="0.2">
      <c r="L1326" s="4">
        <v>1320</v>
      </c>
      <c r="M1326" s="21">
        <v>204122.51117122991</v>
      </c>
    </row>
    <row r="1327" spans="12:13" x14ac:dyDescent="0.2">
      <c r="L1327" s="4">
        <v>1321</v>
      </c>
      <c r="M1327" s="21">
        <v>-388641.81386754761</v>
      </c>
    </row>
    <row r="1328" spans="12:13" x14ac:dyDescent="0.2">
      <c r="L1328" s="4">
        <v>1322</v>
      </c>
      <c r="M1328" s="21">
        <v>50586.865549009002</v>
      </c>
    </row>
    <row r="1329" spans="12:13" x14ac:dyDescent="0.2">
      <c r="L1329" s="4">
        <v>1323</v>
      </c>
      <c r="M1329" s="21">
        <v>298984.85801520024</v>
      </c>
    </row>
    <row r="1330" spans="12:13" x14ac:dyDescent="0.2">
      <c r="L1330" s="4">
        <v>1324</v>
      </c>
      <c r="M1330" s="21">
        <v>322612.58598653978</v>
      </c>
    </row>
    <row r="1331" spans="12:13" x14ac:dyDescent="0.2">
      <c r="L1331" s="4">
        <v>1325</v>
      </c>
      <c r="M1331" s="21">
        <v>177977.00039670346</v>
      </c>
    </row>
    <row r="1332" spans="12:13" x14ac:dyDescent="0.2">
      <c r="L1332" s="4">
        <v>1326</v>
      </c>
      <c r="M1332" s="21">
        <v>289494.84645945806</v>
      </c>
    </row>
    <row r="1333" spans="12:13" x14ac:dyDescent="0.2">
      <c r="L1333" s="4">
        <v>1327</v>
      </c>
      <c r="M1333" s="21">
        <v>-21949.114746031541</v>
      </c>
    </row>
    <row r="1334" spans="12:13" x14ac:dyDescent="0.2">
      <c r="L1334" s="4">
        <v>1328</v>
      </c>
      <c r="M1334" s="21">
        <v>72534.101735863223</v>
      </c>
    </row>
    <row r="1335" spans="12:13" x14ac:dyDescent="0.2">
      <c r="L1335" s="4">
        <v>1329</v>
      </c>
      <c r="M1335" s="21">
        <v>403228.9602193773</v>
      </c>
    </row>
    <row r="1336" spans="12:13" x14ac:dyDescent="0.2">
      <c r="L1336" s="4">
        <v>1330</v>
      </c>
      <c r="M1336" s="21">
        <v>29520.604857534083</v>
      </c>
    </row>
    <row r="1337" spans="12:13" x14ac:dyDescent="0.2">
      <c r="L1337" s="4">
        <v>1331</v>
      </c>
      <c r="M1337" s="21">
        <v>146140.60557041076</v>
      </c>
    </row>
    <row r="1338" spans="12:13" x14ac:dyDescent="0.2">
      <c r="L1338" s="4">
        <v>1332</v>
      </c>
      <c r="M1338" s="21">
        <v>15965.568027661415</v>
      </c>
    </row>
    <row r="1339" spans="12:13" x14ac:dyDescent="0.2">
      <c r="L1339" s="4">
        <v>1333</v>
      </c>
      <c r="M1339" s="21">
        <v>106942.53497159161</v>
      </c>
    </row>
    <row r="1340" spans="12:13" x14ac:dyDescent="0.2">
      <c r="L1340" s="4">
        <v>1334</v>
      </c>
      <c r="M1340" s="21">
        <v>-246498.00115972487</v>
      </c>
    </row>
    <row r="1341" spans="12:13" x14ac:dyDescent="0.2">
      <c r="L1341" s="4">
        <v>1335</v>
      </c>
      <c r="M1341" s="21">
        <v>-244175.02270294167</v>
      </c>
    </row>
    <row r="1342" spans="12:13" x14ac:dyDescent="0.2">
      <c r="L1342" s="4">
        <v>1336</v>
      </c>
      <c r="M1342" s="21">
        <v>241036.445341641</v>
      </c>
    </row>
    <row r="1343" spans="12:13" x14ac:dyDescent="0.2">
      <c r="L1343" s="4">
        <v>1337</v>
      </c>
      <c r="M1343" s="21">
        <v>7755.4343518863025</v>
      </c>
    </row>
    <row r="1344" spans="12:13" x14ac:dyDescent="0.2">
      <c r="L1344" s="4">
        <v>1338</v>
      </c>
      <c r="M1344" s="21">
        <v>92536.437749275938</v>
      </c>
    </row>
    <row r="1345" spans="12:13" x14ac:dyDescent="0.2">
      <c r="L1345" s="4">
        <v>1339</v>
      </c>
      <c r="M1345" s="21">
        <v>-24386.482275769435</v>
      </c>
    </row>
    <row r="1346" spans="12:13" x14ac:dyDescent="0.2">
      <c r="L1346" s="4">
        <v>1340</v>
      </c>
      <c r="M1346" s="21">
        <v>-141041.3531608831</v>
      </c>
    </row>
    <row r="1347" spans="12:13" x14ac:dyDescent="0.2">
      <c r="L1347" s="4">
        <v>1341</v>
      </c>
      <c r="M1347" s="21">
        <v>-98543.421601469323</v>
      </c>
    </row>
    <row r="1348" spans="12:13" x14ac:dyDescent="0.2">
      <c r="L1348" s="4">
        <v>1342</v>
      </c>
      <c r="M1348" s="21">
        <v>-326957.00002532388</v>
      </c>
    </row>
    <row r="1349" spans="12:13" x14ac:dyDescent="0.2">
      <c r="L1349" s="4">
        <v>1343</v>
      </c>
      <c r="M1349" s="21">
        <v>-69417.111886660743</v>
      </c>
    </row>
    <row r="1350" spans="12:13" x14ac:dyDescent="0.2">
      <c r="L1350" s="4">
        <v>1344</v>
      </c>
      <c r="M1350" s="21">
        <v>68318.683896362636</v>
      </c>
    </row>
    <row r="1351" spans="12:13" x14ac:dyDescent="0.2">
      <c r="L1351" s="4">
        <v>1345</v>
      </c>
      <c r="M1351" s="21">
        <v>-347036.5375280591</v>
      </c>
    </row>
    <row r="1352" spans="12:13" x14ac:dyDescent="0.2">
      <c r="L1352" s="4">
        <v>1346</v>
      </c>
      <c r="M1352" s="21">
        <v>186618.92058760329</v>
      </c>
    </row>
    <row r="1353" spans="12:13" x14ac:dyDescent="0.2">
      <c r="L1353" s="4">
        <v>1347</v>
      </c>
      <c r="M1353" s="21">
        <v>146181.87417147987</v>
      </c>
    </row>
    <row r="1354" spans="12:13" x14ac:dyDescent="0.2">
      <c r="L1354" s="4">
        <v>1348</v>
      </c>
      <c r="M1354" s="21">
        <v>63924.623626016837</v>
      </c>
    </row>
    <row r="1355" spans="12:13" x14ac:dyDescent="0.2">
      <c r="L1355" s="4">
        <v>1349</v>
      </c>
      <c r="M1355" s="21">
        <v>229265.2011909367</v>
      </c>
    </row>
    <row r="1356" spans="12:13" x14ac:dyDescent="0.2">
      <c r="L1356" s="4">
        <v>1350</v>
      </c>
      <c r="M1356" s="21">
        <v>-166513.10415303888</v>
      </c>
    </row>
    <row r="1357" spans="12:13" x14ac:dyDescent="0.2">
      <c r="L1357" s="4">
        <v>1351</v>
      </c>
      <c r="M1357" s="21">
        <v>-335479.87925634952</v>
      </c>
    </row>
    <row r="1358" spans="12:13" x14ac:dyDescent="0.2">
      <c r="L1358" s="4">
        <v>1352</v>
      </c>
      <c r="M1358" s="21">
        <v>-111089.38207269953</v>
      </c>
    </row>
    <row r="1359" spans="12:13" x14ac:dyDescent="0.2">
      <c r="L1359" s="4">
        <v>1353</v>
      </c>
      <c r="M1359" s="21">
        <v>-21385.22784724347</v>
      </c>
    </row>
    <row r="1360" spans="12:13" x14ac:dyDescent="0.2">
      <c r="L1360" s="4">
        <v>1354</v>
      </c>
      <c r="M1360" s="21">
        <v>-82663.382768135474</v>
      </c>
    </row>
    <row r="1361" spans="12:13" x14ac:dyDescent="0.2">
      <c r="L1361" s="4">
        <v>1355</v>
      </c>
      <c r="M1361" s="21">
        <v>109247.80796259057</v>
      </c>
    </row>
    <row r="1362" spans="12:13" x14ac:dyDescent="0.2">
      <c r="L1362" s="4">
        <v>1356</v>
      </c>
      <c r="M1362" s="21">
        <v>-224536.96909875391</v>
      </c>
    </row>
    <row r="1363" spans="12:13" x14ac:dyDescent="0.2">
      <c r="L1363" s="4">
        <v>1357</v>
      </c>
      <c r="M1363" s="21">
        <v>47752.648302343674</v>
      </c>
    </row>
    <row r="1364" spans="12:13" x14ac:dyDescent="0.2">
      <c r="L1364" s="4">
        <v>1358</v>
      </c>
      <c r="M1364" s="21">
        <v>126954.45731242729</v>
      </c>
    </row>
    <row r="1365" spans="12:13" x14ac:dyDescent="0.2">
      <c r="L1365" s="4">
        <v>1359</v>
      </c>
      <c r="M1365" s="21">
        <v>-101477.3313074849</v>
      </c>
    </row>
    <row r="1366" spans="12:13" x14ac:dyDescent="0.2">
      <c r="L1366" s="4">
        <v>1360</v>
      </c>
      <c r="M1366" s="21">
        <v>-230932.63923029479</v>
      </c>
    </row>
    <row r="1367" spans="12:13" x14ac:dyDescent="0.2">
      <c r="L1367" s="4">
        <v>1361</v>
      </c>
      <c r="M1367" s="21">
        <v>-166371.23178357162</v>
      </c>
    </row>
    <row r="1368" spans="12:13" x14ac:dyDescent="0.2">
      <c r="L1368" s="4">
        <v>1362</v>
      </c>
      <c r="M1368" s="21">
        <v>-294627.96130142722</v>
      </c>
    </row>
    <row r="1369" spans="12:13" x14ac:dyDescent="0.2">
      <c r="L1369" s="4">
        <v>1363</v>
      </c>
      <c r="M1369" s="21">
        <v>-96486.380950999694</v>
      </c>
    </row>
    <row r="1370" spans="12:13" x14ac:dyDescent="0.2">
      <c r="L1370" s="4">
        <v>1364</v>
      </c>
      <c r="M1370" s="21">
        <v>77551.309752078465</v>
      </c>
    </row>
    <row r="1371" spans="12:13" x14ac:dyDescent="0.2">
      <c r="L1371" s="4">
        <v>1365</v>
      </c>
      <c r="M1371" s="21">
        <v>-202063.15286119559</v>
      </c>
    </row>
    <row r="1372" spans="12:13" x14ac:dyDescent="0.2">
      <c r="L1372" s="4">
        <v>1366</v>
      </c>
      <c r="M1372" s="21">
        <v>-112547.29589464994</v>
      </c>
    </row>
    <row r="1373" spans="12:13" x14ac:dyDescent="0.2">
      <c r="L1373" s="4">
        <v>1367</v>
      </c>
      <c r="M1373" s="21">
        <v>68118.448330067535</v>
      </c>
    </row>
    <row r="1374" spans="12:13" x14ac:dyDescent="0.2">
      <c r="L1374" s="4">
        <v>1368</v>
      </c>
      <c r="M1374" s="21">
        <v>332662.64354875521</v>
      </c>
    </row>
    <row r="1375" spans="12:13" x14ac:dyDescent="0.2">
      <c r="L1375" s="4">
        <v>1369</v>
      </c>
      <c r="M1375" s="21">
        <v>48853.573233628413</v>
      </c>
    </row>
    <row r="1376" spans="12:13" x14ac:dyDescent="0.2">
      <c r="L1376" s="4">
        <v>1370</v>
      </c>
      <c r="M1376" s="21">
        <v>23640.993856314977</v>
      </c>
    </row>
    <row r="1377" spans="12:13" x14ac:dyDescent="0.2">
      <c r="L1377" s="4">
        <v>1371</v>
      </c>
      <c r="M1377" s="21">
        <v>126893.64796811747</v>
      </c>
    </row>
    <row r="1378" spans="12:13" x14ac:dyDescent="0.2">
      <c r="L1378" s="4">
        <v>1372</v>
      </c>
      <c r="M1378" s="21">
        <v>168265.52535074324</v>
      </c>
    </row>
    <row r="1379" spans="12:13" x14ac:dyDescent="0.2">
      <c r="L1379" s="4">
        <v>1373</v>
      </c>
      <c r="M1379" s="21">
        <v>-169861.70897093671</v>
      </c>
    </row>
    <row r="1380" spans="12:13" x14ac:dyDescent="0.2">
      <c r="L1380" s="4">
        <v>1374</v>
      </c>
      <c r="M1380" s="21">
        <v>-227406.41285151654</v>
      </c>
    </row>
    <row r="1381" spans="12:13" x14ac:dyDescent="0.2">
      <c r="L1381" s="4">
        <v>1375</v>
      </c>
      <c r="M1381" s="21">
        <v>-12860.716733102046</v>
      </c>
    </row>
    <row r="1382" spans="12:13" x14ac:dyDescent="0.2">
      <c r="L1382" s="4">
        <v>1376</v>
      </c>
      <c r="M1382" s="21">
        <v>-253352.8394536321</v>
      </c>
    </row>
    <row r="1383" spans="12:13" x14ac:dyDescent="0.2">
      <c r="L1383" s="4">
        <v>1377</v>
      </c>
      <c r="M1383" s="21">
        <v>-153402.06953783377</v>
      </c>
    </row>
    <row r="1384" spans="12:13" x14ac:dyDescent="0.2">
      <c r="L1384" s="4">
        <v>1378</v>
      </c>
      <c r="M1384" s="21">
        <v>-100450.51911373899</v>
      </c>
    </row>
    <row r="1385" spans="12:13" x14ac:dyDescent="0.2">
      <c r="L1385" s="4">
        <v>1379</v>
      </c>
      <c r="M1385" s="21">
        <v>-335727.61660342431</v>
      </c>
    </row>
    <row r="1386" spans="12:13" x14ac:dyDescent="0.2">
      <c r="L1386" s="4">
        <v>1380</v>
      </c>
      <c r="M1386" s="21">
        <v>-31110.369724533841</v>
      </c>
    </row>
    <row r="1387" spans="12:13" x14ac:dyDescent="0.2">
      <c r="L1387" s="4">
        <v>1381</v>
      </c>
      <c r="M1387" s="21">
        <v>331247.19974235183</v>
      </c>
    </row>
    <row r="1388" spans="12:13" x14ac:dyDescent="0.2">
      <c r="L1388" s="4">
        <v>1382</v>
      </c>
      <c r="M1388" s="21">
        <v>253021.10637363209</v>
      </c>
    </row>
    <row r="1389" spans="12:13" x14ac:dyDescent="0.2">
      <c r="L1389" s="4">
        <v>1383</v>
      </c>
      <c r="M1389" s="21">
        <v>118303.03697950215</v>
      </c>
    </row>
    <row r="1390" spans="12:13" x14ac:dyDescent="0.2">
      <c r="L1390" s="4">
        <v>1384</v>
      </c>
      <c r="M1390" s="21">
        <v>-172406.19067647276</v>
      </c>
    </row>
    <row r="1391" spans="12:13" x14ac:dyDescent="0.2">
      <c r="L1391" s="4">
        <v>1385</v>
      </c>
      <c r="M1391" s="21">
        <v>-15733.160259159034</v>
      </c>
    </row>
    <row r="1392" spans="12:13" x14ac:dyDescent="0.2">
      <c r="L1392" s="4">
        <v>1386</v>
      </c>
      <c r="M1392" s="21">
        <v>323670.12959170307</v>
      </c>
    </row>
    <row r="1393" spans="12:13" x14ac:dyDescent="0.2">
      <c r="L1393" s="4">
        <v>1387</v>
      </c>
      <c r="M1393" s="21">
        <v>64010.093625596812</v>
      </c>
    </row>
    <row r="1394" spans="12:13" x14ac:dyDescent="0.2">
      <c r="L1394" s="4">
        <v>1388</v>
      </c>
      <c r="M1394" s="21">
        <v>-25492.785991932047</v>
      </c>
    </row>
    <row r="1395" spans="12:13" x14ac:dyDescent="0.2">
      <c r="L1395" s="4">
        <v>1389</v>
      </c>
      <c r="M1395" s="21">
        <v>64846.970052515826</v>
      </c>
    </row>
    <row r="1396" spans="12:13" x14ac:dyDescent="0.2">
      <c r="L1396" s="4">
        <v>1390</v>
      </c>
      <c r="M1396" s="21">
        <v>180148.34988542084</v>
      </c>
    </row>
    <row r="1397" spans="12:13" x14ac:dyDescent="0.2">
      <c r="L1397" s="4">
        <v>1391</v>
      </c>
      <c r="M1397" s="21">
        <v>366115.05340341502</v>
      </c>
    </row>
    <row r="1398" spans="12:13" x14ac:dyDescent="0.2">
      <c r="L1398" s="4">
        <v>1392</v>
      </c>
      <c r="M1398" s="21">
        <v>196228.91263375568</v>
      </c>
    </row>
    <row r="1399" spans="12:13" x14ac:dyDescent="0.2">
      <c r="L1399" s="4">
        <v>1393</v>
      </c>
      <c r="M1399" s="21">
        <v>127838.78800927228</v>
      </c>
    </row>
    <row r="1400" spans="12:13" x14ac:dyDescent="0.2">
      <c r="L1400" s="4">
        <v>1394</v>
      </c>
      <c r="M1400" s="21">
        <v>197655.88576125147</v>
      </c>
    </row>
    <row r="1401" spans="12:13" x14ac:dyDescent="0.2">
      <c r="L1401" s="4">
        <v>1395</v>
      </c>
      <c r="M1401" s="21">
        <v>29629.910414760961</v>
      </c>
    </row>
    <row r="1402" spans="12:13" x14ac:dyDescent="0.2">
      <c r="L1402" s="4">
        <v>1396</v>
      </c>
      <c r="M1402" s="21">
        <v>-242570.65115096708</v>
      </c>
    </row>
    <row r="1403" spans="12:13" x14ac:dyDescent="0.2">
      <c r="L1403" s="4">
        <v>1397</v>
      </c>
      <c r="M1403" s="21">
        <v>-257065.87126077048</v>
      </c>
    </row>
    <row r="1404" spans="12:13" x14ac:dyDescent="0.2">
      <c r="L1404" s="4">
        <v>1398</v>
      </c>
      <c r="M1404" s="21">
        <v>-147437.83594336011</v>
      </c>
    </row>
    <row r="1405" spans="12:13" x14ac:dyDescent="0.2">
      <c r="L1405" s="4">
        <v>1399</v>
      </c>
      <c r="M1405" s="21">
        <v>471747.3267543437</v>
      </c>
    </row>
    <row r="1406" spans="12:13" x14ac:dyDescent="0.2">
      <c r="L1406" s="4">
        <v>1400</v>
      </c>
      <c r="M1406" s="21">
        <v>2289.3243352248683</v>
      </c>
    </row>
    <row r="1407" spans="12:13" x14ac:dyDescent="0.2">
      <c r="L1407" s="4">
        <v>1401</v>
      </c>
      <c r="M1407" s="21">
        <v>26562.095351289085</v>
      </c>
    </row>
    <row r="1408" spans="12:13" x14ac:dyDescent="0.2">
      <c r="L1408" s="4">
        <v>1402</v>
      </c>
      <c r="M1408" s="21">
        <v>319507.40671444865</v>
      </c>
    </row>
    <row r="1409" spans="12:13" x14ac:dyDescent="0.2">
      <c r="L1409" s="4">
        <v>1403</v>
      </c>
      <c r="M1409" s="21">
        <v>163450.573921334</v>
      </c>
    </row>
    <row r="1410" spans="12:13" x14ac:dyDescent="0.2">
      <c r="L1410" s="4">
        <v>1404</v>
      </c>
      <c r="M1410" s="21">
        <v>39757.050227933651</v>
      </c>
    </row>
    <row r="1411" spans="12:13" x14ac:dyDescent="0.2">
      <c r="L1411" s="4">
        <v>1405</v>
      </c>
      <c r="M1411" s="21">
        <v>-185675.72441457515</v>
      </c>
    </row>
    <row r="1412" spans="12:13" x14ac:dyDescent="0.2">
      <c r="L1412" s="4">
        <v>1406</v>
      </c>
      <c r="M1412" s="21">
        <v>-33404.07960836342</v>
      </c>
    </row>
    <row r="1413" spans="12:13" x14ac:dyDescent="0.2">
      <c r="L1413" s="4">
        <v>1407</v>
      </c>
      <c r="M1413" s="21">
        <v>50948.947989723965</v>
      </c>
    </row>
    <row r="1414" spans="12:13" x14ac:dyDescent="0.2">
      <c r="L1414" s="4">
        <v>1408</v>
      </c>
      <c r="M1414" s="21">
        <v>-406706.14889724745</v>
      </c>
    </row>
    <row r="1415" spans="12:13" x14ac:dyDescent="0.2">
      <c r="L1415" s="4">
        <v>1409</v>
      </c>
      <c r="M1415" s="21">
        <v>436644.41299949342</v>
      </c>
    </row>
    <row r="1416" spans="12:13" x14ac:dyDescent="0.2">
      <c r="L1416" s="4">
        <v>1410</v>
      </c>
      <c r="M1416" s="21">
        <v>-222434.95594534298</v>
      </c>
    </row>
    <row r="1417" spans="12:13" x14ac:dyDescent="0.2">
      <c r="L1417" s="4">
        <v>1411</v>
      </c>
      <c r="M1417" s="21">
        <v>-54960.707822094424</v>
      </c>
    </row>
    <row r="1418" spans="12:13" x14ac:dyDescent="0.2">
      <c r="L1418" s="4">
        <v>1412</v>
      </c>
      <c r="M1418" s="21">
        <v>342023.30189020309</v>
      </c>
    </row>
    <row r="1419" spans="12:13" x14ac:dyDescent="0.2">
      <c r="L1419" s="4">
        <v>1413</v>
      </c>
      <c r="M1419" s="21">
        <v>-83427.27010888634</v>
      </c>
    </row>
    <row r="1420" spans="12:13" x14ac:dyDescent="0.2">
      <c r="L1420" s="4">
        <v>1414</v>
      </c>
      <c r="M1420" s="21">
        <v>168169.30650038703</v>
      </c>
    </row>
    <row r="1421" spans="12:13" x14ac:dyDescent="0.2">
      <c r="L1421" s="4">
        <v>1415</v>
      </c>
      <c r="M1421" s="21">
        <v>70391.34951606614</v>
      </c>
    </row>
    <row r="1422" spans="12:13" x14ac:dyDescent="0.2">
      <c r="L1422" s="4">
        <v>1416</v>
      </c>
      <c r="M1422" s="21">
        <v>-184911.69384663375</v>
      </c>
    </row>
    <row r="1423" spans="12:13" x14ac:dyDescent="0.2">
      <c r="L1423" s="4">
        <v>1417</v>
      </c>
      <c r="M1423" s="21">
        <v>-39701.797043908693</v>
      </c>
    </row>
    <row r="1424" spans="12:13" x14ac:dyDescent="0.2">
      <c r="L1424" s="4">
        <v>1418</v>
      </c>
      <c r="M1424" s="21">
        <v>-181038.3144177107</v>
      </c>
    </row>
    <row r="1425" spans="12:13" x14ac:dyDescent="0.2">
      <c r="L1425" s="4">
        <v>1419</v>
      </c>
      <c r="M1425" s="21">
        <v>267660.95021487598</v>
      </c>
    </row>
    <row r="1426" spans="12:13" x14ac:dyDescent="0.2">
      <c r="L1426" s="4">
        <v>1420</v>
      </c>
      <c r="M1426" s="21">
        <v>44649.577507497917</v>
      </c>
    </row>
    <row r="1427" spans="12:13" x14ac:dyDescent="0.2">
      <c r="L1427" s="4">
        <v>1421</v>
      </c>
      <c r="M1427" s="21">
        <v>-188563.74901729065</v>
      </c>
    </row>
    <row r="1428" spans="12:13" x14ac:dyDescent="0.2">
      <c r="L1428" s="4">
        <v>1422</v>
      </c>
      <c r="M1428" s="21">
        <v>-133410.33935438195</v>
      </c>
    </row>
    <row r="1429" spans="12:13" x14ac:dyDescent="0.2">
      <c r="L1429" s="4">
        <v>1423</v>
      </c>
      <c r="M1429" s="21">
        <v>-176818.74684695026</v>
      </c>
    </row>
    <row r="1430" spans="12:13" x14ac:dyDescent="0.2">
      <c r="L1430" s="4">
        <v>1424</v>
      </c>
      <c r="M1430" s="21">
        <v>-165902.68225051346</v>
      </c>
    </row>
    <row r="1431" spans="12:13" x14ac:dyDescent="0.2">
      <c r="L1431" s="4">
        <v>1425</v>
      </c>
      <c r="M1431" s="21">
        <v>171712.01608928599</v>
      </c>
    </row>
    <row r="1432" spans="12:13" x14ac:dyDescent="0.2">
      <c r="L1432" s="4">
        <v>1426</v>
      </c>
      <c r="M1432" s="21">
        <v>75118.932226332428</v>
      </c>
    </row>
    <row r="1433" spans="12:13" x14ac:dyDescent="0.2">
      <c r="L1433" s="4">
        <v>1427</v>
      </c>
      <c r="M1433" s="21">
        <v>-174751.19210095797</v>
      </c>
    </row>
    <row r="1434" spans="12:13" x14ac:dyDescent="0.2">
      <c r="L1434" s="4">
        <v>1428</v>
      </c>
      <c r="M1434" s="21">
        <v>-215078.51599730417</v>
      </c>
    </row>
    <row r="1435" spans="12:13" x14ac:dyDescent="0.2">
      <c r="L1435" s="4">
        <v>1429</v>
      </c>
      <c r="M1435" s="21">
        <v>118416.90780934802</v>
      </c>
    </row>
    <row r="1436" spans="12:13" x14ac:dyDescent="0.2">
      <c r="L1436" s="4">
        <v>1430</v>
      </c>
      <c r="M1436" s="21">
        <v>-130711.73157736998</v>
      </c>
    </row>
    <row r="1437" spans="12:13" x14ac:dyDescent="0.2">
      <c r="L1437" s="4">
        <v>1431</v>
      </c>
      <c r="M1437" s="21">
        <v>-167129.29442767875</v>
      </c>
    </row>
    <row r="1438" spans="12:13" x14ac:dyDescent="0.2">
      <c r="L1438" s="4">
        <v>1432</v>
      </c>
      <c r="M1438" s="21">
        <v>-193691.39174274035</v>
      </c>
    </row>
    <row r="1439" spans="12:13" x14ac:dyDescent="0.2">
      <c r="L1439" s="4">
        <v>1433</v>
      </c>
      <c r="M1439" s="21">
        <v>90471.868661780347</v>
      </c>
    </row>
    <row r="1440" spans="12:13" x14ac:dyDescent="0.2">
      <c r="L1440" s="4">
        <v>1434</v>
      </c>
      <c r="M1440" s="21">
        <v>147997.04053184771</v>
      </c>
    </row>
    <row r="1441" spans="12:13" x14ac:dyDescent="0.2">
      <c r="L1441" s="4">
        <v>1435</v>
      </c>
      <c r="M1441" s="21">
        <v>-135306.72846811777</v>
      </c>
    </row>
    <row r="1442" spans="12:13" x14ac:dyDescent="0.2">
      <c r="L1442" s="4">
        <v>1436</v>
      </c>
      <c r="M1442" s="21">
        <v>-359929.05230432481</v>
      </c>
    </row>
    <row r="1443" spans="12:13" x14ac:dyDescent="0.2">
      <c r="L1443" s="4">
        <v>1437</v>
      </c>
      <c r="M1443" s="21">
        <v>367136.53638466389</v>
      </c>
    </row>
    <row r="1444" spans="12:13" x14ac:dyDescent="0.2">
      <c r="L1444" s="4">
        <v>1438</v>
      </c>
      <c r="M1444" s="21">
        <v>-217693.84638230235</v>
      </c>
    </row>
    <row r="1445" spans="12:13" x14ac:dyDescent="0.2">
      <c r="L1445" s="4">
        <v>1439</v>
      </c>
      <c r="M1445" s="21">
        <v>156703.73470236975</v>
      </c>
    </row>
    <row r="1446" spans="12:13" x14ac:dyDescent="0.2">
      <c r="L1446" s="4">
        <v>1440</v>
      </c>
      <c r="M1446" s="21">
        <v>-305037.75169033598</v>
      </c>
    </row>
    <row r="1447" spans="12:13" x14ac:dyDescent="0.2">
      <c r="L1447" s="4">
        <v>1441</v>
      </c>
      <c r="M1447" s="21">
        <v>175698.57279787221</v>
      </c>
    </row>
    <row r="1448" spans="12:13" x14ac:dyDescent="0.2">
      <c r="L1448" s="4">
        <v>1442</v>
      </c>
      <c r="M1448" s="21">
        <v>54969.284871214331</v>
      </c>
    </row>
    <row r="1449" spans="12:13" x14ac:dyDescent="0.2">
      <c r="L1449" s="4">
        <v>1443</v>
      </c>
      <c r="M1449" s="21">
        <v>58139.237095850491</v>
      </c>
    </row>
    <row r="1450" spans="12:13" x14ac:dyDescent="0.2">
      <c r="L1450" s="4">
        <v>1444</v>
      </c>
      <c r="M1450" s="21">
        <v>-96648.535871493586</v>
      </c>
    </row>
    <row r="1451" spans="12:13" x14ac:dyDescent="0.2">
      <c r="L1451" s="4">
        <v>1445</v>
      </c>
      <c r="M1451" s="21">
        <v>-19064.867915248207</v>
      </c>
    </row>
    <row r="1452" spans="12:13" x14ac:dyDescent="0.2">
      <c r="L1452" s="4">
        <v>1446</v>
      </c>
      <c r="M1452" s="21">
        <v>-1206.8343430207169</v>
      </c>
    </row>
    <row r="1453" spans="12:13" x14ac:dyDescent="0.2">
      <c r="L1453" s="4">
        <v>1447</v>
      </c>
      <c r="M1453" s="21">
        <v>5030.8197352924908</v>
      </c>
    </row>
    <row r="1454" spans="12:13" x14ac:dyDescent="0.2">
      <c r="L1454" s="4">
        <v>1448</v>
      </c>
      <c r="M1454" s="21">
        <v>81027.6649602385</v>
      </c>
    </row>
    <row r="1455" spans="12:13" x14ac:dyDescent="0.2">
      <c r="L1455" s="4">
        <v>1449</v>
      </c>
      <c r="M1455" s="21">
        <v>105702.02740457063</v>
      </c>
    </row>
    <row r="1456" spans="12:13" x14ac:dyDescent="0.2">
      <c r="L1456" s="4">
        <v>1450</v>
      </c>
      <c r="M1456" s="21">
        <v>5976.9520344727498</v>
      </c>
    </row>
    <row r="1457" spans="12:13" x14ac:dyDescent="0.2">
      <c r="L1457" s="4">
        <v>1451</v>
      </c>
      <c r="M1457" s="21">
        <v>320612.95784956153</v>
      </c>
    </row>
    <row r="1458" spans="12:13" x14ac:dyDescent="0.2">
      <c r="L1458" s="4">
        <v>1452</v>
      </c>
      <c r="M1458" s="21">
        <v>108498.82083601854</v>
      </c>
    </row>
    <row r="1459" spans="12:13" x14ac:dyDescent="0.2">
      <c r="L1459" s="4">
        <v>1453</v>
      </c>
      <c r="M1459" s="21">
        <v>192938.29322925641</v>
      </c>
    </row>
    <row r="1460" spans="12:13" x14ac:dyDescent="0.2">
      <c r="L1460" s="4">
        <v>1454</v>
      </c>
      <c r="M1460" s="21">
        <v>-230201.46962246567</v>
      </c>
    </row>
    <row r="1461" spans="12:13" x14ac:dyDescent="0.2">
      <c r="L1461" s="4">
        <v>1455</v>
      </c>
      <c r="M1461" s="21">
        <v>175317.77330543971</v>
      </c>
    </row>
    <row r="1462" spans="12:13" x14ac:dyDescent="0.2">
      <c r="L1462" s="4">
        <v>1456</v>
      </c>
      <c r="M1462" s="21">
        <v>-71296.181439510547</v>
      </c>
    </row>
    <row r="1463" spans="12:13" x14ac:dyDescent="0.2">
      <c r="L1463" s="4">
        <v>1457</v>
      </c>
      <c r="M1463" s="21">
        <v>239261.94960652789</v>
      </c>
    </row>
    <row r="1464" spans="12:13" x14ac:dyDescent="0.2">
      <c r="L1464" s="4">
        <v>1458</v>
      </c>
      <c r="M1464" s="21">
        <v>193522.99510040376</v>
      </c>
    </row>
    <row r="1465" spans="12:13" x14ac:dyDescent="0.2">
      <c r="L1465" s="4">
        <v>1459</v>
      </c>
      <c r="M1465" s="21">
        <v>248983.59229902754</v>
      </c>
    </row>
    <row r="1466" spans="12:13" x14ac:dyDescent="0.2">
      <c r="L1466" s="4">
        <v>1460</v>
      </c>
      <c r="M1466" s="21">
        <v>-193579.94314513524</v>
      </c>
    </row>
    <row r="1467" spans="12:13" x14ac:dyDescent="0.2">
      <c r="L1467" s="4">
        <v>1461</v>
      </c>
      <c r="M1467" s="21">
        <v>155080.4556803985</v>
      </c>
    </row>
    <row r="1468" spans="12:13" x14ac:dyDescent="0.2">
      <c r="L1468" s="4">
        <v>1462</v>
      </c>
      <c r="M1468" s="21">
        <v>-327093.09838820144</v>
      </c>
    </row>
    <row r="1469" spans="12:13" x14ac:dyDescent="0.2">
      <c r="L1469" s="4">
        <v>1463</v>
      </c>
      <c r="M1469" s="21">
        <v>-85999.021603900605</v>
      </c>
    </row>
    <row r="1470" spans="12:13" x14ac:dyDescent="0.2">
      <c r="L1470" s="4">
        <v>1464</v>
      </c>
      <c r="M1470" s="21">
        <v>-194269.19315359654</v>
      </c>
    </row>
    <row r="1471" spans="12:13" x14ac:dyDescent="0.2">
      <c r="L1471" s="4">
        <v>1465</v>
      </c>
      <c r="M1471" s="21">
        <v>30919.323973696533</v>
      </c>
    </row>
    <row r="1472" spans="12:13" x14ac:dyDescent="0.2">
      <c r="L1472" s="4">
        <v>1466</v>
      </c>
      <c r="M1472" s="21">
        <v>-89512.516668732918</v>
      </c>
    </row>
    <row r="1473" spans="12:13" x14ac:dyDescent="0.2">
      <c r="L1473" s="4">
        <v>1467</v>
      </c>
      <c r="M1473" s="21">
        <v>-476114.12568497245</v>
      </c>
    </row>
    <row r="1474" spans="12:13" x14ac:dyDescent="0.2">
      <c r="L1474" s="4">
        <v>1468</v>
      </c>
      <c r="M1474" s="21">
        <v>412300.02479342034</v>
      </c>
    </row>
    <row r="1475" spans="12:13" x14ac:dyDescent="0.2">
      <c r="L1475" s="4">
        <v>1469</v>
      </c>
      <c r="M1475" s="21">
        <v>171064.00293980661</v>
      </c>
    </row>
    <row r="1476" spans="12:13" x14ac:dyDescent="0.2">
      <c r="L1476" s="4">
        <v>1470</v>
      </c>
      <c r="M1476" s="21">
        <v>13544.965819098667</v>
      </c>
    </row>
    <row r="1477" spans="12:13" x14ac:dyDescent="0.2">
      <c r="L1477" s="4">
        <v>1471</v>
      </c>
      <c r="M1477" s="21">
        <v>-301997.34135402861</v>
      </c>
    </row>
    <row r="1478" spans="12:13" x14ac:dyDescent="0.2">
      <c r="L1478" s="4">
        <v>1472</v>
      </c>
      <c r="M1478" s="21">
        <v>-83582.708087135034</v>
      </c>
    </row>
    <row r="1479" spans="12:13" x14ac:dyDescent="0.2">
      <c r="L1479" s="4">
        <v>1473</v>
      </c>
      <c r="M1479" s="21">
        <v>43938.620071560727</v>
      </c>
    </row>
    <row r="1480" spans="12:13" x14ac:dyDescent="0.2">
      <c r="L1480" s="4">
        <v>1474</v>
      </c>
      <c r="M1480" s="21">
        <v>218086.93664763705</v>
      </c>
    </row>
    <row r="1481" spans="12:13" x14ac:dyDescent="0.2">
      <c r="L1481" s="4">
        <v>1475</v>
      </c>
      <c r="M1481" s="21">
        <v>-149045.71409639399</v>
      </c>
    </row>
    <row r="1482" spans="12:13" x14ac:dyDescent="0.2">
      <c r="L1482" s="4">
        <v>1476</v>
      </c>
      <c r="M1482" s="21">
        <v>-242161.80328441306</v>
      </c>
    </row>
    <row r="1483" spans="12:13" x14ac:dyDescent="0.2">
      <c r="L1483" s="4">
        <v>1477</v>
      </c>
      <c r="M1483" s="21">
        <v>276542.85578542628</v>
      </c>
    </row>
    <row r="1484" spans="12:13" x14ac:dyDescent="0.2">
      <c r="L1484" s="4">
        <v>1478</v>
      </c>
      <c r="M1484" s="21">
        <v>38938.075096806569</v>
      </c>
    </row>
    <row r="1485" spans="12:13" x14ac:dyDescent="0.2">
      <c r="L1485" s="4">
        <v>1479</v>
      </c>
      <c r="M1485" s="21">
        <v>226836.47434046122</v>
      </c>
    </row>
    <row r="1486" spans="12:13" x14ac:dyDescent="0.2">
      <c r="L1486" s="4">
        <v>1480</v>
      </c>
      <c r="M1486" s="21">
        <v>-157961.68041423106</v>
      </c>
    </row>
    <row r="1487" spans="12:13" x14ac:dyDescent="0.2">
      <c r="L1487" s="4">
        <v>1481</v>
      </c>
      <c r="M1487" s="21">
        <v>-153456.5846731714</v>
      </c>
    </row>
    <row r="1488" spans="12:13" x14ac:dyDescent="0.2">
      <c r="L1488" s="4">
        <v>1482</v>
      </c>
      <c r="M1488" s="21">
        <v>470725.6483442873</v>
      </c>
    </row>
    <row r="1489" spans="12:13" x14ac:dyDescent="0.2">
      <c r="L1489" s="4">
        <v>1483</v>
      </c>
      <c r="M1489" s="21">
        <v>-67093.44917578173</v>
      </c>
    </row>
    <row r="1490" spans="12:13" x14ac:dyDescent="0.2">
      <c r="L1490" s="4">
        <v>1484</v>
      </c>
      <c r="M1490" s="21">
        <v>104784.9239442464</v>
      </c>
    </row>
    <row r="1491" spans="12:13" x14ac:dyDescent="0.2">
      <c r="L1491" s="4">
        <v>1485</v>
      </c>
      <c r="M1491" s="21">
        <v>245355.86207579402</v>
      </c>
    </row>
    <row r="1492" spans="12:13" x14ac:dyDescent="0.2">
      <c r="L1492" s="4">
        <v>1486</v>
      </c>
      <c r="M1492" s="21">
        <v>-97828.732686959513</v>
      </c>
    </row>
    <row r="1493" spans="12:13" x14ac:dyDescent="0.2">
      <c r="L1493" s="4">
        <v>1487</v>
      </c>
      <c r="M1493" s="21">
        <v>66617.787906221085</v>
      </c>
    </row>
    <row r="1494" spans="12:13" x14ac:dyDescent="0.2">
      <c r="L1494" s="4">
        <v>1488</v>
      </c>
      <c r="M1494" s="21">
        <v>180445.4249960286</v>
      </c>
    </row>
    <row r="1495" spans="12:13" x14ac:dyDescent="0.2">
      <c r="L1495" s="4">
        <v>1489</v>
      </c>
      <c r="M1495" s="21">
        <v>441440.85896922764</v>
      </c>
    </row>
    <row r="1496" spans="12:13" x14ac:dyDescent="0.2">
      <c r="L1496" s="4">
        <v>1490</v>
      </c>
      <c r="M1496" s="21">
        <v>-159016.19633137155</v>
      </c>
    </row>
    <row r="1497" spans="12:13" x14ac:dyDescent="0.2">
      <c r="L1497" s="4">
        <v>1491</v>
      </c>
      <c r="M1497" s="21">
        <v>319663.38035103166</v>
      </c>
    </row>
    <row r="1498" spans="12:13" x14ac:dyDescent="0.2">
      <c r="L1498" s="4">
        <v>1492</v>
      </c>
      <c r="M1498" s="21">
        <v>337838.24072382005</v>
      </c>
    </row>
    <row r="1499" spans="12:13" x14ac:dyDescent="0.2">
      <c r="L1499" s="4">
        <v>1493</v>
      </c>
      <c r="M1499" s="21">
        <v>-331237.05991905648</v>
      </c>
    </row>
    <row r="1500" spans="12:13" x14ac:dyDescent="0.2">
      <c r="L1500" s="4">
        <v>1494</v>
      </c>
      <c r="M1500" s="21">
        <v>77387.240730677469</v>
      </c>
    </row>
    <row r="1501" spans="12:13" x14ac:dyDescent="0.2">
      <c r="L1501" s="4">
        <v>1495</v>
      </c>
      <c r="M1501" s="21">
        <v>7419.5413254011946</v>
      </c>
    </row>
    <row r="1502" spans="12:13" x14ac:dyDescent="0.2">
      <c r="L1502" s="4">
        <v>1496</v>
      </c>
      <c r="M1502" s="21">
        <v>-86875.708331641246</v>
      </c>
    </row>
    <row r="1503" spans="12:13" x14ac:dyDescent="0.2">
      <c r="L1503" s="4">
        <v>1497</v>
      </c>
      <c r="M1503" s="21">
        <v>263780.48947296583</v>
      </c>
    </row>
    <row r="1504" spans="12:13" x14ac:dyDescent="0.2">
      <c r="L1504" s="4">
        <v>1498</v>
      </c>
      <c r="M1504" s="21">
        <v>31828.689662270597</v>
      </c>
    </row>
    <row r="1505" spans="12:13" x14ac:dyDescent="0.2">
      <c r="L1505" s="4">
        <v>1499</v>
      </c>
      <c r="M1505" s="21">
        <v>-72350.208814060243</v>
      </c>
    </row>
    <row r="1506" spans="12:13" x14ac:dyDescent="0.2">
      <c r="L1506" s="4">
        <v>1500</v>
      </c>
      <c r="M1506" s="21">
        <v>171048.68930809636</v>
      </c>
    </row>
    <row r="1507" spans="12:13" x14ac:dyDescent="0.2">
      <c r="L1507" s="4">
        <v>1501</v>
      </c>
      <c r="M1507" s="21">
        <v>337493.9833849335</v>
      </c>
    </row>
    <row r="1508" spans="12:13" x14ac:dyDescent="0.2">
      <c r="L1508" s="4">
        <v>1502</v>
      </c>
      <c r="M1508" s="21">
        <v>-269179.4118282331</v>
      </c>
    </row>
    <row r="1509" spans="12:13" x14ac:dyDescent="0.2">
      <c r="L1509" s="4">
        <v>1503</v>
      </c>
      <c r="M1509" s="21">
        <v>-42168.694209459703</v>
      </c>
    </row>
    <row r="1510" spans="12:13" x14ac:dyDescent="0.2">
      <c r="L1510" s="4">
        <v>1504</v>
      </c>
      <c r="M1510" s="21">
        <v>123256.4910876122</v>
      </c>
    </row>
    <row r="1511" spans="12:13" x14ac:dyDescent="0.2">
      <c r="L1511" s="4">
        <v>1505</v>
      </c>
      <c r="M1511" s="21">
        <v>198773.58189815981</v>
      </c>
    </row>
    <row r="1512" spans="12:13" x14ac:dyDescent="0.2">
      <c r="L1512" s="4">
        <v>1506</v>
      </c>
      <c r="M1512" s="21">
        <v>15818.482674624393</v>
      </c>
    </row>
    <row r="1513" spans="12:13" x14ac:dyDescent="0.2">
      <c r="L1513" s="4">
        <v>1507</v>
      </c>
      <c r="M1513" s="21">
        <v>218472.49864131107</v>
      </c>
    </row>
    <row r="1514" spans="12:13" x14ac:dyDescent="0.2">
      <c r="L1514" s="4">
        <v>1508</v>
      </c>
      <c r="M1514" s="21">
        <v>75997.614040763641</v>
      </c>
    </row>
    <row r="1515" spans="12:13" x14ac:dyDescent="0.2">
      <c r="L1515" s="4">
        <v>1509</v>
      </c>
      <c r="M1515" s="21">
        <v>-101269.38272218284</v>
      </c>
    </row>
    <row r="1516" spans="12:13" x14ac:dyDescent="0.2">
      <c r="L1516" s="4">
        <v>1510</v>
      </c>
      <c r="M1516" s="21">
        <v>221065.24984379642</v>
      </c>
    </row>
    <row r="1517" spans="12:13" x14ac:dyDescent="0.2">
      <c r="L1517" s="4">
        <v>1511</v>
      </c>
      <c r="M1517" s="21">
        <v>320964.79788195447</v>
      </c>
    </row>
    <row r="1518" spans="12:13" x14ac:dyDescent="0.2">
      <c r="L1518" s="4">
        <v>1512</v>
      </c>
      <c r="M1518" s="21">
        <v>12469.457912784361</v>
      </c>
    </row>
    <row r="1519" spans="12:13" x14ac:dyDescent="0.2">
      <c r="L1519" s="4">
        <v>1513</v>
      </c>
      <c r="M1519" s="21">
        <v>122443.65578861459</v>
      </c>
    </row>
    <row r="1520" spans="12:13" x14ac:dyDescent="0.2">
      <c r="L1520" s="4">
        <v>1514</v>
      </c>
      <c r="M1520" s="21">
        <v>42799.367680473108</v>
      </c>
    </row>
    <row r="1521" spans="12:13" x14ac:dyDescent="0.2">
      <c r="L1521" s="4">
        <v>1515</v>
      </c>
      <c r="M1521" s="21">
        <v>-143433.7006690636</v>
      </c>
    </row>
    <row r="1522" spans="12:13" x14ac:dyDescent="0.2">
      <c r="L1522" s="4">
        <v>1516</v>
      </c>
      <c r="M1522" s="21">
        <v>7022.1718667810201</v>
      </c>
    </row>
    <row r="1523" spans="12:13" x14ac:dyDescent="0.2">
      <c r="L1523" s="4">
        <v>1517</v>
      </c>
      <c r="M1523" s="21">
        <v>-186024.25285808044</v>
      </c>
    </row>
    <row r="1524" spans="12:13" x14ac:dyDescent="0.2">
      <c r="L1524" s="4">
        <v>1518</v>
      </c>
      <c r="M1524" s="21">
        <v>-339986.44300295017</v>
      </c>
    </row>
    <row r="1525" spans="12:13" x14ac:dyDescent="0.2">
      <c r="L1525" s="4">
        <v>1519</v>
      </c>
      <c r="M1525" s="21">
        <v>133785.00264543993</v>
      </c>
    </row>
    <row r="1526" spans="12:13" x14ac:dyDescent="0.2">
      <c r="L1526" s="4">
        <v>1520</v>
      </c>
      <c r="M1526" s="21">
        <v>222954.88370206597</v>
      </c>
    </row>
    <row r="1527" spans="12:13" x14ac:dyDescent="0.2">
      <c r="L1527" s="4">
        <v>1521</v>
      </c>
      <c r="M1527" s="21">
        <v>222458.75446997685</v>
      </c>
    </row>
    <row r="1528" spans="12:13" x14ac:dyDescent="0.2">
      <c r="L1528" s="4">
        <v>1522</v>
      </c>
      <c r="M1528" s="21">
        <v>-426218.56706558977</v>
      </c>
    </row>
    <row r="1529" spans="12:13" x14ac:dyDescent="0.2">
      <c r="L1529" s="4">
        <v>1523</v>
      </c>
      <c r="M1529" s="21">
        <v>-89955.939628970067</v>
      </c>
    </row>
    <row r="1530" spans="12:13" x14ac:dyDescent="0.2">
      <c r="L1530" s="4">
        <v>1524</v>
      </c>
      <c r="M1530" s="21">
        <v>-30318.236139600689</v>
      </c>
    </row>
    <row r="1531" spans="12:13" x14ac:dyDescent="0.2">
      <c r="L1531" s="4">
        <v>1525</v>
      </c>
      <c r="M1531" s="21">
        <v>436194.55012030527</v>
      </c>
    </row>
    <row r="1532" spans="12:13" x14ac:dyDescent="0.2">
      <c r="L1532" s="4">
        <v>1526</v>
      </c>
      <c r="M1532" s="21">
        <v>123984.43967394446</v>
      </c>
    </row>
    <row r="1533" spans="12:13" x14ac:dyDescent="0.2">
      <c r="L1533" s="4">
        <v>1527</v>
      </c>
      <c r="M1533" s="21">
        <v>356266.03754720005</v>
      </c>
    </row>
    <row r="1534" spans="12:13" x14ac:dyDescent="0.2">
      <c r="L1534" s="4">
        <v>1528</v>
      </c>
      <c r="M1534" s="21">
        <v>-207185.99892804405</v>
      </c>
    </row>
    <row r="1535" spans="12:13" x14ac:dyDescent="0.2">
      <c r="L1535" s="4">
        <v>1529</v>
      </c>
      <c r="M1535" s="21">
        <v>-56320.726933951795</v>
      </c>
    </row>
    <row r="1536" spans="12:13" x14ac:dyDescent="0.2">
      <c r="L1536" s="4">
        <v>1530</v>
      </c>
      <c r="M1536" s="21">
        <v>291805.81183504895</v>
      </c>
    </row>
    <row r="1537" spans="12:13" x14ac:dyDescent="0.2">
      <c r="L1537" s="4">
        <v>1531</v>
      </c>
      <c r="M1537" s="21">
        <v>244929.80132342511</v>
      </c>
    </row>
    <row r="1538" spans="12:13" x14ac:dyDescent="0.2">
      <c r="L1538" s="4">
        <v>1532</v>
      </c>
      <c r="M1538" s="21">
        <v>-299572.56126279576</v>
      </c>
    </row>
    <row r="1539" spans="12:13" x14ac:dyDescent="0.2">
      <c r="L1539" s="4">
        <v>1533</v>
      </c>
      <c r="M1539" s="21">
        <v>125845.0761551093</v>
      </c>
    </row>
    <row r="1540" spans="12:13" x14ac:dyDescent="0.2">
      <c r="L1540" s="4">
        <v>1534</v>
      </c>
      <c r="M1540" s="21">
        <v>160607.19227406353</v>
      </c>
    </row>
    <row r="1541" spans="12:13" x14ac:dyDescent="0.2">
      <c r="L1541" s="4">
        <v>1535</v>
      </c>
      <c r="M1541" s="21">
        <v>230687.89258037662</v>
      </c>
    </row>
    <row r="1542" spans="12:13" x14ac:dyDescent="0.2">
      <c r="L1542" s="4">
        <v>1536</v>
      </c>
      <c r="M1542" s="21">
        <v>-263665.96697003552</v>
      </c>
    </row>
    <row r="1543" spans="12:13" x14ac:dyDescent="0.2">
      <c r="L1543" s="4">
        <v>1537</v>
      </c>
      <c r="M1543" s="21">
        <v>-26671.322441572484</v>
      </c>
    </row>
    <row r="1544" spans="12:13" x14ac:dyDescent="0.2">
      <c r="L1544" s="4">
        <v>1538</v>
      </c>
      <c r="M1544" s="21">
        <v>-345177.68605533103</v>
      </c>
    </row>
    <row r="1545" spans="12:13" x14ac:dyDescent="0.2">
      <c r="L1545" s="4">
        <v>1539</v>
      </c>
      <c r="M1545" s="21">
        <v>-201009.71323116406</v>
      </c>
    </row>
    <row r="1546" spans="12:13" x14ac:dyDescent="0.2">
      <c r="L1546" s="4">
        <v>1540</v>
      </c>
      <c r="M1546" s="21">
        <v>-69828.822415603587</v>
      </c>
    </row>
    <row r="1547" spans="12:13" x14ac:dyDescent="0.2">
      <c r="L1547" s="4">
        <v>1541</v>
      </c>
      <c r="M1547" s="21">
        <v>-57150.330003190742</v>
      </c>
    </row>
    <row r="1548" spans="12:13" x14ac:dyDescent="0.2">
      <c r="L1548" s="4">
        <v>1542</v>
      </c>
      <c r="M1548" s="21">
        <v>-243343.37063671471</v>
      </c>
    </row>
    <row r="1549" spans="12:13" x14ac:dyDescent="0.2">
      <c r="L1549" s="4">
        <v>1543</v>
      </c>
      <c r="M1549" s="21">
        <v>-52900.654744398809</v>
      </c>
    </row>
    <row r="1550" spans="12:13" x14ac:dyDescent="0.2">
      <c r="L1550" s="4">
        <v>1544</v>
      </c>
      <c r="M1550" s="21">
        <v>-260565.68002424121</v>
      </c>
    </row>
    <row r="1551" spans="12:13" x14ac:dyDescent="0.2">
      <c r="L1551" s="4">
        <v>1545</v>
      </c>
      <c r="M1551" s="21">
        <v>-331159.6263134515</v>
      </c>
    </row>
    <row r="1552" spans="12:13" x14ac:dyDescent="0.2">
      <c r="L1552" s="4">
        <v>1546</v>
      </c>
      <c r="M1552" s="21">
        <v>200828.47456753827</v>
      </c>
    </row>
    <row r="1553" spans="12:13" x14ac:dyDescent="0.2">
      <c r="L1553" s="4">
        <v>1547</v>
      </c>
      <c r="M1553" s="21">
        <v>-84558.291194904406</v>
      </c>
    </row>
    <row r="1554" spans="12:13" x14ac:dyDescent="0.2">
      <c r="L1554" s="4">
        <v>1548</v>
      </c>
      <c r="M1554" s="21">
        <v>27649.195969157678</v>
      </c>
    </row>
    <row r="1555" spans="12:13" x14ac:dyDescent="0.2">
      <c r="L1555" s="4">
        <v>1549</v>
      </c>
      <c r="M1555" s="21">
        <v>-365949.50222778297</v>
      </c>
    </row>
    <row r="1556" spans="12:13" x14ac:dyDescent="0.2">
      <c r="L1556" s="4">
        <v>1550</v>
      </c>
      <c r="M1556" s="21">
        <v>-138865.93937972444</v>
      </c>
    </row>
    <row r="1557" spans="12:13" x14ac:dyDescent="0.2">
      <c r="L1557" s="4">
        <v>1551</v>
      </c>
      <c r="M1557" s="21">
        <v>223911.64442575842</v>
      </c>
    </row>
    <row r="1558" spans="12:13" x14ac:dyDescent="0.2">
      <c r="L1558" s="4">
        <v>1552</v>
      </c>
      <c r="M1558" s="21">
        <v>118228.00257620527</v>
      </c>
    </row>
    <row r="1559" spans="12:13" x14ac:dyDescent="0.2">
      <c r="L1559" s="4">
        <v>1553</v>
      </c>
      <c r="M1559" s="21">
        <v>420727.45186707925</v>
      </c>
    </row>
    <row r="1560" spans="12:13" x14ac:dyDescent="0.2">
      <c r="L1560" s="4">
        <v>1554</v>
      </c>
      <c r="M1560" s="21">
        <v>-361229.76525645191</v>
      </c>
    </row>
    <row r="1561" spans="12:13" x14ac:dyDescent="0.2">
      <c r="L1561" s="4">
        <v>1555</v>
      </c>
      <c r="M1561" s="21">
        <v>298485.68693299894</v>
      </c>
    </row>
    <row r="1562" spans="12:13" x14ac:dyDescent="0.2">
      <c r="L1562" s="4">
        <v>1556</v>
      </c>
      <c r="M1562" s="21">
        <v>-177285.49953437172</v>
      </c>
    </row>
    <row r="1563" spans="12:13" x14ac:dyDescent="0.2">
      <c r="L1563" s="4">
        <v>1557</v>
      </c>
      <c r="M1563" s="21">
        <v>-73830.137756219279</v>
      </c>
    </row>
    <row r="1564" spans="12:13" x14ac:dyDescent="0.2">
      <c r="L1564" s="4">
        <v>1558</v>
      </c>
      <c r="M1564" s="21">
        <v>82887.32964816122</v>
      </c>
    </row>
    <row r="1565" spans="12:13" x14ac:dyDescent="0.2">
      <c r="L1565" s="4">
        <v>1559</v>
      </c>
      <c r="M1565" s="21">
        <v>76334.177255649789</v>
      </c>
    </row>
    <row r="1566" spans="12:13" x14ac:dyDescent="0.2">
      <c r="L1566" s="4">
        <v>1560</v>
      </c>
      <c r="M1566" s="21">
        <v>231120.1346829769</v>
      </c>
    </row>
    <row r="1567" spans="12:13" x14ac:dyDescent="0.2">
      <c r="L1567" s="4">
        <v>1561</v>
      </c>
      <c r="M1567" s="21">
        <v>407052.77249679738</v>
      </c>
    </row>
    <row r="1568" spans="12:13" x14ac:dyDescent="0.2">
      <c r="L1568" s="4">
        <v>1562</v>
      </c>
      <c r="M1568" s="21">
        <v>74626.848291072936</v>
      </c>
    </row>
    <row r="1569" spans="12:13" x14ac:dyDescent="0.2">
      <c r="L1569" s="4">
        <v>1563</v>
      </c>
      <c r="M1569" s="21">
        <v>-38397.447856932878</v>
      </c>
    </row>
    <row r="1570" spans="12:13" x14ac:dyDescent="0.2">
      <c r="L1570" s="4">
        <v>1564</v>
      </c>
      <c r="M1570" s="21">
        <v>59593.645963808405</v>
      </c>
    </row>
    <row r="1571" spans="12:13" x14ac:dyDescent="0.2">
      <c r="L1571" s="4">
        <v>1565</v>
      </c>
      <c r="M1571" s="21">
        <v>-164743.32333326788</v>
      </c>
    </row>
    <row r="1572" spans="12:13" x14ac:dyDescent="0.2">
      <c r="L1572" s="4">
        <v>1566</v>
      </c>
      <c r="M1572" s="21">
        <v>-63140.342025504215</v>
      </c>
    </row>
    <row r="1573" spans="12:13" x14ac:dyDescent="0.2">
      <c r="L1573" s="4">
        <v>1567</v>
      </c>
      <c r="M1573" s="21">
        <v>173324.03353344041</v>
      </c>
    </row>
    <row r="1574" spans="12:13" x14ac:dyDescent="0.2">
      <c r="L1574" s="4">
        <v>1568</v>
      </c>
      <c r="M1574" s="21">
        <v>-429482.75738927134</v>
      </c>
    </row>
    <row r="1575" spans="12:13" x14ac:dyDescent="0.2">
      <c r="L1575" s="4">
        <v>1569</v>
      </c>
      <c r="M1575" s="21">
        <v>105439.09684214613</v>
      </c>
    </row>
    <row r="1576" spans="12:13" x14ac:dyDescent="0.2">
      <c r="L1576" s="4">
        <v>1570</v>
      </c>
      <c r="M1576" s="21">
        <v>-61013.242781929017</v>
      </c>
    </row>
    <row r="1577" spans="12:13" x14ac:dyDescent="0.2">
      <c r="L1577" s="4">
        <v>1571</v>
      </c>
      <c r="M1577" s="21">
        <v>3033.8501092835795</v>
      </c>
    </row>
    <row r="1578" spans="12:13" x14ac:dyDescent="0.2">
      <c r="L1578" s="4">
        <v>1572</v>
      </c>
      <c r="M1578" s="21">
        <v>-147925.91684814001</v>
      </c>
    </row>
    <row r="1579" spans="12:13" x14ac:dyDescent="0.2">
      <c r="L1579" s="4">
        <v>1573</v>
      </c>
      <c r="M1579" s="21">
        <v>347635.00844348699</v>
      </c>
    </row>
    <row r="1580" spans="12:13" x14ac:dyDescent="0.2">
      <c r="L1580" s="4">
        <v>1574</v>
      </c>
      <c r="M1580" s="21">
        <v>80294.671261863929</v>
      </c>
    </row>
    <row r="1581" spans="12:13" x14ac:dyDescent="0.2">
      <c r="L1581" s="4">
        <v>1575</v>
      </c>
      <c r="M1581" s="21">
        <v>301054.25875009806</v>
      </c>
    </row>
    <row r="1582" spans="12:13" x14ac:dyDescent="0.2">
      <c r="L1582" s="4">
        <v>1576</v>
      </c>
      <c r="M1582" s="21">
        <v>234414.59063838585</v>
      </c>
    </row>
    <row r="1583" spans="12:13" x14ac:dyDescent="0.2">
      <c r="L1583" s="4">
        <v>1577</v>
      </c>
      <c r="M1583" s="21">
        <v>113461.01801808656</v>
      </c>
    </row>
    <row r="1584" spans="12:13" x14ac:dyDescent="0.2">
      <c r="L1584" s="4">
        <v>1578</v>
      </c>
      <c r="M1584" s="21">
        <v>-84748.24491134283</v>
      </c>
    </row>
    <row r="1585" spans="12:13" x14ac:dyDescent="0.2">
      <c r="L1585" s="4">
        <v>1579</v>
      </c>
      <c r="M1585" s="21">
        <v>-190815.81978164575</v>
      </c>
    </row>
    <row r="1586" spans="12:13" x14ac:dyDescent="0.2">
      <c r="L1586" s="4">
        <v>1580</v>
      </c>
      <c r="M1586" s="21">
        <v>-103994.94834890851</v>
      </c>
    </row>
    <row r="1587" spans="12:13" x14ac:dyDescent="0.2">
      <c r="L1587" s="4">
        <v>1581</v>
      </c>
      <c r="M1587" s="21">
        <v>331271.46210628736</v>
      </c>
    </row>
    <row r="1588" spans="12:13" x14ac:dyDescent="0.2">
      <c r="L1588" s="4">
        <v>1582</v>
      </c>
      <c r="M1588" s="21">
        <v>-165770.00289335998</v>
      </c>
    </row>
    <row r="1589" spans="12:13" x14ac:dyDescent="0.2">
      <c r="L1589" s="4">
        <v>1583</v>
      </c>
      <c r="M1589" s="21">
        <v>185415.34798769726</v>
      </c>
    </row>
    <row r="1590" spans="12:13" x14ac:dyDescent="0.2">
      <c r="L1590" s="4">
        <v>1584</v>
      </c>
      <c r="M1590" s="21">
        <v>238085.73855105066</v>
      </c>
    </row>
    <row r="1591" spans="12:13" x14ac:dyDescent="0.2">
      <c r="L1591" s="4">
        <v>1585</v>
      </c>
      <c r="M1591" s="21">
        <v>-171654.65798760508</v>
      </c>
    </row>
    <row r="1592" spans="12:13" x14ac:dyDescent="0.2">
      <c r="L1592" s="4">
        <v>1586</v>
      </c>
      <c r="M1592" s="21">
        <v>20181.51306830463</v>
      </c>
    </row>
    <row r="1593" spans="12:13" x14ac:dyDescent="0.2">
      <c r="L1593" s="4">
        <v>1587</v>
      </c>
      <c r="M1593" s="21">
        <v>-297058.21610444924</v>
      </c>
    </row>
    <row r="1594" spans="12:13" x14ac:dyDescent="0.2">
      <c r="L1594" s="4">
        <v>1588</v>
      </c>
      <c r="M1594" s="21">
        <v>-39080.303837486616</v>
      </c>
    </row>
    <row r="1595" spans="12:13" x14ac:dyDescent="0.2">
      <c r="L1595" s="4">
        <v>1589</v>
      </c>
      <c r="M1595" s="21">
        <v>77277.53060361222</v>
      </c>
    </row>
    <row r="1596" spans="12:13" x14ac:dyDescent="0.2">
      <c r="L1596" s="4">
        <v>1590</v>
      </c>
      <c r="M1596" s="21">
        <v>-261036.82287284141</v>
      </c>
    </row>
    <row r="1597" spans="12:13" x14ac:dyDescent="0.2">
      <c r="L1597" s="4">
        <v>1591</v>
      </c>
      <c r="M1597" s="21">
        <v>-330719.42157425801</v>
      </c>
    </row>
    <row r="1598" spans="12:13" x14ac:dyDescent="0.2">
      <c r="L1598" s="4">
        <v>1592</v>
      </c>
      <c r="M1598" s="21">
        <v>54277.843882551882</v>
      </c>
    </row>
    <row r="1599" spans="12:13" x14ac:dyDescent="0.2">
      <c r="L1599" s="4">
        <v>1593</v>
      </c>
      <c r="M1599" s="21">
        <v>-125962.47606600936</v>
      </c>
    </row>
    <row r="1600" spans="12:13" x14ac:dyDescent="0.2">
      <c r="L1600" s="4">
        <v>1594</v>
      </c>
      <c r="M1600" s="21">
        <v>-209262.03975879814</v>
      </c>
    </row>
    <row r="1601" spans="12:13" x14ac:dyDescent="0.2">
      <c r="L1601" s="4">
        <v>1595</v>
      </c>
      <c r="M1601" s="21">
        <v>419311.9496074561</v>
      </c>
    </row>
    <row r="1602" spans="12:13" x14ac:dyDescent="0.2">
      <c r="L1602" s="4">
        <v>1596</v>
      </c>
      <c r="M1602" s="21">
        <v>-117441.81261414231</v>
      </c>
    </row>
    <row r="1603" spans="12:13" x14ac:dyDescent="0.2">
      <c r="L1603" s="4">
        <v>1597</v>
      </c>
      <c r="M1603" s="21">
        <v>165482.32517633081</v>
      </c>
    </row>
    <row r="1604" spans="12:13" x14ac:dyDescent="0.2">
      <c r="L1604" s="4">
        <v>1598</v>
      </c>
      <c r="M1604" s="21">
        <v>203092.74071140349</v>
      </c>
    </row>
    <row r="1605" spans="12:13" x14ac:dyDescent="0.2">
      <c r="L1605" s="4">
        <v>1599</v>
      </c>
      <c r="M1605" s="21">
        <v>28346.639385086863</v>
      </c>
    </row>
    <row r="1606" spans="12:13" x14ac:dyDescent="0.2">
      <c r="L1606" s="4">
        <v>1600</v>
      </c>
      <c r="M1606" s="21">
        <v>249197.21019978556</v>
      </c>
    </row>
    <row r="1607" spans="12:13" x14ac:dyDescent="0.2">
      <c r="L1607" s="4">
        <v>1601</v>
      </c>
      <c r="M1607" s="21">
        <v>-115629.41641364009</v>
      </c>
    </row>
    <row r="1608" spans="12:13" x14ac:dyDescent="0.2">
      <c r="L1608" s="4">
        <v>1602</v>
      </c>
      <c r="M1608" s="21">
        <v>-191454.78440874806</v>
      </c>
    </row>
    <row r="1609" spans="12:13" x14ac:dyDescent="0.2">
      <c r="L1609" s="4">
        <v>1603</v>
      </c>
      <c r="M1609" s="21">
        <v>38640.20149035324</v>
      </c>
    </row>
    <row r="1610" spans="12:13" x14ac:dyDescent="0.2">
      <c r="L1610" s="4">
        <v>1604</v>
      </c>
      <c r="M1610" s="21">
        <v>-88272.472986034118</v>
      </c>
    </row>
    <row r="1611" spans="12:13" x14ac:dyDescent="0.2">
      <c r="L1611" s="4">
        <v>1605</v>
      </c>
      <c r="M1611" s="21">
        <v>180964.43710638775</v>
      </c>
    </row>
    <row r="1612" spans="12:13" x14ac:dyDescent="0.2">
      <c r="L1612" s="4">
        <v>1606</v>
      </c>
      <c r="M1612" s="21">
        <v>-11081.796387907874</v>
      </c>
    </row>
    <row r="1613" spans="12:13" x14ac:dyDescent="0.2">
      <c r="L1613" s="4">
        <v>1607</v>
      </c>
      <c r="M1613" s="21">
        <v>-182344.70337590313</v>
      </c>
    </row>
    <row r="1614" spans="12:13" x14ac:dyDescent="0.2">
      <c r="L1614" s="4">
        <v>1608</v>
      </c>
      <c r="M1614" s="21">
        <v>123848.30689825461</v>
      </c>
    </row>
    <row r="1615" spans="12:13" x14ac:dyDescent="0.2">
      <c r="L1615" s="4">
        <v>1609</v>
      </c>
      <c r="M1615" s="21">
        <v>-144884.76438168471</v>
      </c>
    </row>
    <row r="1616" spans="12:13" x14ac:dyDescent="0.2">
      <c r="L1616" s="4">
        <v>1610</v>
      </c>
      <c r="M1616" s="21">
        <v>93545.908799390891</v>
      </c>
    </row>
    <row r="1617" spans="12:13" x14ac:dyDescent="0.2">
      <c r="L1617" s="4">
        <v>1611</v>
      </c>
      <c r="M1617" s="21">
        <v>26016.989076467551</v>
      </c>
    </row>
    <row r="1618" spans="12:13" x14ac:dyDescent="0.2">
      <c r="L1618" s="4">
        <v>1612</v>
      </c>
      <c r="M1618" s="21">
        <v>-181054.23380877441</v>
      </c>
    </row>
    <row r="1619" spans="12:13" x14ac:dyDescent="0.2">
      <c r="L1619" s="4">
        <v>1613</v>
      </c>
      <c r="M1619" s="21">
        <v>-252810.97116565704</v>
      </c>
    </row>
    <row r="1620" spans="12:13" x14ac:dyDescent="0.2">
      <c r="L1620" s="4">
        <v>1614</v>
      </c>
      <c r="M1620" s="21">
        <v>-62952.085315858087</v>
      </c>
    </row>
    <row r="1621" spans="12:13" x14ac:dyDescent="0.2">
      <c r="L1621" s="4">
        <v>1615</v>
      </c>
      <c r="M1621" s="21">
        <v>-165838.3893476481</v>
      </c>
    </row>
    <row r="1622" spans="12:13" x14ac:dyDescent="0.2">
      <c r="L1622" s="4">
        <v>1616</v>
      </c>
      <c r="M1622" s="21">
        <v>213997.01194446546</v>
      </c>
    </row>
    <row r="1623" spans="12:13" x14ac:dyDescent="0.2">
      <c r="L1623" s="4">
        <v>1617</v>
      </c>
      <c r="M1623" s="21">
        <v>-13177.48366586701</v>
      </c>
    </row>
    <row r="1624" spans="12:13" x14ac:dyDescent="0.2">
      <c r="L1624" s="4">
        <v>1618</v>
      </c>
      <c r="M1624" s="21">
        <v>105932.56965405477</v>
      </c>
    </row>
    <row r="1625" spans="12:13" x14ac:dyDescent="0.2">
      <c r="L1625" s="4">
        <v>1619</v>
      </c>
      <c r="M1625" s="21">
        <v>-81385.304841822683</v>
      </c>
    </row>
    <row r="1626" spans="12:13" x14ac:dyDescent="0.2">
      <c r="L1626" s="4">
        <v>1620</v>
      </c>
      <c r="M1626" s="21">
        <v>-65786.778089106752</v>
      </c>
    </row>
    <row r="1627" spans="12:13" x14ac:dyDescent="0.2">
      <c r="L1627" s="4">
        <v>1621</v>
      </c>
      <c r="M1627" s="21">
        <v>12653.991287088051</v>
      </c>
    </row>
    <row r="1628" spans="12:13" x14ac:dyDescent="0.2">
      <c r="L1628" s="4">
        <v>1622</v>
      </c>
      <c r="M1628" s="21">
        <v>346060.66122747347</v>
      </c>
    </row>
    <row r="1629" spans="12:13" x14ac:dyDescent="0.2">
      <c r="L1629" s="4">
        <v>1623</v>
      </c>
      <c r="M1629" s="21">
        <v>-242965.10074530961</v>
      </c>
    </row>
    <row r="1630" spans="12:13" x14ac:dyDescent="0.2">
      <c r="L1630" s="4">
        <v>1624</v>
      </c>
      <c r="M1630" s="21">
        <v>-116911.56551197061</v>
      </c>
    </row>
    <row r="1631" spans="12:13" x14ac:dyDescent="0.2">
      <c r="L1631" s="4">
        <v>1625</v>
      </c>
      <c r="M1631" s="21">
        <v>62321.232145389629</v>
      </c>
    </row>
    <row r="1632" spans="12:13" x14ac:dyDescent="0.2">
      <c r="L1632" s="4">
        <v>1626</v>
      </c>
      <c r="M1632" s="21">
        <v>-40636.229554874371</v>
      </c>
    </row>
    <row r="1633" spans="12:13" x14ac:dyDescent="0.2">
      <c r="L1633" s="4">
        <v>1627</v>
      </c>
      <c r="M1633" s="21">
        <v>494291.98164571635</v>
      </c>
    </row>
    <row r="1634" spans="12:13" x14ac:dyDescent="0.2">
      <c r="L1634" s="4">
        <v>1628</v>
      </c>
      <c r="M1634" s="21">
        <v>-81116.453754313945</v>
      </c>
    </row>
    <row r="1635" spans="12:13" x14ac:dyDescent="0.2">
      <c r="L1635" s="4">
        <v>1629</v>
      </c>
      <c r="M1635" s="21">
        <v>-41545.639684460795</v>
      </c>
    </row>
    <row r="1636" spans="12:13" x14ac:dyDescent="0.2">
      <c r="L1636" s="4">
        <v>1630</v>
      </c>
      <c r="M1636" s="21">
        <v>65709.700690396712</v>
      </c>
    </row>
    <row r="1637" spans="12:13" x14ac:dyDescent="0.2">
      <c r="L1637" s="4">
        <v>1631</v>
      </c>
      <c r="M1637" s="21">
        <v>112638.01119005526</v>
      </c>
    </row>
    <row r="1638" spans="12:13" x14ac:dyDescent="0.2">
      <c r="L1638" s="4">
        <v>1632</v>
      </c>
      <c r="M1638" s="21">
        <v>42525.621321002982</v>
      </c>
    </row>
    <row r="1639" spans="12:13" x14ac:dyDescent="0.2">
      <c r="L1639" s="4">
        <v>1633</v>
      </c>
      <c r="M1639" s="21">
        <v>124638.55828329612</v>
      </c>
    </row>
    <row r="1640" spans="12:13" x14ac:dyDescent="0.2">
      <c r="L1640" s="4">
        <v>1634</v>
      </c>
      <c r="M1640" s="21">
        <v>261911.31344082599</v>
      </c>
    </row>
    <row r="1641" spans="12:13" x14ac:dyDescent="0.2">
      <c r="L1641" s="4">
        <v>1635</v>
      </c>
      <c r="M1641" s="21">
        <v>-198242.07598049595</v>
      </c>
    </row>
    <row r="1642" spans="12:13" x14ac:dyDescent="0.2">
      <c r="L1642" s="4">
        <v>1636</v>
      </c>
      <c r="M1642" s="21">
        <v>81033.469823230436</v>
      </c>
    </row>
    <row r="1643" spans="12:13" x14ac:dyDescent="0.2">
      <c r="L1643" s="4">
        <v>1637</v>
      </c>
      <c r="M1643" s="21">
        <v>62569.08270445987</v>
      </c>
    </row>
    <row r="1644" spans="12:13" x14ac:dyDescent="0.2">
      <c r="L1644" s="4">
        <v>1638</v>
      </c>
      <c r="M1644" s="21">
        <v>-195481.98714990064</v>
      </c>
    </row>
    <row r="1645" spans="12:13" x14ac:dyDescent="0.2">
      <c r="L1645" s="4">
        <v>1639</v>
      </c>
      <c r="M1645" s="21">
        <v>-118562.42640971999</v>
      </c>
    </row>
    <row r="1646" spans="12:13" x14ac:dyDescent="0.2">
      <c r="L1646" s="4">
        <v>1640</v>
      </c>
      <c r="M1646" s="21">
        <v>453373.30059116957</v>
      </c>
    </row>
    <row r="1647" spans="12:13" x14ac:dyDescent="0.2">
      <c r="L1647" s="4">
        <v>1641</v>
      </c>
      <c r="M1647" s="21">
        <v>-234055.30850319969</v>
      </c>
    </row>
    <row r="1648" spans="12:13" x14ac:dyDescent="0.2">
      <c r="L1648" s="4">
        <v>1642</v>
      </c>
      <c r="M1648" s="21">
        <v>466651.26688178675</v>
      </c>
    </row>
    <row r="1649" spans="12:13" x14ac:dyDescent="0.2">
      <c r="L1649" s="4">
        <v>1643</v>
      </c>
      <c r="M1649" s="21">
        <v>343881.20086231048</v>
      </c>
    </row>
    <row r="1650" spans="12:13" x14ac:dyDescent="0.2">
      <c r="L1650" s="4">
        <v>1644</v>
      </c>
      <c r="M1650" s="21">
        <v>253959.2810860411</v>
      </c>
    </row>
    <row r="1651" spans="12:13" x14ac:dyDescent="0.2">
      <c r="L1651" s="4">
        <v>1645</v>
      </c>
      <c r="M1651" s="21">
        <v>68842.861082031799</v>
      </c>
    </row>
    <row r="1652" spans="12:13" x14ac:dyDescent="0.2">
      <c r="L1652" s="4">
        <v>1646</v>
      </c>
      <c r="M1652" s="21">
        <v>-20506.299447959769</v>
      </c>
    </row>
    <row r="1653" spans="12:13" x14ac:dyDescent="0.2">
      <c r="L1653" s="4">
        <v>1647</v>
      </c>
      <c r="M1653" s="21">
        <v>170754.84552742291</v>
      </c>
    </row>
    <row r="1654" spans="12:13" x14ac:dyDescent="0.2">
      <c r="L1654" s="4">
        <v>1648</v>
      </c>
      <c r="M1654" s="21">
        <v>35699.246854965895</v>
      </c>
    </row>
    <row r="1655" spans="12:13" x14ac:dyDescent="0.2">
      <c r="L1655" s="4">
        <v>1649</v>
      </c>
      <c r="M1655" s="21">
        <v>126679.75187082335</v>
      </c>
    </row>
    <row r="1656" spans="12:13" x14ac:dyDescent="0.2">
      <c r="L1656" s="4">
        <v>1650</v>
      </c>
      <c r="M1656" s="21">
        <v>190370.69705831536</v>
      </c>
    </row>
    <row r="1657" spans="12:13" x14ac:dyDescent="0.2">
      <c r="L1657" s="4">
        <v>1651</v>
      </c>
      <c r="M1657" s="21">
        <v>-251335.89828493301</v>
      </c>
    </row>
    <row r="1658" spans="12:13" x14ac:dyDescent="0.2">
      <c r="L1658" s="4">
        <v>1652</v>
      </c>
      <c r="M1658" s="21">
        <v>375806.17001392739</v>
      </c>
    </row>
    <row r="1659" spans="12:13" x14ac:dyDescent="0.2">
      <c r="L1659" s="4">
        <v>1653</v>
      </c>
      <c r="M1659" s="21">
        <v>229683.78212907564</v>
      </c>
    </row>
    <row r="1660" spans="12:13" x14ac:dyDescent="0.2">
      <c r="L1660" s="4">
        <v>1654</v>
      </c>
      <c r="M1660" s="21">
        <v>127896.08124349354</v>
      </c>
    </row>
    <row r="1661" spans="12:13" x14ac:dyDescent="0.2">
      <c r="L1661" s="4">
        <v>1655</v>
      </c>
      <c r="M1661" s="21">
        <v>-197952.85853298282</v>
      </c>
    </row>
    <row r="1662" spans="12:13" x14ac:dyDescent="0.2">
      <c r="L1662" s="4">
        <v>1656</v>
      </c>
      <c r="M1662" s="21">
        <v>-388925.40517801547</v>
      </c>
    </row>
    <row r="1663" spans="12:13" x14ac:dyDescent="0.2">
      <c r="L1663" s="4">
        <v>1657</v>
      </c>
      <c r="M1663" s="21">
        <v>130631.46825091838</v>
      </c>
    </row>
    <row r="1664" spans="12:13" x14ac:dyDescent="0.2">
      <c r="L1664" s="4">
        <v>1658</v>
      </c>
      <c r="M1664" s="21">
        <v>-312375.0251502879</v>
      </c>
    </row>
    <row r="1665" spans="12:13" x14ac:dyDescent="0.2">
      <c r="L1665" s="4">
        <v>1659</v>
      </c>
      <c r="M1665" s="21">
        <v>142767.69146626425</v>
      </c>
    </row>
    <row r="1666" spans="12:13" x14ac:dyDescent="0.2">
      <c r="L1666" s="4">
        <v>1660</v>
      </c>
      <c r="M1666" s="21">
        <v>290413.53454129142</v>
      </c>
    </row>
    <row r="1667" spans="12:13" x14ac:dyDescent="0.2">
      <c r="L1667" s="4">
        <v>1661</v>
      </c>
      <c r="M1667" s="21">
        <v>-14747.762446620764</v>
      </c>
    </row>
    <row r="1668" spans="12:13" x14ac:dyDescent="0.2">
      <c r="L1668" s="4">
        <v>1662</v>
      </c>
      <c r="M1668" s="21">
        <v>-85041.151116266235</v>
      </c>
    </row>
    <row r="1669" spans="12:13" x14ac:dyDescent="0.2">
      <c r="L1669" s="4">
        <v>1663</v>
      </c>
      <c r="M1669" s="21">
        <v>41137.602717390546</v>
      </c>
    </row>
    <row r="1670" spans="12:13" x14ac:dyDescent="0.2">
      <c r="L1670" s="4">
        <v>1664</v>
      </c>
      <c r="M1670" s="21">
        <v>-165984.74295735502</v>
      </c>
    </row>
    <row r="1671" spans="12:13" x14ac:dyDescent="0.2">
      <c r="L1671" s="4">
        <v>1665</v>
      </c>
      <c r="M1671" s="21">
        <v>111448.96500173392</v>
      </c>
    </row>
    <row r="1672" spans="12:13" x14ac:dyDescent="0.2">
      <c r="L1672" s="4">
        <v>1666</v>
      </c>
      <c r="M1672" s="21">
        <v>278940.97172071936</v>
      </c>
    </row>
    <row r="1673" spans="12:13" x14ac:dyDescent="0.2">
      <c r="L1673" s="4">
        <v>1667</v>
      </c>
      <c r="M1673" s="21">
        <v>-236561.14421907917</v>
      </c>
    </row>
    <row r="1674" spans="12:13" x14ac:dyDescent="0.2">
      <c r="L1674" s="4">
        <v>1668</v>
      </c>
      <c r="M1674" s="21">
        <v>284935.32071298093</v>
      </c>
    </row>
    <row r="1675" spans="12:13" x14ac:dyDescent="0.2">
      <c r="L1675" s="4">
        <v>1669</v>
      </c>
      <c r="M1675" s="21">
        <v>397243.04531077069</v>
      </c>
    </row>
    <row r="1676" spans="12:13" x14ac:dyDescent="0.2">
      <c r="L1676" s="4">
        <v>1670</v>
      </c>
      <c r="M1676" s="21">
        <v>77370.115843781154</v>
      </c>
    </row>
    <row r="1677" spans="12:13" x14ac:dyDescent="0.2">
      <c r="L1677" s="4">
        <v>1671</v>
      </c>
      <c r="M1677" s="21">
        <v>83270.342354324792</v>
      </c>
    </row>
    <row r="1678" spans="12:13" x14ac:dyDescent="0.2">
      <c r="L1678" s="4">
        <v>1672</v>
      </c>
      <c r="M1678" s="21">
        <v>108031.35668745587</v>
      </c>
    </row>
    <row r="1679" spans="12:13" x14ac:dyDescent="0.2">
      <c r="L1679" s="4">
        <v>1673</v>
      </c>
      <c r="M1679" s="21">
        <v>310537.92054932256</v>
      </c>
    </row>
    <row r="1680" spans="12:13" x14ac:dyDescent="0.2">
      <c r="L1680" s="4">
        <v>1674</v>
      </c>
      <c r="M1680" s="21">
        <v>444827.51653048414</v>
      </c>
    </row>
    <row r="1681" spans="12:13" x14ac:dyDescent="0.2">
      <c r="L1681" s="4">
        <v>1675</v>
      </c>
      <c r="M1681" s="21">
        <v>272360.12786671956</v>
      </c>
    </row>
    <row r="1682" spans="12:13" x14ac:dyDescent="0.2">
      <c r="L1682" s="4">
        <v>1676</v>
      </c>
      <c r="M1682" s="21">
        <v>-163129.82845004689</v>
      </c>
    </row>
    <row r="1683" spans="12:13" x14ac:dyDescent="0.2">
      <c r="L1683" s="4">
        <v>1677</v>
      </c>
      <c r="M1683" s="21">
        <v>-284356.0401067179</v>
      </c>
    </row>
    <row r="1684" spans="12:13" x14ac:dyDescent="0.2">
      <c r="L1684" s="4">
        <v>1678</v>
      </c>
      <c r="M1684" s="21">
        <v>-133950.76406132113</v>
      </c>
    </row>
    <row r="1685" spans="12:13" x14ac:dyDescent="0.2">
      <c r="L1685" s="4">
        <v>1679</v>
      </c>
      <c r="M1685" s="21">
        <v>155618.35345645263</v>
      </c>
    </row>
    <row r="1686" spans="12:13" x14ac:dyDescent="0.2">
      <c r="L1686" s="4">
        <v>1680</v>
      </c>
      <c r="M1686" s="21">
        <v>-38404.898032351004</v>
      </c>
    </row>
    <row r="1687" spans="12:13" x14ac:dyDescent="0.2">
      <c r="L1687" s="4">
        <v>1681</v>
      </c>
      <c r="M1687" s="21">
        <v>-13622.652560971648</v>
      </c>
    </row>
    <row r="1688" spans="12:13" x14ac:dyDescent="0.2">
      <c r="L1688" s="4">
        <v>1682</v>
      </c>
      <c r="M1688" s="21">
        <v>108374.59844942502</v>
      </c>
    </row>
    <row r="1689" spans="12:13" x14ac:dyDescent="0.2">
      <c r="L1689" s="4">
        <v>1683</v>
      </c>
      <c r="M1689" s="21">
        <v>155500.75484582037</v>
      </c>
    </row>
    <row r="1690" spans="12:13" x14ac:dyDescent="0.2">
      <c r="L1690" s="4">
        <v>1684</v>
      </c>
      <c r="M1690" s="21">
        <v>195096.30801379896</v>
      </c>
    </row>
    <row r="1691" spans="12:13" x14ac:dyDescent="0.2">
      <c r="L1691" s="4">
        <v>1685</v>
      </c>
      <c r="M1691" s="21">
        <v>499175.30296238855</v>
      </c>
    </row>
    <row r="1692" spans="12:13" x14ac:dyDescent="0.2">
      <c r="L1692" s="4">
        <v>1686</v>
      </c>
      <c r="M1692" s="21">
        <v>484411.03048491443</v>
      </c>
    </row>
    <row r="1693" spans="12:13" x14ac:dyDescent="0.2">
      <c r="L1693" s="4">
        <v>1687</v>
      </c>
      <c r="M1693" s="21">
        <v>114892.14127109325</v>
      </c>
    </row>
    <row r="1694" spans="12:13" x14ac:dyDescent="0.2">
      <c r="L1694" s="4">
        <v>1688</v>
      </c>
      <c r="M1694" s="21">
        <v>3011.527814035886</v>
      </c>
    </row>
    <row r="1695" spans="12:13" x14ac:dyDescent="0.2">
      <c r="L1695" s="4">
        <v>1689</v>
      </c>
      <c r="M1695" s="21">
        <v>132022.12061464696</v>
      </c>
    </row>
    <row r="1696" spans="12:13" x14ac:dyDescent="0.2">
      <c r="L1696" s="4">
        <v>1690</v>
      </c>
      <c r="M1696" s="21">
        <v>15125.71206121592</v>
      </c>
    </row>
    <row r="1697" spans="12:13" x14ac:dyDescent="0.2">
      <c r="L1697" s="4">
        <v>1691</v>
      </c>
      <c r="M1697" s="21">
        <v>19344.107672990533</v>
      </c>
    </row>
    <row r="1698" spans="12:13" x14ac:dyDescent="0.2">
      <c r="L1698" s="4">
        <v>1692</v>
      </c>
      <c r="M1698" s="21">
        <v>-104245.10815960229</v>
      </c>
    </row>
    <row r="1699" spans="12:13" x14ac:dyDescent="0.2">
      <c r="L1699" s="4">
        <v>1693</v>
      </c>
      <c r="M1699" s="21">
        <v>73484.297683289507</v>
      </c>
    </row>
    <row r="1700" spans="12:13" x14ac:dyDescent="0.2">
      <c r="L1700" s="4">
        <v>1694</v>
      </c>
      <c r="M1700" s="21">
        <v>174337.92697508138</v>
      </c>
    </row>
    <row r="1701" spans="12:13" x14ac:dyDescent="0.2">
      <c r="L1701" s="4">
        <v>1695</v>
      </c>
      <c r="M1701" s="21">
        <v>113321.55334563868</v>
      </c>
    </row>
    <row r="1702" spans="12:13" x14ac:dyDescent="0.2">
      <c r="L1702" s="4">
        <v>1696</v>
      </c>
      <c r="M1702" s="21">
        <v>-64934.020295957322</v>
      </c>
    </row>
    <row r="1703" spans="12:13" x14ac:dyDescent="0.2">
      <c r="L1703" s="4">
        <v>1697</v>
      </c>
      <c r="M1703" s="21">
        <v>83758.631979938218</v>
      </c>
    </row>
    <row r="1704" spans="12:13" x14ac:dyDescent="0.2">
      <c r="L1704" s="4">
        <v>1698</v>
      </c>
      <c r="M1704" s="21">
        <v>-59898.928992400004</v>
      </c>
    </row>
    <row r="1705" spans="12:13" x14ac:dyDescent="0.2">
      <c r="L1705" s="4">
        <v>1699</v>
      </c>
      <c r="M1705" s="21">
        <v>-195927.06190411065</v>
      </c>
    </row>
    <row r="1706" spans="12:13" x14ac:dyDescent="0.2">
      <c r="L1706" s="4">
        <v>1700</v>
      </c>
      <c r="M1706" s="21">
        <v>-206729.79803662296</v>
      </c>
    </row>
    <row r="1707" spans="12:13" x14ac:dyDescent="0.2">
      <c r="L1707" s="4">
        <v>1701</v>
      </c>
      <c r="M1707" s="21">
        <v>94945.771644790075</v>
      </c>
    </row>
    <row r="1708" spans="12:13" x14ac:dyDescent="0.2">
      <c r="L1708" s="4">
        <v>1702</v>
      </c>
      <c r="M1708" s="21">
        <v>327374.2875398919</v>
      </c>
    </row>
    <row r="1709" spans="12:13" x14ac:dyDescent="0.2">
      <c r="L1709" s="4">
        <v>1703</v>
      </c>
      <c r="M1709" s="21">
        <v>389763.96895388281</v>
      </c>
    </row>
    <row r="1710" spans="12:13" x14ac:dyDescent="0.2">
      <c r="L1710" s="4">
        <v>1704</v>
      </c>
      <c r="M1710" s="21">
        <v>-336824.12224579736</v>
      </c>
    </row>
    <row r="1711" spans="12:13" x14ac:dyDescent="0.2">
      <c r="L1711" s="4">
        <v>1705</v>
      </c>
      <c r="M1711" s="21">
        <v>-96395.096065737438</v>
      </c>
    </row>
    <row r="1712" spans="12:13" x14ac:dyDescent="0.2">
      <c r="L1712" s="4">
        <v>1706</v>
      </c>
      <c r="M1712" s="21">
        <v>-339093.62602516665</v>
      </c>
    </row>
    <row r="1713" spans="12:13" x14ac:dyDescent="0.2">
      <c r="L1713" s="4">
        <v>1707</v>
      </c>
      <c r="M1713" s="21">
        <v>-255231.65312610517</v>
      </c>
    </row>
    <row r="1714" spans="12:13" x14ac:dyDescent="0.2">
      <c r="L1714" s="4">
        <v>1708</v>
      </c>
      <c r="M1714" s="21">
        <v>144759.00888738947</v>
      </c>
    </row>
    <row r="1715" spans="12:13" x14ac:dyDescent="0.2">
      <c r="L1715" s="4">
        <v>1709</v>
      </c>
      <c r="M1715" s="21">
        <v>-214479.55773374444</v>
      </c>
    </row>
    <row r="1716" spans="12:13" x14ac:dyDescent="0.2">
      <c r="L1716" s="4">
        <v>1710</v>
      </c>
      <c r="M1716" s="21">
        <v>79955.231318643753</v>
      </c>
    </row>
    <row r="1717" spans="12:13" x14ac:dyDescent="0.2">
      <c r="L1717" s="4">
        <v>1711</v>
      </c>
      <c r="M1717" s="21">
        <v>71582.392349319387</v>
      </c>
    </row>
    <row r="1718" spans="12:13" x14ac:dyDescent="0.2">
      <c r="L1718" s="4">
        <v>1712</v>
      </c>
      <c r="M1718" s="21">
        <v>458874.76629288285</v>
      </c>
    </row>
    <row r="1719" spans="12:13" x14ac:dyDescent="0.2">
      <c r="L1719" s="4">
        <v>1713</v>
      </c>
      <c r="M1719" s="21">
        <v>-222071.20561411619</v>
      </c>
    </row>
    <row r="1720" spans="12:13" x14ac:dyDescent="0.2">
      <c r="L1720" s="4">
        <v>1714</v>
      </c>
      <c r="M1720" s="21">
        <v>19919.015466142562</v>
      </c>
    </row>
    <row r="1721" spans="12:13" x14ac:dyDescent="0.2">
      <c r="L1721" s="4">
        <v>1715</v>
      </c>
      <c r="M1721" s="21">
        <v>59855.008145161759</v>
      </c>
    </row>
    <row r="1722" spans="12:13" x14ac:dyDescent="0.2">
      <c r="L1722" s="4">
        <v>1716</v>
      </c>
      <c r="M1722" s="21">
        <v>428725.82929149346</v>
      </c>
    </row>
    <row r="1723" spans="12:13" x14ac:dyDescent="0.2">
      <c r="L1723" s="4">
        <v>1717</v>
      </c>
      <c r="M1723" s="21">
        <v>-171193.34235645327</v>
      </c>
    </row>
    <row r="1724" spans="12:13" x14ac:dyDescent="0.2">
      <c r="L1724" s="4">
        <v>1718</v>
      </c>
      <c r="M1724" s="21">
        <v>56957.819667818374</v>
      </c>
    </row>
    <row r="1725" spans="12:13" x14ac:dyDescent="0.2">
      <c r="L1725" s="4">
        <v>1719</v>
      </c>
      <c r="M1725" s="21">
        <v>-430125.78191792784</v>
      </c>
    </row>
    <row r="1726" spans="12:13" x14ac:dyDescent="0.2">
      <c r="L1726" s="4">
        <v>1720</v>
      </c>
      <c r="M1726" s="21">
        <v>41743.647532207775</v>
      </c>
    </row>
    <row r="1727" spans="12:13" x14ac:dyDescent="0.2">
      <c r="L1727" s="4">
        <v>1721</v>
      </c>
      <c r="M1727" s="21">
        <v>-189149.36052885797</v>
      </c>
    </row>
    <row r="1728" spans="12:13" x14ac:dyDescent="0.2">
      <c r="L1728" s="4">
        <v>1722</v>
      </c>
      <c r="M1728" s="21">
        <v>103869.06293982669</v>
      </c>
    </row>
    <row r="1729" spans="12:13" x14ac:dyDescent="0.2">
      <c r="L1729" s="4">
        <v>1723</v>
      </c>
      <c r="M1729" s="21">
        <v>313516.5928600179</v>
      </c>
    </row>
    <row r="1730" spans="12:13" x14ac:dyDescent="0.2">
      <c r="L1730" s="4">
        <v>1724</v>
      </c>
      <c r="M1730" s="21">
        <v>216566.43500432154</v>
      </c>
    </row>
    <row r="1731" spans="12:13" x14ac:dyDescent="0.2">
      <c r="L1731" s="4">
        <v>1725</v>
      </c>
      <c r="M1731" s="21">
        <v>503061.03872788372</v>
      </c>
    </row>
    <row r="1732" spans="12:13" x14ac:dyDescent="0.2">
      <c r="L1732" s="4">
        <v>1726</v>
      </c>
      <c r="M1732" s="21">
        <v>-62029.240880315643</v>
      </c>
    </row>
    <row r="1733" spans="12:13" x14ac:dyDescent="0.2">
      <c r="L1733" s="4">
        <v>1727</v>
      </c>
      <c r="M1733" s="21">
        <v>95420.205993489129</v>
      </c>
    </row>
    <row r="1734" spans="12:13" x14ac:dyDescent="0.2">
      <c r="L1734" s="4">
        <v>1728</v>
      </c>
      <c r="M1734" s="21">
        <v>-10885.848799058047</v>
      </c>
    </row>
    <row r="1735" spans="12:13" x14ac:dyDescent="0.2">
      <c r="L1735" s="4">
        <v>1729</v>
      </c>
      <c r="M1735" s="21">
        <v>328769.79935823474</v>
      </c>
    </row>
    <row r="1736" spans="12:13" x14ac:dyDescent="0.2">
      <c r="L1736" s="4">
        <v>1730</v>
      </c>
      <c r="M1736" s="21">
        <v>60385.07091656042</v>
      </c>
    </row>
    <row r="1737" spans="12:13" x14ac:dyDescent="0.2">
      <c r="L1737" s="4">
        <v>1731</v>
      </c>
      <c r="M1737" s="21">
        <v>-213305.49230357562</v>
      </c>
    </row>
    <row r="1738" spans="12:13" x14ac:dyDescent="0.2">
      <c r="L1738" s="4">
        <v>1732</v>
      </c>
      <c r="M1738" s="21">
        <v>-346698.47290865268</v>
      </c>
    </row>
    <row r="1739" spans="12:13" x14ac:dyDescent="0.2">
      <c r="L1739" s="4">
        <v>1733</v>
      </c>
      <c r="M1739" s="21">
        <v>372288.34000271419</v>
      </c>
    </row>
    <row r="1740" spans="12:13" x14ac:dyDescent="0.2">
      <c r="L1740" s="4">
        <v>1734</v>
      </c>
      <c r="M1740" s="21">
        <v>134593.8612928527</v>
      </c>
    </row>
    <row r="1741" spans="12:13" x14ac:dyDescent="0.2">
      <c r="L1741" s="4">
        <v>1735</v>
      </c>
      <c r="M1741" s="21">
        <v>137011.65771939489</v>
      </c>
    </row>
    <row r="1742" spans="12:13" x14ac:dyDescent="0.2">
      <c r="L1742" s="4">
        <v>1736</v>
      </c>
      <c r="M1742" s="21">
        <v>90332.2588969059</v>
      </c>
    </row>
    <row r="1743" spans="12:13" x14ac:dyDescent="0.2">
      <c r="L1743" s="4">
        <v>1737</v>
      </c>
      <c r="M1743" s="21">
        <v>277515.99439711613</v>
      </c>
    </row>
    <row r="1744" spans="12:13" x14ac:dyDescent="0.2">
      <c r="L1744" s="4">
        <v>1738</v>
      </c>
      <c r="M1744" s="21">
        <v>-3128.3061311149359</v>
      </c>
    </row>
    <row r="1745" spans="12:13" x14ac:dyDescent="0.2">
      <c r="L1745" s="4">
        <v>1739</v>
      </c>
      <c r="M1745" s="21">
        <v>-263900.37104451004</v>
      </c>
    </row>
    <row r="1746" spans="12:13" x14ac:dyDescent="0.2">
      <c r="L1746" s="4">
        <v>1740</v>
      </c>
      <c r="M1746" s="21">
        <v>-43153.480138097788</v>
      </c>
    </row>
    <row r="1747" spans="12:13" x14ac:dyDescent="0.2">
      <c r="L1747" s="4">
        <v>1741</v>
      </c>
      <c r="M1747" s="21">
        <v>15045.683491814823</v>
      </c>
    </row>
    <row r="1748" spans="12:13" x14ac:dyDescent="0.2">
      <c r="L1748" s="4">
        <v>1742</v>
      </c>
      <c r="M1748" s="21">
        <v>130307.89336980376</v>
      </c>
    </row>
    <row r="1749" spans="12:13" x14ac:dyDescent="0.2">
      <c r="L1749" s="4">
        <v>1743</v>
      </c>
      <c r="M1749" s="21">
        <v>-256574.17782260559</v>
      </c>
    </row>
    <row r="1750" spans="12:13" x14ac:dyDescent="0.2">
      <c r="L1750" s="4">
        <v>1744</v>
      </c>
      <c r="M1750" s="21">
        <v>48764.305953356758</v>
      </c>
    </row>
    <row r="1751" spans="12:13" x14ac:dyDescent="0.2">
      <c r="L1751" s="4">
        <v>1745</v>
      </c>
      <c r="M1751" s="21">
        <v>23351.789829022426</v>
      </c>
    </row>
    <row r="1752" spans="12:13" x14ac:dyDescent="0.2">
      <c r="L1752" s="4">
        <v>1746</v>
      </c>
      <c r="M1752" s="21">
        <v>350762.51555475546</v>
      </c>
    </row>
    <row r="1753" spans="12:13" x14ac:dyDescent="0.2">
      <c r="L1753" s="4">
        <v>1747</v>
      </c>
      <c r="M1753" s="21">
        <v>72711.849150376103</v>
      </c>
    </row>
    <row r="1754" spans="12:13" x14ac:dyDescent="0.2">
      <c r="L1754" s="4">
        <v>1748</v>
      </c>
      <c r="M1754" s="21">
        <v>-4270.3244316972705</v>
      </c>
    </row>
    <row r="1755" spans="12:13" x14ac:dyDescent="0.2">
      <c r="L1755" s="4">
        <v>1749</v>
      </c>
      <c r="M1755" s="21">
        <v>-37163.31412170922</v>
      </c>
    </row>
    <row r="1756" spans="12:13" x14ac:dyDescent="0.2">
      <c r="L1756" s="4">
        <v>1750</v>
      </c>
      <c r="M1756" s="21">
        <v>52525.480428161682</v>
      </c>
    </row>
    <row r="1757" spans="12:13" x14ac:dyDescent="0.2">
      <c r="L1757" s="4">
        <v>1751</v>
      </c>
      <c r="M1757" s="21">
        <v>-188428.47815688298</v>
      </c>
    </row>
    <row r="1758" spans="12:13" x14ac:dyDescent="0.2">
      <c r="L1758" s="4">
        <v>1752</v>
      </c>
      <c r="M1758" s="21">
        <v>-226165.73158097744</v>
      </c>
    </row>
    <row r="1759" spans="12:13" x14ac:dyDescent="0.2">
      <c r="L1759" s="4">
        <v>1753</v>
      </c>
      <c r="M1759" s="21">
        <v>-330859.72845618636</v>
      </c>
    </row>
    <row r="1760" spans="12:13" x14ac:dyDescent="0.2">
      <c r="L1760" s="4">
        <v>1754</v>
      </c>
      <c r="M1760" s="21">
        <v>-193590.03607117297</v>
      </c>
    </row>
    <row r="1761" spans="12:13" x14ac:dyDescent="0.2">
      <c r="L1761" s="4">
        <v>1755</v>
      </c>
      <c r="M1761" s="21">
        <v>300084.31086551899</v>
      </c>
    </row>
    <row r="1762" spans="12:13" x14ac:dyDescent="0.2">
      <c r="L1762" s="4">
        <v>1756</v>
      </c>
      <c r="M1762" s="21">
        <v>-230750.41663098591</v>
      </c>
    </row>
    <row r="1763" spans="12:13" x14ac:dyDescent="0.2">
      <c r="L1763" s="4">
        <v>1757</v>
      </c>
      <c r="M1763" s="21">
        <v>398237.77928592276</v>
      </c>
    </row>
    <row r="1764" spans="12:13" x14ac:dyDescent="0.2">
      <c r="L1764" s="4">
        <v>1758</v>
      </c>
      <c r="M1764" s="21">
        <v>130623.75987005621</v>
      </c>
    </row>
    <row r="1765" spans="12:13" x14ac:dyDescent="0.2">
      <c r="L1765" s="4">
        <v>1759</v>
      </c>
      <c r="M1765" s="21">
        <v>25749.702996206412</v>
      </c>
    </row>
    <row r="1766" spans="12:13" x14ac:dyDescent="0.2">
      <c r="L1766" s="4">
        <v>1760</v>
      </c>
      <c r="M1766" s="21">
        <v>-220177.88000402384</v>
      </c>
    </row>
    <row r="1767" spans="12:13" x14ac:dyDescent="0.2">
      <c r="L1767" s="4">
        <v>1761</v>
      </c>
      <c r="M1767" s="21">
        <v>163450.08938462197</v>
      </c>
    </row>
    <row r="1768" spans="12:13" x14ac:dyDescent="0.2">
      <c r="L1768" s="4">
        <v>1762</v>
      </c>
      <c r="M1768" s="21">
        <v>-120613.78719743468</v>
      </c>
    </row>
    <row r="1769" spans="12:13" x14ac:dyDescent="0.2">
      <c r="L1769" s="4">
        <v>1763</v>
      </c>
      <c r="M1769" s="21">
        <v>-343648.23558491329</v>
      </c>
    </row>
    <row r="1770" spans="12:13" x14ac:dyDescent="0.2">
      <c r="L1770" s="4">
        <v>1764</v>
      </c>
      <c r="M1770" s="21">
        <v>251933.81520343674</v>
      </c>
    </row>
    <row r="1771" spans="12:13" x14ac:dyDescent="0.2">
      <c r="L1771" s="4">
        <v>1765</v>
      </c>
      <c r="M1771" s="21">
        <v>-258075.83724460303</v>
      </c>
    </row>
    <row r="1772" spans="12:13" x14ac:dyDescent="0.2">
      <c r="L1772" s="4">
        <v>1766</v>
      </c>
      <c r="M1772" s="21">
        <v>-114449.9781576044</v>
      </c>
    </row>
    <row r="1773" spans="12:13" x14ac:dyDescent="0.2">
      <c r="L1773" s="4">
        <v>1767</v>
      </c>
      <c r="M1773" s="21">
        <v>-19190.5605746683</v>
      </c>
    </row>
    <row r="1774" spans="12:13" x14ac:dyDescent="0.2">
      <c r="L1774" s="4">
        <v>1768</v>
      </c>
      <c r="M1774" s="21">
        <v>41187.930620305851</v>
      </c>
    </row>
    <row r="1775" spans="12:13" x14ac:dyDescent="0.2">
      <c r="L1775" s="4">
        <v>1769</v>
      </c>
      <c r="M1775" s="21">
        <v>-171526.73961562506</v>
      </c>
    </row>
    <row r="1776" spans="12:13" x14ac:dyDescent="0.2">
      <c r="L1776" s="4">
        <v>1770</v>
      </c>
      <c r="M1776" s="21">
        <v>139713.64395993607</v>
      </c>
    </row>
    <row r="1777" spans="12:13" x14ac:dyDescent="0.2">
      <c r="L1777" s="4">
        <v>1771</v>
      </c>
      <c r="M1777" s="21">
        <v>79729.887113053905</v>
      </c>
    </row>
    <row r="1778" spans="12:13" x14ac:dyDescent="0.2">
      <c r="L1778" s="4">
        <v>1772</v>
      </c>
      <c r="M1778" s="21">
        <v>-85517.045719898306</v>
      </c>
    </row>
    <row r="1779" spans="12:13" x14ac:dyDescent="0.2">
      <c r="L1779" s="4">
        <v>1773</v>
      </c>
      <c r="M1779" s="21">
        <v>472119.53631907469</v>
      </c>
    </row>
    <row r="1780" spans="12:13" x14ac:dyDescent="0.2">
      <c r="L1780" s="4">
        <v>1774</v>
      </c>
      <c r="M1780" s="21">
        <v>272279.63820246782</v>
      </c>
    </row>
    <row r="1781" spans="12:13" x14ac:dyDescent="0.2">
      <c r="L1781" s="4">
        <v>1775</v>
      </c>
      <c r="M1781" s="21">
        <v>-346077.87734354584</v>
      </c>
    </row>
    <row r="1782" spans="12:13" x14ac:dyDescent="0.2">
      <c r="L1782" s="4">
        <v>1776</v>
      </c>
      <c r="M1782" s="21">
        <v>98604.867695942405</v>
      </c>
    </row>
    <row r="1783" spans="12:13" x14ac:dyDescent="0.2">
      <c r="L1783" s="4">
        <v>1777</v>
      </c>
      <c r="M1783" s="21">
        <v>-121809.17423436757</v>
      </c>
    </row>
    <row r="1784" spans="12:13" x14ac:dyDescent="0.2">
      <c r="L1784" s="4">
        <v>1778</v>
      </c>
      <c r="M1784" s="21">
        <v>-78802.818460078779</v>
      </c>
    </row>
    <row r="1785" spans="12:13" x14ac:dyDescent="0.2">
      <c r="L1785" s="4">
        <v>1779</v>
      </c>
      <c r="M1785" s="21">
        <v>-216538.05656316897</v>
      </c>
    </row>
    <row r="1786" spans="12:13" x14ac:dyDescent="0.2">
      <c r="L1786" s="4">
        <v>1780</v>
      </c>
      <c r="M1786" s="21">
        <v>-8596.2168369062565</v>
      </c>
    </row>
    <row r="1787" spans="12:13" x14ac:dyDescent="0.2">
      <c r="L1787" s="4">
        <v>1781</v>
      </c>
      <c r="M1787" s="21">
        <v>75412.157010897063</v>
      </c>
    </row>
    <row r="1788" spans="12:13" x14ac:dyDescent="0.2">
      <c r="L1788" s="4">
        <v>1782</v>
      </c>
      <c r="M1788" s="21">
        <v>-218437.96575005632</v>
      </c>
    </row>
    <row r="1789" spans="12:13" x14ac:dyDescent="0.2">
      <c r="L1789" s="4">
        <v>1783</v>
      </c>
      <c r="M1789" s="21">
        <v>391434.5428605706</v>
      </c>
    </row>
    <row r="1790" spans="12:13" x14ac:dyDescent="0.2">
      <c r="L1790" s="4">
        <v>1784</v>
      </c>
      <c r="M1790" s="21">
        <v>809354.56371049618</v>
      </c>
    </row>
    <row r="1791" spans="12:13" x14ac:dyDescent="0.2">
      <c r="L1791" s="4">
        <v>1785</v>
      </c>
      <c r="M1791" s="21">
        <v>-42975.898880929788</v>
      </c>
    </row>
    <row r="1792" spans="12:13" x14ac:dyDescent="0.2">
      <c r="L1792" s="4">
        <v>1786</v>
      </c>
      <c r="M1792" s="21">
        <v>-91070.146967270368</v>
      </c>
    </row>
    <row r="1793" spans="12:13" x14ac:dyDescent="0.2">
      <c r="L1793" s="4">
        <v>1787</v>
      </c>
      <c r="M1793" s="21">
        <v>-108123.30905155771</v>
      </c>
    </row>
    <row r="1794" spans="12:13" x14ac:dyDescent="0.2">
      <c r="L1794" s="4">
        <v>1788</v>
      </c>
      <c r="M1794" s="21">
        <v>-131791.60745506582</v>
      </c>
    </row>
    <row r="1795" spans="12:13" x14ac:dyDescent="0.2">
      <c r="L1795" s="4">
        <v>1789</v>
      </c>
      <c r="M1795" s="21">
        <v>-6702.1423683649191</v>
      </c>
    </row>
    <row r="1796" spans="12:13" x14ac:dyDescent="0.2">
      <c r="L1796" s="4">
        <v>1790</v>
      </c>
      <c r="M1796" s="21">
        <v>-85930.21580460963</v>
      </c>
    </row>
    <row r="1797" spans="12:13" x14ac:dyDescent="0.2">
      <c r="L1797" s="4">
        <v>1791</v>
      </c>
      <c r="M1797" s="21">
        <v>283674.59722007706</v>
      </c>
    </row>
    <row r="1798" spans="12:13" x14ac:dyDescent="0.2">
      <c r="L1798" s="4">
        <v>1792</v>
      </c>
      <c r="M1798" s="21">
        <v>-21933.153766859177</v>
      </c>
    </row>
    <row r="1799" spans="12:13" x14ac:dyDescent="0.2">
      <c r="L1799" s="4">
        <v>1793</v>
      </c>
      <c r="M1799" s="21">
        <v>-343618.35271495988</v>
      </c>
    </row>
    <row r="1800" spans="12:13" x14ac:dyDescent="0.2">
      <c r="L1800" s="4">
        <v>1794</v>
      </c>
      <c r="M1800" s="21">
        <v>112614.60397540557</v>
      </c>
    </row>
    <row r="1801" spans="12:13" x14ac:dyDescent="0.2">
      <c r="L1801" s="4">
        <v>1795</v>
      </c>
      <c r="M1801" s="21">
        <v>53322.072706158273</v>
      </c>
    </row>
    <row r="1802" spans="12:13" x14ac:dyDescent="0.2">
      <c r="L1802" s="4">
        <v>1796</v>
      </c>
      <c r="M1802" s="21">
        <v>51033.895959512738</v>
      </c>
    </row>
    <row r="1803" spans="12:13" x14ac:dyDescent="0.2">
      <c r="L1803" s="4">
        <v>1797</v>
      </c>
      <c r="M1803" s="21">
        <v>-126128.04250190378</v>
      </c>
    </row>
    <row r="1804" spans="12:13" x14ac:dyDescent="0.2">
      <c r="L1804" s="4">
        <v>1798</v>
      </c>
      <c r="M1804" s="21">
        <v>-134254.02895143605</v>
      </c>
    </row>
    <row r="1805" spans="12:13" x14ac:dyDescent="0.2">
      <c r="L1805" s="4">
        <v>1799</v>
      </c>
      <c r="M1805" s="21">
        <v>-166109.07703232853</v>
      </c>
    </row>
    <row r="1806" spans="12:13" x14ac:dyDescent="0.2">
      <c r="L1806" s="4">
        <v>1800</v>
      </c>
      <c r="M1806" s="21">
        <v>-194797.97286964281</v>
      </c>
    </row>
    <row r="1807" spans="12:13" x14ac:dyDescent="0.2">
      <c r="L1807" s="4">
        <v>1801</v>
      </c>
      <c r="M1807" s="21">
        <v>61989.080006040283</v>
      </c>
    </row>
    <row r="1808" spans="12:13" x14ac:dyDescent="0.2">
      <c r="L1808" s="4">
        <v>1802</v>
      </c>
      <c r="M1808" s="21">
        <v>322410.62344079034</v>
      </c>
    </row>
    <row r="1809" spans="12:13" x14ac:dyDescent="0.2">
      <c r="L1809" s="4">
        <v>1803</v>
      </c>
      <c r="M1809" s="21">
        <v>-69937.379817435372</v>
      </c>
    </row>
    <row r="1810" spans="12:13" x14ac:dyDescent="0.2">
      <c r="L1810" s="4">
        <v>1804</v>
      </c>
      <c r="M1810" s="21">
        <v>-177932.66474960383</v>
      </c>
    </row>
    <row r="1811" spans="12:13" x14ac:dyDescent="0.2">
      <c r="L1811" s="4">
        <v>1805</v>
      </c>
      <c r="M1811" s="21">
        <v>200784.84429679916</v>
      </c>
    </row>
    <row r="1812" spans="12:13" x14ac:dyDescent="0.2">
      <c r="L1812" s="4">
        <v>1806</v>
      </c>
      <c r="M1812" s="21">
        <v>-17516.781664537033</v>
      </c>
    </row>
    <row r="1813" spans="12:13" x14ac:dyDescent="0.2">
      <c r="L1813" s="4">
        <v>1807</v>
      </c>
      <c r="M1813" s="21">
        <v>232331.12974079634</v>
      </c>
    </row>
    <row r="1814" spans="12:13" x14ac:dyDescent="0.2">
      <c r="L1814" s="4">
        <v>1808</v>
      </c>
      <c r="M1814" s="21">
        <v>-17619.375496016335</v>
      </c>
    </row>
    <row r="1815" spans="12:13" x14ac:dyDescent="0.2">
      <c r="L1815" s="4">
        <v>1809</v>
      </c>
      <c r="M1815" s="21">
        <v>-78002.412939119822</v>
      </c>
    </row>
    <row r="1816" spans="12:13" x14ac:dyDescent="0.2">
      <c r="L1816" s="4">
        <v>1810</v>
      </c>
      <c r="M1816" s="21">
        <v>20589.969371204206</v>
      </c>
    </row>
    <row r="1817" spans="12:13" x14ac:dyDescent="0.2">
      <c r="L1817" s="4">
        <v>1811</v>
      </c>
      <c r="M1817" s="21">
        <v>45137.433233080985</v>
      </c>
    </row>
    <row r="1818" spans="12:13" x14ac:dyDescent="0.2">
      <c r="L1818" s="4">
        <v>1812</v>
      </c>
      <c r="M1818" s="21">
        <v>-13452.200783279841</v>
      </c>
    </row>
    <row r="1819" spans="12:13" x14ac:dyDescent="0.2">
      <c r="L1819" s="4">
        <v>1813</v>
      </c>
      <c r="M1819" s="21">
        <v>-251969.97988066482</v>
      </c>
    </row>
    <row r="1820" spans="12:13" x14ac:dyDescent="0.2">
      <c r="L1820" s="4">
        <v>1814</v>
      </c>
      <c r="M1820" s="21">
        <v>-62087.765730077866</v>
      </c>
    </row>
    <row r="1821" spans="12:13" x14ac:dyDescent="0.2">
      <c r="L1821" s="4">
        <v>1815</v>
      </c>
      <c r="M1821" s="21">
        <v>106591.7617513242</v>
      </c>
    </row>
    <row r="1822" spans="12:13" x14ac:dyDescent="0.2">
      <c r="L1822" s="4">
        <v>1816</v>
      </c>
      <c r="M1822" s="21">
        <v>-8833.5976820708602</v>
      </c>
    </row>
    <row r="1823" spans="12:13" x14ac:dyDescent="0.2">
      <c r="L1823" s="4">
        <v>1817</v>
      </c>
      <c r="M1823" s="21">
        <v>-129190.98531093208</v>
      </c>
    </row>
    <row r="1824" spans="12:13" x14ac:dyDescent="0.2">
      <c r="L1824" s="4">
        <v>1818</v>
      </c>
      <c r="M1824" s="21">
        <v>-20860.846478601379</v>
      </c>
    </row>
    <row r="1825" spans="12:13" x14ac:dyDescent="0.2">
      <c r="L1825" s="4">
        <v>1819</v>
      </c>
      <c r="M1825" s="21">
        <v>154809.92273972873</v>
      </c>
    </row>
    <row r="1826" spans="12:13" x14ac:dyDescent="0.2">
      <c r="L1826" s="4">
        <v>1820</v>
      </c>
      <c r="M1826" s="21">
        <v>-225021.7000895823</v>
      </c>
    </row>
    <row r="1827" spans="12:13" x14ac:dyDescent="0.2">
      <c r="L1827" s="4">
        <v>1821</v>
      </c>
      <c r="M1827" s="21">
        <v>239229.1768204853</v>
      </c>
    </row>
    <row r="1828" spans="12:13" x14ac:dyDescent="0.2">
      <c r="L1828" s="4">
        <v>1822</v>
      </c>
      <c r="M1828" s="21">
        <v>-7507.0029490631423</v>
      </c>
    </row>
    <row r="1829" spans="12:13" x14ac:dyDescent="0.2">
      <c r="L1829" s="4">
        <v>1823</v>
      </c>
      <c r="M1829" s="21">
        <v>50941.572037542704</v>
      </c>
    </row>
    <row r="1830" spans="12:13" x14ac:dyDescent="0.2">
      <c r="L1830" s="4">
        <v>1824</v>
      </c>
      <c r="M1830" s="21">
        <v>219308.81033750949</v>
      </c>
    </row>
    <row r="1831" spans="12:13" x14ac:dyDescent="0.2">
      <c r="L1831" s="4">
        <v>1825</v>
      </c>
      <c r="M1831" s="21">
        <v>-355750.29882637243</v>
      </c>
    </row>
    <row r="1832" spans="12:13" x14ac:dyDescent="0.2">
      <c r="L1832" s="4">
        <v>1826</v>
      </c>
      <c r="M1832" s="21">
        <v>-350492.59154936008</v>
      </c>
    </row>
    <row r="1833" spans="12:13" x14ac:dyDescent="0.2">
      <c r="L1833" s="4">
        <v>1827</v>
      </c>
      <c r="M1833" s="21">
        <v>-319473.92211830016</v>
      </c>
    </row>
    <row r="1834" spans="12:13" x14ac:dyDescent="0.2">
      <c r="L1834" s="4">
        <v>1828</v>
      </c>
      <c r="M1834" s="21">
        <v>453500.00560693245</v>
      </c>
    </row>
    <row r="1835" spans="12:13" x14ac:dyDescent="0.2">
      <c r="L1835" s="4">
        <v>1829</v>
      </c>
      <c r="M1835" s="21">
        <v>-309251.29353861336</v>
      </c>
    </row>
    <row r="1836" spans="12:13" x14ac:dyDescent="0.2">
      <c r="L1836" s="4">
        <v>1830</v>
      </c>
      <c r="M1836" s="21">
        <v>29373.965966709395</v>
      </c>
    </row>
    <row r="1837" spans="12:13" x14ac:dyDescent="0.2">
      <c r="L1837" s="4">
        <v>1831</v>
      </c>
      <c r="M1837" s="21">
        <v>-37217.692566385958</v>
      </c>
    </row>
    <row r="1838" spans="12:13" x14ac:dyDescent="0.2">
      <c r="L1838" s="4">
        <v>1832</v>
      </c>
      <c r="M1838" s="21">
        <v>282115.55225915904</v>
      </c>
    </row>
    <row r="1839" spans="12:13" x14ac:dyDescent="0.2">
      <c r="L1839" s="4">
        <v>1833</v>
      </c>
      <c r="M1839" s="21">
        <v>90823.385908855096</v>
      </c>
    </row>
    <row r="1840" spans="12:13" x14ac:dyDescent="0.2">
      <c r="L1840" s="4">
        <v>1834</v>
      </c>
      <c r="M1840" s="21">
        <v>-88546.582993535718</v>
      </c>
    </row>
    <row r="1841" spans="12:13" x14ac:dyDescent="0.2">
      <c r="L1841" s="4">
        <v>1835</v>
      </c>
      <c r="M1841" s="21">
        <v>269.95019367407076</v>
      </c>
    </row>
    <row r="1842" spans="12:13" x14ac:dyDescent="0.2">
      <c r="L1842" s="4">
        <v>1836</v>
      </c>
      <c r="M1842" s="21">
        <v>-254271.8915155677</v>
      </c>
    </row>
    <row r="1843" spans="12:13" x14ac:dyDescent="0.2">
      <c r="L1843" s="4">
        <v>1837</v>
      </c>
      <c r="M1843" s="21">
        <v>191745.12465769725</v>
      </c>
    </row>
    <row r="1844" spans="12:13" x14ac:dyDescent="0.2">
      <c r="L1844" s="4">
        <v>1838</v>
      </c>
      <c r="M1844" s="21">
        <v>285936.39968825271</v>
      </c>
    </row>
    <row r="1845" spans="12:13" x14ac:dyDescent="0.2">
      <c r="L1845" s="4">
        <v>1839</v>
      </c>
      <c r="M1845" s="21">
        <v>318039.30006088945</v>
      </c>
    </row>
    <row r="1846" spans="12:13" x14ac:dyDescent="0.2">
      <c r="L1846" s="4">
        <v>1840</v>
      </c>
      <c r="M1846" s="21">
        <v>-141337.05326558065</v>
      </c>
    </row>
    <row r="1847" spans="12:13" x14ac:dyDescent="0.2">
      <c r="L1847" s="4">
        <v>1841</v>
      </c>
      <c r="M1847" s="21">
        <v>-81850.490673839493</v>
      </c>
    </row>
    <row r="1848" spans="12:13" x14ac:dyDescent="0.2">
      <c r="L1848" s="4">
        <v>1842</v>
      </c>
      <c r="M1848" s="21">
        <v>52847.758970159979</v>
      </c>
    </row>
    <row r="1849" spans="12:13" x14ac:dyDescent="0.2">
      <c r="L1849" s="4">
        <v>1843</v>
      </c>
      <c r="M1849" s="21">
        <v>5382.4774877305899</v>
      </c>
    </row>
    <row r="1850" spans="12:13" x14ac:dyDescent="0.2">
      <c r="L1850" s="4">
        <v>1844</v>
      </c>
      <c r="M1850" s="21">
        <v>-332687.87350248557</v>
      </c>
    </row>
    <row r="1851" spans="12:13" x14ac:dyDescent="0.2">
      <c r="L1851" s="4">
        <v>1845</v>
      </c>
      <c r="M1851" s="21">
        <v>-20301.383982394997</v>
      </c>
    </row>
    <row r="1852" spans="12:13" x14ac:dyDescent="0.2">
      <c r="L1852" s="4">
        <v>1846</v>
      </c>
      <c r="M1852" s="21">
        <v>-129788.50929670401</v>
      </c>
    </row>
    <row r="1853" spans="12:13" x14ac:dyDescent="0.2">
      <c r="L1853" s="4">
        <v>1847</v>
      </c>
      <c r="M1853" s="21">
        <v>202925.93710380516</v>
      </c>
    </row>
    <row r="1854" spans="12:13" x14ac:dyDescent="0.2">
      <c r="L1854" s="4">
        <v>1848</v>
      </c>
      <c r="M1854" s="21">
        <v>8884.8424545899616</v>
      </c>
    </row>
    <row r="1855" spans="12:13" x14ac:dyDescent="0.2">
      <c r="L1855" s="4">
        <v>1849</v>
      </c>
      <c r="M1855" s="21">
        <v>154325.33947338833</v>
      </c>
    </row>
    <row r="1856" spans="12:13" x14ac:dyDescent="0.2">
      <c r="L1856" s="4">
        <v>1850</v>
      </c>
      <c r="M1856" s="21">
        <v>-109238.80961108657</v>
      </c>
    </row>
    <row r="1857" spans="12:13" x14ac:dyDescent="0.2">
      <c r="L1857" s="4">
        <v>1851</v>
      </c>
      <c r="M1857" s="21">
        <v>203738.38626944623</v>
      </c>
    </row>
    <row r="1858" spans="12:13" x14ac:dyDescent="0.2">
      <c r="L1858" s="4">
        <v>1852</v>
      </c>
      <c r="M1858" s="21">
        <v>-101682.33253057387</v>
      </c>
    </row>
    <row r="1859" spans="12:13" x14ac:dyDescent="0.2">
      <c r="L1859" s="4">
        <v>1853</v>
      </c>
      <c r="M1859" s="21">
        <v>179852.41231832723</v>
      </c>
    </row>
    <row r="1860" spans="12:13" x14ac:dyDescent="0.2">
      <c r="L1860" s="4">
        <v>1854</v>
      </c>
      <c r="M1860" s="21">
        <v>-264330.36216902599</v>
      </c>
    </row>
    <row r="1861" spans="12:13" x14ac:dyDescent="0.2">
      <c r="L1861" s="4">
        <v>1855</v>
      </c>
      <c r="M1861" s="21">
        <v>272079.39545311482</v>
      </c>
    </row>
    <row r="1862" spans="12:13" x14ac:dyDescent="0.2">
      <c r="L1862" s="4">
        <v>1856</v>
      </c>
      <c r="M1862" s="21">
        <v>-46129.652319079934</v>
      </c>
    </row>
    <row r="1863" spans="12:13" x14ac:dyDescent="0.2">
      <c r="L1863" s="4">
        <v>1857</v>
      </c>
      <c r="M1863" s="21">
        <v>-38457.052831034409</v>
      </c>
    </row>
    <row r="1864" spans="12:13" x14ac:dyDescent="0.2">
      <c r="L1864" s="4">
        <v>1858</v>
      </c>
      <c r="M1864" s="21">
        <v>162473.17105614004</v>
      </c>
    </row>
    <row r="1865" spans="12:13" x14ac:dyDescent="0.2">
      <c r="L1865" s="4">
        <v>1859</v>
      </c>
      <c r="M1865" s="21">
        <v>43746.794610515324</v>
      </c>
    </row>
    <row r="1866" spans="12:13" x14ac:dyDescent="0.2">
      <c r="L1866" s="4">
        <v>1860</v>
      </c>
      <c r="M1866" s="21">
        <v>-47502.120755951881</v>
      </c>
    </row>
    <row r="1867" spans="12:13" x14ac:dyDescent="0.2">
      <c r="L1867" s="4">
        <v>1861</v>
      </c>
      <c r="M1867" s="21">
        <v>-95470.751784468303</v>
      </c>
    </row>
    <row r="1868" spans="12:13" x14ac:dyDescent="0.2">
      <c r="L1868" s="4">
        <v>1862</v>
      </c>
      <c r="M1868" s="21">
        <v>-53084.47009562701</v>
      </c>
    </row>
    <row r="1869" spans="12:13" x14ac:dyDescent="0.2">
      <c r="L1869" s="4">
        <v>1863</v>
      </c>
      <c r="M1869" s="21">
        <v>185814.77986218821</v>
      </c>
    </row>
    <row r="1870" spans="12:13" x14ac:dyDescent="0.2">
      <c r="L1870" s="4">
        <v>1864</v>
      </c>
      <c r="M1870" s="21">
        <v>161012.28553340549</v>
      </c>
    </row>
    <row r="1871" spans="12:13" x14ac:dyDescent="0.2">
      <c r="L1871" s="4">
        <v>1865</v>
      </c>
      <c r="M1871" s="21">
        <v>-235393.02060600804</v>
      </c>
    </row>
    <row r="1872" spans="12:13" x14ac:dyDescent="0.2">
      <c r="L1872" s="4">
        <v>1866</v>
      </c>
      <c r="M1872" s="21">
        <v>90154.221440827794</v>
      </c>
    </row>
    <row r="1873" spans="12:13" x14ac:dyDescent="0.2">
      <c r="L1873" s="4">
        <v>1867</v>
      </c>
      <c r="M1873" s="21">
        <v>-5281.0639356991014</v>
      </c>
    </row>
    <row r="1874" spans="12:13" x14ac:dyDescent="0.2">
      <c r="L1874" s="4">
        <v>1868</v>
      </c>
      <c r="M1874" s="21">
        <v>32352.905078585172</v>
      </c>
    </row>
    <row r="1875" spans="12:13" x14ac:dyDescent="0.2">
      <c r="L1875" s="4">
        <v>1869</v>
      </c>
      <c r="M1875" s="21">
        <v>97478.544626458781</v>
      </c>
    </row>
    <row r="1876" spans="12:13" x14ac:dyDescent="0.2">
      <c r="L1876" s="4">
        <v>1870</v>
      </c>
      <c r="M1876" s="21">
        <v>-96716.5645970529</v>
      </c>
    </row>
    <row r="1877" spans="12:13" x14ac:dyDescent="0.2">
      <c r="L1877" s="4">
        <v>1871</v>
      </c>
      <c r="M1877" s="21">
        <v>193857.76254807555</v>
      </c>
    </row>
    <row r="1878" spans="12:13" x14ac:dyDescent="0.2">
      <c r="L1878" s="4">
        <v>1872</v>
      </c>
      <c r="M1878" s="21">
        <v>-84917.717309251995</v>
      </c>
    </row>
    <row r="1879" spans="12:13" x14ac:dyDescent="0.2">
      <c r="L1879" s="4">
        <v>1873</v>
      </c>
      <c r="M1879" s="21">
        <v>-229632.19785069031</v>
      </c>
    </row>
    <row r="1880" spans="12:13" x14ac:dyDescent="0.2">
      <c r="L1880" s="4">
        <v>1874</v>
      </c>
      <c r="M1880" s="21">
        <v>343221.5409645891</v>
      </c>
    </row>
    <row r="1881" spans="12:13" x14ac:dyDescent="0.2">
      <c r="L1881" s="4">
        <v>1875</v>
      </c>
      <c r="M1881" s="21">
        <v>64071.738770116295</v>
      </c>
    </row>
    <row r="1882" spans="12:13" x14ac:dyDescent="0.2">
      <c r="L1882" s="4">
        <v>1876</v>
      </c>
      <c r="M1882" s="21">
        <v>-264187.87380642153</v>
      </c>
    </row>
    <row r="1883" spans="12:13" x14ac:dyDescent="0.2">
      <c r="L1883" s="4">
        <v>1877</v>
      </c>
      <c r="M1883" s="21">
        <v>45932.283514407784</v>
      </c>
    </row>
    <row r="1884" spans="12:13" x14ac:dyDescent="0.2">
      <c r="L1884" s="4">
        <v>1878</v>
      </c>
      <c r="M1884" s="21">
        <v>-5052.4813411307696</v>
      </c>
    </row>
    <row r="1885" spans="12:13" x14ac:dyDescent="0.2">
      <c r="L1885" s="4">
        <v>1879</v>
      </c>
      <c r="M1885" s="21">
        <v>269465.37752928986</v>
      </c>
    </row>
    <row r="1886" spans="12:13" x14ac:dyDescent="0.2">
      <c r="L1886" s="4">
        <v>1880</v>
      </c>
      <c r="M1886" s="21">
        <v>365576.68421475741</v>
      </c>
    </row>
    <row r="1887" spans="12:13" x14ac:dyDescent="0.2">
      <c r="L1887" s="4">
        <v>1881</v>
      </c>
      <c r="M1887" s="21">
        <v>-217063.06072388013</v>
      </c>
    </row>
    <row r="1888" spans="12:13" x14ac:dyDescent="0.2">
      <c r="L1888" s="4">
        <v>1882</v>
      </c>
      <c r="M1888" s="21">
        <v>-52144.230304087614</v>
      </c>
    </row>
    <row r="1889" spans="12:13" x14ac:dyDescent="0.2">
      <c r="L1889" s="4">
        <v>1883</v>
      </c>
      <c r="M1889" s="21">
        <v>-8810.307074869299</v>
      </c>
    </row>
    <row r="1890" spans="12:13" x14ac:dyDescent="0.2">
      <c r="L1890" s="4">
        <v>1884</v>
      </c>
      <c r="M1890" s="21">
        <v>-53696.203086084861</v>
      </c>
    </row>
    <row r="1891" spans="12:13" x14ac:dyDescent="0.2">
      <c r="L1891" s="4">
        <v>1885</v>
      </c>
      <c r="M1891" s="21">
        <v>-300138.36951993749</v>
      </c>
    </row>
    <row r="1892" spans="12:13" x14ac:dyDescent="0.2">
      <c r="L1892" s="4">
        <v>1886</v>
      </c>
      <c r="M1892" s="21">
        <v>-145294.84575947357</v>
      </c>
    </row>
    <row r="1893" spans="12:13" x14ac:dyDescent="0.2">
      <c r="L1893" s="4">
        <v>1887</v>
      </c>
      <c r="M1893" s="21">
        <v>148714.06560449203</v>
      </c>
    </row>
    <row r="1894" spans="12:13" x14ac:dyDescent="0.2">
      <c r="L1894" s="4">
        <v>1888</v>
      </c>
      <c r="M1894" s="21">
        <v>-111326.98131307132</v>
      </c>
    </row>
    <row r="1895" spans="12:13" x14ac:dyDescent="0.2">
      <c r="L1895" s="4">
        <v>1889</v>
      </c>
      <c r="M1895" s="21">
        <v>129807.1543528437</v>
      </c>
    </row>
    <row r="1896" spans="12:13" x14ac:dyDescent="0.2">
      <c r="L1896" s="4">
        <v>1890</v>
      </c>
      <c r="M1896" s="21">
        <v>-21088.594762003355</v>
      </c>
    </row>
    <row r="1897" spans="12:13" x14ac:dyDescent="0.2">
      <c r="L1897" s="4">
        <v>1891</v>
      </c>
      <c r="M1897" s="21">
        <v>53858.203057147592</v>
      </c>
    </row>
    <row r="1898" spans="12:13" x14ac:dyDescent="0.2">
      <c r="L1898" s="4">
        <v>1892</v>
      </c>
      <c r="M1898" s="21">
        <v>763480.07954241149</v>
      </c>
    </row>
    <row r="1899" spans="12:13" x14ac:dyDescent="0.2">
      <c r="L1899" s="4">
        <v>1893</v>
      </c>
      <c r="M1899" s="21">
        <v>-319999.30303795438</v>
      </c>
    </row>
    <row r="1900" spans="12:13" x14ac:dyDescent="0.2">
      <c r="L1900" s="4">
        <v>1894</v>
      </c>
      <c r="M1900" s="21">
        <v>-328116.94654425664</v>
      </c>
    </row>
    <row r="1901" spans="12:13" x14ac:dyDescent="0.2">
      <c r="L1901" s="4">
        <v>1895</v>
      </c>
      <c r="M1901" s="21">
        <v>-188053.41298676393</v>
      </c>
    </row>
    <row r="1902" spans="12:13" x14ac:dyDescent="0.2">
      <c r="L1902" s="4">
        <v>1896</v>
      </c>
      <c r="M1902" s="21">
        <v>448791.68235934072</v>
      </c>
    </row>
    <row r="1903" spans="12:13" x14ac:dyDescent="0.2">
      <c r="L1903" s="4">
        <v>1897</v>
      </c>
      <c r="M1903" s="21">
        <v>-17933.77667127864</v>
      </c>
    </row>
    <row r="1904" spans="12:13" x14ac:dyDescent="0.2">
      <c r="L1904" s="4">
        <v>1898</v>
      </c>
      <c r="M1904" s="21">
        <v>71631.547972210537</v>
      </c>
    </row>
    <row r="1905" spans="12:13" x14ac:dyDescent="0.2">
      <c r="L1905" s="4">
        <v>1899</v>
      </c>
      <c r="M1905" s="21">
        <v>-143251.50268921332</v>
      </c>
    </row>
    <row r="1906" spans="12:13" x14ac:dyDescent="0.2">
      <c r="L1906" s="4">
        <v>1900</v>
      </c>
      <c r="M1906" s="21">
        <v>131801.98482699343</v>
      </c>
    </row>
    <row r="1907" spans="12:13" x14ac:dyDescent="0.2">
      <c r="L1907" s="4">
        <v>1901</v>
      </c>
      <c r="M1907" s="21">
        <v>-244802.20949480752</v>
      </c>
    </row>
    <row r="1908" spans="12:13" x14ac:dyDescent="0.2">
      <c r="L1908" s="4">
        <v>1902</v>
      </c>
      <c r="M1908" s="21">
        <v>-324751.08177860035</v>
      </c>
    </row>
    <row r="1909" spans="12:13" x14ac:dyDescent="0.2">
      <c r="L1909" s="4">
        <v>1903</v>
      </c>
      <c r="M1909" s="21">
        <v>164087.24907808617</v>
      </c>
    </row>
    <row r="1910" spans="12:13" x14ac:dyDescent="0.2">
      <c r="L1910" s="4">
        <v>1904</v>
      </c>
      <c r="M1910" s="21">
        <v>-241568.77706072727</v>
      </c>
    </row>
    <row r="1911" spans="12:13" x14ac:dyDescent="0.2">
      <c r="L1911" s="4">
        <v>1905</v>
      </c>
      <c r="M1911" s="21">
        <v>-80907.303158683033</v>
      </c>
    </row>
    <row r="1912" spans="12:13" x14ac:dyDescent="0.2">
      <c r="L1912" s="4">
        <v>1906</v>
      </c>
      <c r="M1912" s="21">
        <v>-208790.85775591974</v>
      </c>
    </row>
    <row r="1913" spans="12:13" x14ac:dyDescent="0.2">
      <c r="L1913" s="4">
        <v>1907</v>
      </c>
      <c r="M1913" s="21">
        <v>38229.534292306926</v>
      </c>
    </row>
    <row r="1914" spans="12:13" x14ac:dyDescent="0.2">
      <c r="L1914" s="4">
        <v>1908</v>
      </c>
      <c r="M1914" s="21">
        <v>-43439.735332951328</v>
      </c>
    </row>
    <row r="1915" spans="12:13" x14ac:dyDescent="0.2">
      <c r="L1915" s="4">
        <v>1909</v>
      </c>
      <c r="M1915" s="21">
        <v>-357435.14956435916</v>
      </c>
    </row>
    <row r="1916" spans="12:13" x14ac:dyDescent="0.2">
      <c r="L1916" s="4">
        <v>1910</v>
      </c>
      <c r="M1916" s="21">
        <v>165608.03672476683</v>
      </c>
    </row>
    <row r="1917" spans="12:13" x14ac:dyDescent="0.2">
      <c r="L1917" s="4">
        <v>1911</v>
      </c>
      <c r="M1917" s="21">
        <v>-253367.17349292545</v>
      </c>
    </row>
    <row r="1918" spans="12:13" x14ac:dyDescent="0.2">
      <c r="L1918" s="4">
        <v>1912</v>
      </c>
      <c r="M1918" s="21">
        <v>129614.53042807398</v>
      </c>
    </row>
    <row r="1919" spans="12:13" x14ac:dyDescent="0.2">
      <c r="L1919" s="4">
        <v>1913</v>
      </c>
      <c r="M1919" s="21">
        <v>185591.86501723269</v>
      </c>
    </row>
    <row r="1920" spans="12:13" x14ac:dyDescent="0.2">
      <c r="L1920" s="4">
        <v>1914</v>
      </c>
      <c r="M1920" s="21">
        <v>202941.28923228278</v>
      </c>
    </row>
    <row r="1921" spans="12:13" x14ac:dyDescent="0.2">
      <c r="L1921" s="4">
        <v>1915</v>
      </c>
      <c r="M1921" s="21">
        <v>-129297.80864150776</v>
      </c>
    </row>
    <row r="1922" spans="12:13" x14ac:dyDescent="0.2">
      <c r="L1922" s="4">
        <v>1916</v>
      </c>
      <c r="M1922" s="21">
        <v>37954.01557181761</v>
      </c>
    </row>
    <row r="1923" spans="12:13" x14ac:dyDescent="0.2">
      <c r="L1923" s="4">
        <v>1917</v>
      </c>
      <c r="M1923" s="21">
        <v>181810.59470674695</v>
      </c>
    </row>
    <row r="1924" spans="12:13" x14ac:dyDescent="0.2">
      <c r="L1924" s="4">
        <v>1918</v>
      </c>
      <c r="M1924" s="21">
        <v>4348.7216212569911</v>
      </c>
    </row>
    <row r="1925" spans="12:13" x14ac:dyDescent="0.2">
      <c r="L1925" s="4">
        <v>1919</v>
      </c>
      <c r="M1925" s="21">
        <v>90634.764157592173</v>
      </c>
    </row>
    <row r="1926" spans="12:13" x14ac:dyDescent="0.2">
      <c r="L1926" s="4">
        <v>1920</v>
      </c>
      <c r="M1926" s="21">
        <v>-96932.952563864514</v>
      </c>
    </row>
    <row r="1927" spans="12:13" x14ac:dyDescent="0.2">
      <c r="L1927" s="4">
        <v>1921</v>
      </c>
      <c r="M1927" s="21">
        <v>-217052.44013766947</v>
      </c>
    </row>
    <row r="1928" spans="12:13" x14ac:dyDescent="0.2">
      <c r="L1928" s="4">
        <v>1922</v>
      </c>
      <c r="M1928" s="21">
        <v>218338.24998982376</v>
      </c>
    </row>
    <row r="1929" spans="12:13" x14ac:dyDescent="0.2">
      <c r="L1929" s="4">
        <v>1923</v>
      </c>
      <c r="M1929" s="21">
        <v>-281738.15531034558</v>
      </c>
    </row>
    <row r="1930" spans="12:13" x14ac:dyDescent="0.2">
      <c r="L1930" s="4">
        <v>1924</v>
      </c>
      <c r="M1930" s="21">
        <v>187763.00096068822</v>
      </c>
    </row>
    <row r="1931" spans="12:13" x14ac:dyDescent="0.2">
      <c r="L1931" s="4">
        <v>1925</v>
      </c>
      <c r="M1931" s="21">
        <v>39176.524031019449</v>
      </c>
    </row>
    <row r="1932" spans="12:13" x14ac:dyDescent="0.2">
      <c r="L1932" s="4">
        <v>1926</v>
      </c>
      <c r="M1932" s="21">
        <v>96354.040152142843</v>
      </c>
    </row>
    <row r="1933" spans="12:13" x14ac:dyDescent="0.2">
      <c r="L1933" s="4">
        <v>1927</v>
      </c>
      <c r="M1933" s="21">
        <v>-167097.05604737354</v>
      </c>
    </row>
    <row r="1934" spans="12:13" x14ac:dyDescent="0.2">
      <c r="L1934" s="4">
        <v>1928</v>
      </c>
      <c r="M1934" s="21">
        <v>164458.36906314734</v>
      </c>
    </row>
    <row r="1935" spans="12:13" x14ac:dyDescent="0.2">
      <c r="L1935" s="4">
        <v>1929</v>
      </c>
      <c r="M1935" s="21">
        <v>297987.07825038512</v>
      </c>
    </row>
    <row r="1936" spans="12:13" x14ac:dyDescent="0.2">
      <c r="L1936" s="4">
        <v>1930</v>
      </c>
      <c r="M1936" s="21">
        <v>-28945.868003801312</v>
      </c>
    </row>
    <row r="1937" spans="12:13" x14ac:dyDescent="0.2">
      <c r="L1937" s="4">
        <v>1931</v>
      </c>
      <c r="M1937" s="21">
        <v>322949.39926753193</v>
      </c>
    </row>
    <row r="1938" spans="12:13" x14ac:dyDescent="0.2">
      <c r="L1938" s="4">
        <v>1932</v>
      </c>
      <c r="M1938" s="21">
        <v>33540.403439755493</v>
      </c>
    </row>
    <row r="1939" spans="12:13" x14ac:dyDescent="0.2">
      <c r="L1939" s="4">
        <v>1933</v>
      </c>
      <c r="M1939" s="21">
        <v>266235.52695921005</v>
      </c>
    </row>
    <row r="1940" spans="12:13" x14ac:dyDescent="0.2">
      <c r="L1940" s="4">
        <v>1934</v>
      </c>
      <c r="M1940" s="21">
        <v>226150.14900664298</v>
      </c>
    </row>
    <row r="1941" spans="12:13" x14ac:dyDescent="0.2">
      <c r="L1941" s="4">
        <v>1935</v>
      </c>
      <c r="M1941" s="21">
        <v>95169.965932025225</v>
      </c>
    </row>
    <row r="1942" spans="12:13" x14ac:dyDescent="0.2">
      <c r="L1942" s="4">
        <v>1936</v>
      </c>
      <c r="M1942" s="21">
        <v>107798.12921048529</v>
      </c>
    </row>
    <row r="1943" spans="12:13" x14ac:dyDescent="0.2">
      <c r="L1943" s="4">
        <v>1937</v>
      </c>
      <c r="M1943" s="21">
        <v>124159.56576320701</v>
      </c>
    </row>
    <row r="1944" spans="12:13" x14ac:dyDescent="0.2">
      <c r="L1944" s="4">
        <v>1938</v>
      </c>
      <c r="M1944" s="21">
        <v>244651.36287688842</v>
      </c>
    </row>
    <row r="1945" spans="12:13" x14ac:dyDescent="0.2">
      <c r="L1945" s="4">
        <v>1939</v>
      </c>
      <c r="M1945" s="21">
        <v>85127.436633691425</v>
      </c>
    </row>
    <row r="1946" spans="12:13" x14ac:dyDescent="0.2">
      <c r="L1946" s="4">
        <v>1940</v>
      </c>
      <c r="M1946" s="21">
        <v>72600.30332505735</v>
      </c>
    </row>
    <row r="1947" spans="12:13" x14ac:dyDescent="0.2">
      <c r="L1947" s="4">
        <v>1941</v>
      </c>
      <c r="M1947" s="21">
        <v>2368.8537200568535</v>
      </c>
    </row>
    <row r="1948" spans="12:13" x14ac:dyDescent="0.2">
      <c r="L1948" s="4">
        <v>1942</v>
      </c>
      <c r="M1948" s="21">
        <v>134404.27083914055</v>
      </c>
    </row>
    <row r="1949" spans="12:13" x14ac:dyDescent="0.2">
      <c r="L1949" s="4">
        <v>1943</v>
      </c>
      <c r="M1949" s="21">
        <v>-79566.473529027586</v>
      </c>
    </row>
    <row r="1950" spans="12:13" x14ac:dyDescent="0.2">
      <c r="L1950" s="4">
        <v>1944</v>
      </c>
      <c r="M1950" s="21">
        <v>67162.432880722452</v>
      </c>
    </row>
    <row r="1951" spans="12:13" x14ac:dyDescent="0.2">
      <c r="L1951" s="4">
        <v>1945</v>
      </c>
      <c r="M1951" s="21">
        <v>220147.16926677391</v>
      </c>
    </row>
    <row r="1952" spans="12:13" x14ac:dyDescent="0.2">
      <c r="L1952" s="4">
        <v>1946</v>
      </c>
      <c r="M1952" s="21">
        <v>-243433.64454051558</v>
      </c>
    </row>
    <row r="1953" spans="12:13" x14ac:dyDescent="0.2">
      <c r="L1953" s="4">
        <v>1947</v>
      </c>
      <c r="M1953" s="21">
        <v>-134319.54518054315</v>
      </c>
    </row>
    <row r="1954" spans="12:13" x14ac:dyDescent="0.2">
      <c r="L1954" s="4">
        <v>1948</v>
      </c>
      <c r="M1954" s="21">
        <v>52096.797246940579</v>
      </c>
    </row>
    <row r="1955" spans="12:13" x14ac:dyDescent="0.2">
      <c r="L1955" s="4">
        <v>1949</v>
      </c>
      <c r="M1955" s="21">
        <v>9703.0376383235562</v>
      </c>
    </row>
    <row r="1956" spans="12:13" x14ac:dyDescent="0.2">
      <c r="L1956" s="4">
        <v>1950</v>
      </c>
      <c r="M1956" s="21">
        <v>626365.66951645561</v>
      </c>
    </row>
    <row r="1957" spans="12:13" x14ac:dyDescent="0.2">
      <c r="L1957" s="4">
        <v>1951</v>
      </c>
      <c r="M1957" s="21">
        <v>152238.58125457322</v>
      </c>
    </row>
    <row r="1958" spans="12:13" x14ac:dyDescent="0.2">
      <c r="L1958" s="4">
        <v>1952</v>
      </c>
      <c r="M1958" s="21">
        <v>-76277.40009961449</v>
      </c>
    </row>
    <row r="1959" spans="12:13" x14ac:dyDescent="0.2">
      <c r="L1959" s="4">
        <v>1953</v>
      </c>
      <c r="M1959" s="21">
        <v>-188236.05181283809</v>
      </c>
    </row>
    <row r="1960" spans="12:13" x14ac:dyDescent="0.2">
      <c r="L1960" s="4">
        <v>1954</v>
      </c>
      <c r="M1960" s="21">
        <v>10719.342376719229</v>
      </c>
    </row>
    <row r="1961" spans="12:13" x14ac:dyDescent="0.2">
      <c r="L1961" s="4">
        <v>1955</v>
      </c>
      <c r="M1961" s="21">
        <v>129114.37254362009</v>
      </c>
    </row>
    <row r="1962" spans="12:13" x14ac:dyDescent="0.2">
      <c r="L1962" s="4">
        <v>1956</v>
      </c>
      <c r="M1962" s="21">
        <v>38617.048312076542</v>
      </c>
    </row>
    <row r="1963" spans="12:13" x14ac:dyDescent="0.2">
      <c r="L1963" s="4">
        <v>1957</v>
      </c>
      <c r="M1963" s="21">
        <v>6804.9725318024575</v>
      </c>
    </row>
    <row r="1964" spans="12:13" x14ac:dyDescent="0.2">
      <c r="L1964" s="4">
        <v>1958</v>
      </c>
      <c r="M1964" s="21">
        <v>-133839.09235708008</v>
      </c>
    </row>
    <row r="1965" spans="12:13" x14ac:dyDescent="0.2">
      <c r="L1965" s="4">
        <v>1959</v>
      </c>
      <c r="M1965" s="21">
        <v>-47357.520116225656</v>
      </c>
    </row>
    <row r="1966" spans="12:13" x14ac:dyDescent="0.2">
      <c r="L1966" s="4">
        <v>1960</v>
      </c>
      <c r="M1966" s="21">
        <v>-142179.62571930239</v>
      </c>
    </row>
    <row r="1967" spans="12:13" x14ac:dyDescent="0.2">
      <c r="L1967" s="4">
        <v>1961</v>
      </c>
      <c r="M1967" s="21">
        <v>-46512.9666150025</v>
      </c>
    </row>
    <row r="1968" spans="12:13" x14ac:dyDescent="0.2">
      <c r="L1968" s="4">
        <v>1962</v>
      </c>
      <c r="M1968" s="21">
        <v>-68587.877803321506</v>
      </c>
    </row>
    <row r="1969" spans="12:13" x14ac:dyDescent="0.2">
      <c r="L1969" s="4">
        <v>1963</v>
      </c>
      <c r="M1969" s="21">
        <v>-184792.18117458248</v>
      </c>
    </row>
    <row r="1970" spans="12:13" x14ac:dyDescent="0.2">
      <c r="L1970" s="4">
        <v>1964</v>
      </c>
      <c r="M1970" s="21">
        <v>-34595.895846521133</v>
      </c>
    </row>
    <row r="1971" spans="12:13" x14ac:dyDescent="0.2">
      <c r="L1971" s="4">
        <v>1965</v>
      </c>
      <c r="M1971" s="21">
        <v>582201.79688058677</v>
      </c>
    </row>
    <row r="1972" spans="12:13" x14ac:dyDescent="0.2">
      <c r="L1972" s="4">
        <v>1966</v>
      </c>
      <c r="M1972" s="21">
        <v>130844.47579151785</v>
      </c>
    </row>
    <row r="1973" spans="12:13" x14ac:dyDescent="0.2">
      <c r="L1973" s="4">
        <v>1967</v>
      </c>
      <c r="M1973" s="21">
        <v>212859.88239945495</v>
      </c>
    </row>
    <row r="1974" spans="12:13" x14ac:dyDescent="0.2">
      <c r="L1974" s="4">
        <v>1968</v>
      </c>
      <c r="M1974" s="21">
        <v>466333.43222910364</v>
      </c>
    </row>
    <row r="1975" spans="12:13" x14ac:dyDescent="0.2">
      <c r="L1975" s="4">
        <v>1969</v>
      </c>
      <c r="M1975" s="21">
        <v>97173.307700979698</v>
      </c>
    </row>
    <row r="1976" spans="12:13" x14ac:dyDescent="0.2">
      <c r="L1976" s="4">
        <v>1970</v>
      </c>
      <c r="M1976" s="21">
        <v>86593.065593955718</v>
      </c>
    </row>
    <row r="1977" spans="12:13" x14ac:dyDescent="0.2">
      <c r="L1977" s="4">
        <v>1971</v>
      </c>
      <c r="M1977" s="21">
        <v>-124997.72525508917</v>
      </c>
    </row>
    <row r="1978" spans="12:13" x14ac:dyDescent="0.2">
      <c r="L1978" s="4">
        <v>1972</v>
      </c>
      <c r="M1978" s="21">
        <v>-214881.40782388923</v>
      </c>
    </row>
    <row r="1979" spans="12:13" x14ac:dyDescent="0.2">
      <c r="L1979" s="4">
        <v>1973</v>
      </c>
      <c r="M1979" s="21">
        <v>168203.94074920993</v>
      </c>
    </row>
    <row r="1980" spans="12:13" x14ac:dyDescent="0.2">
      <c r="L1980" s="4">
        <v>1974</v>
      </c>
      <c r="M1980" s="21">
        <v>64611.003259192716</v>
      </c>
    </row>
    <row r="1981" spans="12:13" x14ac:dyDescent="0.2">
      <c r="L1981" s="4">
        <v>1975</v>
      </c>
      <c r="M1981" s="21">
        <v>-15990.147397722511</v>
      </c>
    </row>
    <row r="1982" spans="12:13" x14ac:dyDescent="0.2">
      <c r="L1982" s="4">
        <v>1976</v>
      </c>
      <c r="M1982" s="21">
        <v>232939.22977015152</v>
      </c>
    </row>
    <row r="1983" spans="12:13" x14ac:dyDescent="0.2">
      <c r="L1983" s="4">
        <v>1977</v>
      </c>
      <c r="M1983" s="21">
        <v>-308869.47680123185</v>
      </c>
    </row>
    <row r="1984" spans="12:13" x14ac:dyDescent="0.2">
      <c r="L1984" s="4">
        <v>1978</v>
      </c>
      <c r="M1984" s="21">
        <v>-223734.05369343504</v>
      </c>
    </row>
    <row r="1985" spans="12:13" x14ac:dyDescent="0.2">
      <c r="L1985" s="4">
        <v>1979</v>
      </c>
      <c r="M1985" s="21">
        <v>280252.57787995995</v>
      </c>
    </row>
    <row r="1986" spans="12:13" x14ac:dyDescent="0.2">
      <c r="L1986" s="4">
        <v>1980</v>
      </c>
      <c r="M1986" s="21">
        <v>-126179.27623277048</v>
      </c>
    </row>
    <row r="1987" spans="12:13" x14ac:dyDescent="0.2">
      <c r="L1987" s="4">
        <v>1981</v>
      </c>
      <c r="M1987" s="21">
        <v>-367059.6874880137</v>
      </c>
    </row>
    <row r="1988" spans="12:13" x14ac:dyDescent="0.2">
      <c r="L1988" s="4">
        <v>1982</v>
      </c>
      <c r="M1988" s="21">
        <v>-202969.60556954864</v>
      </c>
    </row>
    <row r="1989" spans="12:13" x14ac:dyDescent="0.2">
      <c r="L1989" s="4">
        <v>1983</v>
      </c>
      <c r="M1989" s="21">
        <v>80753.701294154191</v>
      </c>
    </row>
    <row r="1990" spans="12:13" x14ac:dyDescent="0.2">
      <c r="L1990" s="4">
        <v>1984</v>
      </c>
      <c r="M1990" s="21">
        <v>138417.8716655538</v>
      </c>
    </row>
    <row r="1991" spans="12:13" x14ac:dyDescent="0.2">
      <c r="L1991" s="4">
        <v>1985</v>
      </c>
      <c r="M1991" s="21">
        <v>-367342.51925688062</v>
      </c>
    </row>
    <row r="1992" spans="12:13" x14ac:dyDescent="0.2">
      <c r="L1992" s="4">
        <v>1986</v>
      </c>
      <c r="M1992" s="21">
        <v>-170951.82426986343</v>
      </c>
    </row>
    <row r="1993" spans="12:13" x14ac:dyDescent="0.2">
      <c r="L1993" s="4">
        <v>1987</v>
      </c>
      <c r="M1993" s="21">
        <v>-257899.61165725661</v>
      </c>
    </row>
    <row r="1994" spans="12:13" x14ac:dyDescent="0.2">
      <c r="L1994" s="4">
        <v>1988</v>
      </c>
      <c r="M1994" s="21">
        <v>115077.58956359635</v>
      </c>
    </row>
    <row r="1995" spans="12:13" x14ac:dyDescent="0.2">
      <c r="L1995" s="4">
        <v>1989</v>
      </c>
      <c r="M1995" s="21">
        <v>215775.86980331433</v>
      </c>
    </row>
    <row r="1996" spans="12:13" x14ac:dyDescent="0.2">
      <c r="L1996" s="4">
        <v>1990</v>
      </c>
      <c r="M1996" s="21">
        <v>-283877.3064883296</v>
      </c>
    </row>
    <row r="1997" spans="12:13" x14ac:dyDescent="0.2">
      <c r="L1997" s="4">
        <v>1991</v>
      </c>
      <c r="M1997" s="21">
        <v>-269555.56861394038</v>
      </c>
    </row>
    <row r="1998" spans="12:13" x14ac:dyDescent="0.2">
      <c r="L1998" s="4">
        <v>1992</v>
      </c>
      <c r="M1998" s="21">
        <v>14590.782107734412</v>
      </c>
    </row>
    <row r="1999" spans="12:13" x14ac:dyDescent="0.2">
      <c r="L1999" s="4">
        <v>1993</v>
      </c>
      <c r="M1999" s="21">
        <v>57241.651913870883</v>
      </c>
    </row>
    <row r="2000" spans="12:13" x14ac:dyDescent="0.2">
      <c r="L2000" s="4">
        <v>1994</v>
      </c>
      <c r="M2000" s="21">
        <v>-98309.030393147317</v>
      </c>
    </row>
    <row r="2001" spans="12:13" x14ac:dyDescent="0.2">
      <c r="L2001" s="4">
        <v>1995</v>
      </c>
      <c r="M2001" s="21">
        <v>46993.106398620526</v>
      </c>
    </row>
    <row r="2002" spans="12:13" x14ac:dyDescent="0.2">
      <c r="L2002" s="4">
        <v>1996</v>
      </c>
      <c r="M2002" s="21">
        <v>-4202.0075211101066</v>
      </c>
    </row>
    <row r="2003" spans="12:13" x14ac:dyDescent="0.2">
      <c r="L2003" s="4">
        <v>1997</v>
      </c>
      <c r="M2003" s="21">
        <v>-107956.05477503828</v>
      </c>
    </row>
    <row r="2004" spans="12:13" x14ac:dyDescent="0.2">
      <c r="L2004" s="4">
        <v>1998</v>
      </c>
      <c r="M2004" s="21">
        <v>-164959.00560233594</v>
      </c>
    </row>
    <row r="2005" spans="12:13" x14ac:dyDescent="0.2">
      <c r="L2005" s="4">
        <v>1999</v>
      </c>
      <c r="M2005" s="21">
        <v>317405.67019949621</v>
      </c>
    </row>
    <row r="2006" spans="12:13" x14ac:dyDescent="0.2">
      <c r="L2006" s="4">
        <v>2000</v>
      </c>
      <c r="M2006" s="21">
        <v>168523.24637720949</v>
      </c>
    </row>
    <row r="2007" spans="12:13" x14ac:dyDescent="0.2">
      <c r="L2007" s="4">
        <v>2001</v>
      </c>
      <c r="M2007" s="21">
        <v>50593.957653727528</v>
      </c>
    </row>
    <row r="2008" spans="12:13" x14ac:dyDescent="0.2">
      <c r="L2008" s="4">
        <v>2002</v>
      </c>
      <c r="M2008" s="21">
        <v>217016.09567087836</v>
      </c>
    </row>
    <row r="2009" spans="12:13" x14ac:dyDescent="0.2">
      <c r="L2009" s="4">
        <v>2003</v>
      </c>
      <c r="M2009" s="21">
        <v>-52466.078704984189</v>
      </c>
    </row>
    <row r="2010" spans="12:13" x14ac:dyDescent="0.2">
      <c r="L2010" s="4">
        <v>2004</v>
      </c>
      <c r="M2010" s="21">
        <v>-367310.87650263001</v>
      </c>
    </row>
    <row r="2011" spans="12:13" x14ac:dyDescent="0.2">
      <c r="L2011" s="4">
        <v>2005</v>
      </c>
      <c r="M2011" s="21">
        <v>41488.05903005111</v>
      </c>
    </row>
    <row r="2012" spans="12:13" x14ac:dyDescent="0.2">
      <c r="L2012" s="4">
        <v>2006</v>
      </c>
      <c r="M2012" s="21">
        <v>362432.43064052076</v>
      </c>
    </row>
    <row r="2013" spans="12:13" x14ac:dyDescent="0.2">
      <c r="L2013" s="4">
        <v>2007</v>
      </c>
      <c r="M2013" s="21">
        <v>106407.87621734469</v>
      </c>
    </row>
    <row r="2014" spans="12:13" x14ac:dyDescent="0.2">
      <c r="L2014" s="4">
        <v>2008</v>
      </c>
      <c r="M2014" s="21">
        <v>-40889.233719976517</v>
      </c>
    </row>
    <row r="2015" spans="12:13" x14ac:dyDescent="0.2">
      <c r="L2015" s="4">
        <v>2009</v>
      </c>
      <c r="M2015" s="21">
        <v>45573.401469228469</v>
      </c>
    </row>
    <row r="2016" spans="12:13" x14ac:dyDescent="0.2">
      <c r="L2016" s="4">
        <v>2010</v>
      </c>
      <c r="M2016" s="21">
        <v>-14904.283767011962</v>
      </c>
    </row>
    <row r="2017" spans="12:13" x14ac:dyDescent="0.2">
      <c r="L2017" s="4">
        <v>2011</v>
      </c>
      <c r="M2017" s="21">
        <v>174246.87895847583</v>
      </c>
    </row>
    <row r="2018" spans="12:13" x14ac:dyDescent="0.2">
      <c r="L2018" s="4">
        <v>2012</v>
      </c>
      <c r="M2018" s="21">
        <v>-469017.9575580263</v>
      </c>
    </row>
    <row r="2019" spans="12:13" x14ac:dyDescent="0.2">
      <c r="L2019" s="4">
        <v>2013</v>
      </c>
      <c r="M2019" s="21">
        <v>-111219.60782612982</v>
      </c>
    </row>
    <row r="2020" spans="12:13" x14ac:dyDescent="0.2">
      <c r="L2020" s="4">
        <v>2014</v>
      </c>
      <c r="M2020" s="21">
        <v>100526.40779277839</v>
      </c>
    </row>
    <row r="2021" spans="12:13" x14ac:dyDescent="0.2">
      <c r="L2021" s="4">
        <v>2015</v>
      </c>
      <c r="M2021" s="21">
        <v>25910.802493998926</v>
      </c>
    </row>
    <row r="2022" spans="12:13" x14ac:dyDescent="0.2">
      <c r="L2022" s="4">
        <v>2016</v>
      </c>
      <c r="M2022" s="21">
        <v>279372.31227068935</v>
      </c>
    </row>
    <row r="2023" spans="12:13" x14ac:dyDescent="0.2">
      <c r="L2023" s="4">
        <v>2017</v>
      </c>
      <c r="M2023" s="21">
        <v>-33506.562211281227</v>
      </c>
    </row>
    <row r="2024" spans="12:13" x14ac:dyDescent="0.2">
      <c r="L2024" s="4">
        <v>2018</v>
      </c>
      <c r="M2024" s="21">
        <v>-62710.176563012967</v>
      </c>
    </row>
    <row r="2025" spans="12:13" x14ac:dyDescent="0.2">
      <c r="L2025" s="4">
        <v>2019</v>
      </c>
      <c r="M2025" s="21">
        <v>-51237.514943162503</v>
      </c>
    </row>
    <row r="2026" spans="12:13" x14ac:dyDescent="0.2">
      <c r="L2026" s="4">
        <v>2020</v>
      </c>
      <c r="M2026" s="21">
        <v>-1265.0918007497676</v>
      </c>
    </row>
    <row r="2027" spans="12:13" x14ac:dyDescent="0.2">
      <c r="L2027" s="4">
        <v>2021</v>
      </c>
      <c r="M2027" s="21">
        <v>343709.39700977027</v>
      </c>
    </row>
    <row r="2028" spans="12:13" x14ac:dyDescent="0.2">
      <c r="L2028" s="4">
        <v>2022</v>
      </c>
      <c r="M2028" s="21">
        <v>-291572.19336622831</v>
      </c>
    </row>
    <row r="2029" spans="12:13" x14ac:dyDescent="0.2">
      <c r="L2029" s="4">
        <v>2023</v>
      </c>
      <c r="M2029" s="21">
        <v>252257.94751898979</v>
      </c>
    </row>
    <row r="2030" spans="12:13" x14ac:dyDescent="0.2">
      <c r="L2030" s="4">
        <v>2024</v>
      </c>
      <c r="M2030" s="21">
        <v>134511.65970949968</v>
      </c>
    </row>
    <row r="2031" spans="12:13" x14ac:dyDescent="0.2">
      <c r="L2031" s="4">
        <v>2025</v>
      </c>
      <c r="M2031" s="21">
        <v>-1661.4649005821411</v>
      </c>
    </row>
    <row r="2032" spans="12:13" x14ac:dyDescent="0.2">
      <c r="L2032" s="4">
        <v>2026</v>
      </c>
      <c r="M2032" s="21">
        <v>137153.18871214867</v>
      </c>
    </row>
    <row r="2033" spans="12:13" x14ac:dyDescent="0.2">
      <c r="L2033" s="4">
        <v>2027</v>
      </c>
      <c r="M2033" s="21">
        <v>-185179.66455285464</v>
      </c>
    </row>
    <row r="2034" spans="12:13" x14ac:dyDescent="0.2">
      <c r="L2034" s="4">
        <v>2028</v>
      </c>
      <c r="M2034" s="21">
        <v>-330043.9559368256</v>
      </c>
    </row>
    <row r="2035" spans="12:13" x14ac:dyDescent="0.2">
      <c r="L2035" s="4">
        <v>2029</v>
      </c>
      <c r="M2035" s="21">
        <v>259425.6599504257</v>
      </c>
    </row>
    <row r="2036" spans="12:13" x14ac:dyDescent="0.2">
      <c r="L2036" s="4">
        <v>2030</v>
      </c>
      <c r="M2036" s="21">
        <v>-89407.336182051789</v>
      </c>
    </row>
    <row r="2037" spans="12:13" x14ac:dyDescent="0.2">
      <c r="L2037" s="4">
        <v>2031</v>
      </c>
      <c r="M2037" s="21">
        <v>-24365.922387999919</v>
      </c>
    </row>
    <row r="2038" spans="12:13" x14ac:dyDescent="0.2">
      <c r="L2038" s="4">
        <v>2032</v>
      </c>
      <c r="M2038" s="21">
        <v>370472.02946590667</v>
      </c>
    </row>
    <row r="2039" spans="12:13" x14ac:dyDescent="0.2">
      <c r="L2039" s="4">
        <v>2033</v>
      </c>
      <c r="M2039" s="21">
        <v>258491.21957557864</v>
      </c>
    </row>
    <row r="2040" spans="12:13" x14ac:dyDescent="0.2">
      <c r="L2040" s="4">
        <v>2034</v>
      </c>
      <c r="M2040" s="21">
        <v>819559.00230568997</v>
      </c>
    </row>
    <row r="2041" spans="12:13" x14ac:dyDescent="0.2">
      <c r="L2041" s="4">
        <v>2035</v>
      </c>
      <c r="M2041" s="21">
        <v>20007.506938105245</v>
      </c>
    </row>
    <row r="2042" spans="12:13" x14ac:dyDescent="0.2">
      <c r="L2042" s="4">
        <v>2036</v>
      </c>
      <c r="M2042" s="21">
        <v>18357.28911764783</v>
      </c>
    </row>
    <row r="2043" spans="12:13" x14ac:dyDescent="0.2">
      <c r="L2043" s="4">
        <v>2037</v>
      </c>
      <c r="M2043" s="21">
        <v>-30428.314831078969</v>
      </c>
    </row>
    <row r="2044" spans="12:13" x14ac:dyDescent="0.2">
      <c r="L2044" s="4">
        <v>2038</v>
      </c>
      <c r="M2044" s="21">
        <v>-174710.62232177155</v>
      </c>
    </row>
    <row r="2045" spans="12:13" x14ac:dyDescent="0.2">
      <c r="L2045" s="4">
        <v>2039</v>
      </c>
      <c r="M2045" s="21">
        <v>-292339.88938805088</v>
      </c>
    </row>
    <row r="2046" spans="12:13" x14ac:dyDescent="0.2">
      <c r="L2046" s="4">
        <v>2040</v>
      </c>
      <c r="M2046" s="21">
        <v>-364746.71940986137</v>
      </c>
    </row>
    <row r="2047" spans="12:13" x14ac:dyDescent="0.2">
      <c r="L2047" s="4">
        <v>2041</v>
      </c>
      <c r="M2047" s="21">
        <v>-44664.976112931778</v>
      </c>
    </row>
    <row r="2048" spans="12:13" x14ac:dyDescent="0.2">
      <c r="L2048" s="4">
        <v>2042</v>
      </c>
      <c r="M2048" s="21">
        <v>85324.237846534699</v>
      </c>
    </row>
    <row r="2049" spans="12:13" x14ac:dyDescent="0.2">
      <c r="L2049" s="4">
        <v>2043</v>
      </c>
      <c r="M2049" s="21">
        <v>199885.99906731801</v>
      </c>
    </row>
    <row r="2050" spans="12:13" x14ac:dyDescent="0.2">
      <c r="L2050" s="4">
        <v>2044</v>
      </c>
      <c r="M2050" s="21">
        <v>-67953.997988191448</v>
      </c>
    </row>
    <row r="2051" spans="12:13" x14ac:dyDescent="0.2">
      <c r="L2051" s="4">
        <v>2045</v>
      </c>
      <c r="M2051" s="21">
        <v>71758.994383010839</v>
      </c>
    </row>
    <row r="2052" spans="12:13" x14ac:dyDescent="0.2">
      <c r="L2052" s="4">
        <v>2046</v>
      </c>
      <c r="M2052" s="21">
        <v>260045.4254111264</v>
      </c>
    </row>
    <row r="2053" spans="12:13" x14ac:dyDescent="0.2">
      <c r="L2053" s="4">
        <v>2047</v>
      </c>
      <c r="M2053" s="21">
        <v>-76933.747366857715</v>
      </c>
    </row>
    <row r="2054" spans="12:13" x14ac:dyDescent="0.2">
      <c r="L2054" s="4">
        <v>2048</v>
      </c>
      <c r="M2054" s="21">
        <v>-81630.316286394213</v>
      </c>
    </row>
    <row r="2055" spans="12:13" x14ac:dyDescent="0.2">
      <c r="L2055" s="4">
        <v>2049</v>
      </c>
      <c r="M2055" s="21">
        <v>321992.84403804899</v>
      </c>
    </row>
    <row r="2056" spans="12:13" x14ac:dyDescent="0.2">
      <c r="L2056" s="4">
        <v>2050</v>
      </c>
      <c r="M2056" s="21">
        <v>-209959.74758766481</v>
      </c>
    </row>
    <row r="2057" spans="12:13" x14ac:dyDescent="0.2">
      <c r="L2057" s="4">
        <v>2051</v>
      </c>
      <c r="M2057" s="21">
        <v>-268076.7308424642</v>
      </c>
    </row>
    <row r="2058" spans="12:13" x14ac:dyDescent="0.2">
      <c r="L2058" s="4">
        <v>2052</v>
      </c>
      <c r="M2058" s="21">
        <v>-143493.62240412214</v>
      </c>
    </row>
    <row r="2059" spans="12:13" x14ac:dyDescent="0.2">
      <c r="L2059" s="4">
        <v>2053</v>
      </c>
      <c r="M2059" s="21">
        <v>-72646.273650148592</v>
      </c>
    </row>
    <row r="2060" spans="12:13" x14ac:dyDescent="0.2">
      <c r="L2060" s="4">
        <v>2054</v>
      </c>
      <c r="M2060" s="21">
        <v>-300562.95319516468</v>
      </c>
    </row>
    <row r="2061" spans="12:13" x14ac:dyDescent="0.2">
      <c r="L2061" s="4">
        <v>2055</v>
      </c>
      <c r="M2061" s="21">
        <v>-53931.581191204299</v>
      </c>
    </row>
    <row r="2062" spans="12:13" x14ac:dyDescent="0.2">
      <c r="L2062" s="4">
        <v>2056</v>
      </c>
      <c r="M2062" s="21">
        <v>54163.738333332556</v>
      </c>
    </row>
    <row r="2063" spans="12:13" x14ac:dyDescent="0.2">
      <c r="L2063" s="4">
        <v>2057</v>
      </c>
      <c r="M2063" s="21">
        <v>92809.857247006032</v>
      </c>
    </row>
    <row r="2064" spans="12:13" x14ac:dyDescent="0.2">
      <c r="L2064" s="4">
        <v>2058</v>
      </c>
      <c r="M2064" s="21">
        <v>-121325.37125488697</v>
      </c>
    </row>
    <row r="2065" spans="12:13" x14ac:dyDescent="0.2">
      <c r="L2065" s="4">
        <v>2059</v>
      </c>
      <c r="M2065" s="21">
        <v>10793.223996091547</v>
      </c>
    </row>
    <row r="2066" spans="12:13" x14ac:dyDescent="0.2">
      <c r="L2066" s="4">
        <v>2060</v>
      </c>
      <c r="M2066" s="21">
        <v>162162.603943744</v>
      </c>
    </row>
    <row r="2067" spans="12:13" x14ac:dyDescent="0.2">
      <c r="L2067" s="4">
        <v>2061</v>
      </c>
      <c r="M2067" s="21">
        <v>-89653.082139171107</v>
      </c>
    </row>
    <row r="2068" spans="12:13" x14ac:dyDescent="0.2">
      <c r="L2068" s="4">
        <v>2062</v>
      </c>
      <c r="M2068" s="21">
        <v>189401.23443988367</v>
      </c>
    </row>
    <row r="2069" spans="12:13" x14ac:dyDescent="0.2">
      <c r="L2069" s="4">
        <v>2063</v>
      </c>
      <c r="M2069" s="21">
        <v>-38150.993346280782</v>
      </c>
    </row>
    <row r="2070" spans="12:13" x14ac:dyDescent="0.2">
      <c r="L2070" s="4">
        <v>2064</v>
      </c>
      <c r="M2070" s="21">
        <v>241636.93313318203</v>
      </c>
    </row>
    <row r="2071" spans="12:13" x14ac:dyDescent="0.2">
      <c r="L2071" s="4">
        <v>2065</v>
      </c>
      <c r="M2071" s="21">
        <v>192584.45632586096</v>
      </c>
    </row>
    <row r="2072" spans="12:13" x14ac:dyDescent="0.2">
      <c r="L2072" s="4">
        <v>2066</v>
      </c>
      <c r="M2072" s="21">
        <v>510509.26999634341</v>
      </c>
    </row>
    <row r="2073" spans="12:13" x14ac:dyDescent="0.2">
      <c r="L2073" s="4">
        <v>2067</v>
      </c>
      <c r="M2073" s="21">
        <v>-3607.5471499994892</v>
      </c>
    </row>
    <row r="2074" spans="12:13" x14ac:dyDescent="0.2">
      <c r="L2074" s="4">
        <v>2068</v>
      </c>
      <c r="M2074" s="21">
        <v>244073.78692089042</v>
      </c>
    </row>
    <row r="2075" spans="12:13" x14ac:dyDescent="0.2">
      <c r="L2075" s="4">
        <v>2069</v>
      </c>
      <c r="M2075" s="21">
        <v>38179.572150084103</v>
      </c>
    </row>
    <row r="2076" spans="12:13" x14ac:dyDescent="0.2">
      <c r="L2076" s="4">
        <v>2070</v>
      </c>
      <c r="M2076" s="21">
        <v>-108900.74633623619</v>
      </c>
    </row>
    <row r="2077" spans="12:13" x14ac:dyDescent="0.2">
      <c r="L2077" s="4">
        <v>2071</v>
      </c>
      <c r="M2077" s="21">
        <v>-190997.04510859007</v>
      </c>
    </row>
    <row r="2078" spans="12:13" x14ac:dyDescent="0.2">
      <c r="L2078" s="4">
        <v>2072</v>
      </c>
      <c r="M2078" s="21">
        <v>-178269.09001696692</v>
      </c>
    </row>
    <row r="2079" spans="12:13" x14ac:dyDescent="0.2">
      <c r="L2079" s="4">
        <v>2073</v>
      </c>
      <c r="M2079" s="21">
        <v>-228509.98694624554</v>
      </c>
    </row>
    <row r="2080" spans="12:13" x14ac:dyDescent="0.2">
      <c r="L2080" s="4">
        <v>2074</v>
      </c>
      <c r="M2080" s="21">
        <v>252843.65554854998</v>
      </c>
    </row>
    <row r="2081" spans="12:13" x14ac:dyDescent="0.2">
      <c r="L2081" s="4">
        <v>2075</v>
      </c>
      <c r="M2081" s="21">
        <v>7260.9827479679952</v>
      </c>
    </row>
    <row r="2082" spans="12:13" x14ac:dyDescent="0.2">
      <c r="L2082" s="4">
        <v>2076</v>
      </c>
      <c r="M2082" s="21">
        <v>189521.18746105241</v>
      </c>
    </row>
    <row r="2083" spans="12:13" x14ac:dyDescent="0.2">
      <c r="L2083" s="4">
        <v>2077</v>
      </c>
      <c r="M2083" s="21">
        <v>226064.92713017575</v>
      </c>
    </row>
    <row r="2084" spans="12:13" x14ac:dyDescent="0.2">
      <c r="L2084" s="4">
        <v>2078</v>
      </c>
      <c r="M2084" s="21">
        <v>120687.68412643549</v>
      </c>
    </row>
    <row r="2085" spans="12:13" x14ac:dyDescent="0.2">
      <c r="L2085" s="4">
        <v>2079</v>
      </c>
      <c r="M2085" s="21">
        <v>-120755.38870043788</v>
      </c>
    </row>
    <row r="2086" spans="12:13" x14ac:dyDescent="0.2">
      <c r="L2086" s="4">
        <v>2080</v>
      </c>
      <c r="M2086" s="21">
        <v>40035.286915217439</v>
      </c>
    </row>
    <row r="2087" spans="12:13" x14ac:dyDescent="0.2">
      <c r="L2087" s="4">
        <v>2081</v>
      </c>
      <c r="M2087" s="21">
        <v>200884.91327103635</v>
      </c>
    </row>
    <row r="2088" spans="12:13" x14ac:dyDescent="0.2">
      <c r="L2088" s="4">
        <v>2082</v>
      </c>
      <c r="M2088" s="21">
        <v>-246547.90427458234</v>
      </c>
    </row>
    <row r="2089" spans="12:13" x14ac:dyDescent="0.2">
      <c r="L2089" s="4">
        <v>2083</v>
      </c>
      <c r="M2089" s="21">
        <v>-17822.047063243343</v>
      </c>
    </row>
    <row r="2090" spans="12:13" x14ac:dyDescent="0.2">
      <c r="L2090" s="4">
        <v>2084</v>
      </c>
      <c r="M2090" s="21">
        <v>124027.79480207496</v>
      </c>
    </row>
    <row r="2091" spans="12:13" x14ac:dyDescent="0.2">
      <c r="L2091" s="4">
        <v>2085</v>
      </c>
      <c r="M2091" s="21">
        <v>127644.76204815158</v>
      </c>
    </row>
    <row r="2092" spans="12:13" x14ac:dyDescent="0.2">
      <c r="L2092" s="4">
        <v>2086</v>
      </c>
      <c r="M2092" s="21">
        <v>423711.75653897075</v>
      </c>
    </row>
    <row r="2093" spans="12:13" x14ac:dyDescent="0.2">
      <c r="L2093" s="4">
        <v>2087</v>
      </c>
      <c r="M2093" s="21">
        <v>23816.411671401613</v>
      </c>
    </row>
    <row r="2094" spans="12:13" x14ac:dyDescent="0.2">
      <c r="L2094" s="4">
        <v>2088</v>
      </c>
      <c r="M2094" s="21">
        <v>102953.9858472214</v>
      </c>
    </row>
    <row r="2095" spans="12:13" x14ac:dyDescent="0.2">
      <c r="L2095" s="4">
        <v>2089</v>
      </c>
      <c r="M2095" s="21">
        <v>-88747.771710717891</v>
      </c>
    </row>
    <row r="2096" spans="12:13" x14ac:dyDescent="0.2">
      <c r="L2096" s="4">
        <v>2090</v>
      </c>
      <c r="M2096" s="21">
        <v>-220400.37732255232</v>
      </c>
    </row>
    <row r="2097" spans="12:13" x14ac:dyDescent="0.2">
      <c r="L2097" s="4">
        <v>2091</v>
      </c>
      <c r="M2097" s="21">
        <v>-135462.64630482078</v>
      </c>
    </row>
    <row r="2098" spans="12:13" x14ac:dyDescent="0.2">
      <c r="L2098" s="4">
        <v>2092</v>
      </c>
      <c r="M2098" s="21">
        <v>139538.54636387067</v>
      </c>
    </row>
    <row r="2099" spans="12:13" x14ac:dyDescent="0.2">
      <c r="L2099" s="4">
        <v>2093</v>
      </c>
      <c r="M2099" s="21">
        <v>-75528.652918962223</v>
      </c>
    </row>
    <row r="2100" spans="12:13" x14ac:dyDescent="0.2">
      <c r="L2100" s="4">
        <v>2094</v>
      </c>
      <c r="M2100" s="21">
        <v>245380.02790533728</v>
      </c>
    </row>
    <row r="2101" spans="12:13" x14ac:dyDescent="0.2">
      <c r="L2101" s="4">
        <v>2095</v>
      </c>
      <c r="M2101" s="21">
        <v>170278.8774349805</v>
      </c>
    </row>
    <row r="2102" spans="12:13" x14ac:dyDescent="0.2">
      <c r="L2102" s="4">
        <v>2096</v>
      </c>
      <c r="M2102" s="21">
        <v>-106743.71790703383</v>
      </c>
    </row>
    <row r="2103" spans="12:13" x14ac:dyDescent="0.2">
      <c r="L2103" s="4">
        <v>2097</v>
      </c>
      <c r="M2103" s="21">
        <v>362754.75211558864</v>
      </c>
    </row>
    <row r="2104" spans="12:13" x14ac:dyDescent="0.2">
      <c r="L2104" s="4">
        <v>2098</v>
      </c>
      <c r="M2104" s="21">
        <v>99258.890296875994</v>
      </c>
    </row>
    <row r="2105" spans="12:13" x14ac:dyDescent="0.2">
      <c r="L2105" s="4">
        <v>2099</v>
      </c>
      <c r="M2105" s="21">
        <v>45031.569120506552</v>
      </c>
    </row>
    <row r="2106" spans="12:13" x14ac:dyDescent="0.2">
      <c r="L2106" s="4">
        <v>2100</v>
      </c>
      <c r="M2106" s="21">
        <v>154189.46940127047</v>
      </c>
    </row>
    <row r="2107" spans="12:13" x14ac:dyDescent="0.2">
      <c r="L2107" s="4">
        <v>2101</v>
      </c>
      <c r="M2107" s="21">
        <v>234443.32189402418</v>
      </c>
    </row>
    <row r="2108" spans="12:13" x14ac:dyDescent="0.2">
      <c r="L2108" s="4">
        <v>2102</v>
      </c>
      <c r="M2108" s="21">
        <v>397891.67585963011</v>
      </c>
    </row>
    <row r="2109" spans="12:13" x14ac:dyDescent="0.2">
      <c r="L2109" s="4">
        <v>2103</v>
      </c>
      <c r="M2109" s="21">
        <v>-275515.55561132595</v>
      </c>
    </row>
    <row r="2110" spans="12:13" x14ac:dyDescent="0.2">
      <c r="L2110" s="4">
        <v>2104</v>
      </c>
      <c r="M2110" s="21">
        <v>52766.969103442389</v>
      </c>
    </row>
    <row r="2111" spans="12:13" x14ac:dyDescent="0.2">
      <c r="L2111" s="4">
        <v>2105</v>
      </c>
      <c r="M2111" s="21">
        <v>-325074.56308622973</v>
      </c>
    </row>
    <row r="2112" spans="12:13" x14ac:dyDescent="0.2">
      <c r="L2112" s="4">
        <v>2106</v>
      </c>
      <c r="M2112" s="21">
        <v>148056.17672262149</v>
      </c>
    </row>
    <row r="2113" spans="12:13" x14ac:dyDescent="0.2">
      <c r="L2113" s="4">
        <v>2107</v>
      </c>
      <c r="M2113" s="21">
        <v>-242336.74970568367</v>
      </c>
    </row>
    <row r="2114" spans="12:13" x14ac:dyDescent="0.2">
      <c r="L2114" s="4">
        <v>2108</v>
      </c>
      <c r="M2114" s="21">
        <v>59721.795698044356</v>
      </c>
    </row>
    <row r="2115" spans="12:13" x14ac:dyDescent="0.2">
      <c r="L2115" s="4">
        <v>2109</v>
      </c>
      <c r="M2115" s="21">
        <v>-84176.679763550084</v>
      </c>
    </row>
    <row r="2116" spans="12:13" x14ac:dyDescent="0.2">
      <c r="L2116" s="4">
        <v>2110</v>
      </c>
      <c r="M2116" s="21">
        <v>-391445.44575742434</v>
      </c>
    </row>
    <row r="2117" spans="12:13" x14ac:dyDescent="0.2">
      <c r="L2117" s="4">
        <v>2111</v>
      </c>
      <c r="M2117" s="21">
        <v>544699.21203603351</v>
      </c>
    </row>
    <row r="2118" spans="12:13" x14ac:dyDescent="0.2">
      <c r="L2118" s="4">
        <v>2112</v>
      </c>
      <c r="M2118" s="21">
        <v>-365105.6048290839</v>
      </c>
    </row>
    <row r="2119" spans="12:13" x14ac:dyDescent="0.2">
      <c r="L2119" s="4">
        <v>2113</v>
      </c>
      <c r="M2119" s="21">
        <v>144544.78340482354</v>
      </c>
    </row>
    <row r="2120" spans="12:13" x14ac:dyDescent="0.2">
      <c r="L2120" s="4">
        <v>2114</v>
      </c>
      <c r="M2120" s="21">
        <v>-191690.25754419123</v>
      </c>
    </row>
    <row r="2121" spans="12:13" x14ac:dyDescent="0.2">
      <c r="L2121" s="4">
        <v>2115</v>
      </c>
      <c r="M2121" s="21">
        <v>-381701.10725361586</v>
      </c>
    </row>
    <row r="2122" spans="12:13" x14ac:dyDescent="0.2">
      <c r="L2122" s="4">
        <v>2116</v>
      </c>
      <c r="M2122" s="21">
        <v>52620.737424217514</v>
      </c>
    </row>
    <row r="2123" spans="12:13" x14ac:dyDescent="0.2">
      <c r="L2123" s="4">
        <v>2117</v>
      </c>
      <c r="M2123" s="21">
        <v>-18913.745194398056</v>
      </c>
    </row>
    <row r="2124" spans="12:13" x14ac:dyDescent="0.2">
      <c r="L2124" s="4">
        <v>2118</v>
      </c>
      <c r="M2124" s="21">
        <v>79584.799619952304</v>
      </c>
    </row>
    <row r="2125" spans="12:13" x14ac:dyDescent="0.2">
      <c r="L2125" s="4">
        <v>2119</v>
      </c>
      <c r="M2125" s="21">
        <v>145359.07372845974</v>
      </c>
    </row>
    <row r="2126" spans="12:13" x14ac:dyDescent="0.2">
      <c r="L2126" s="4">
        <v>2120</v>
      </c>
      <c r="M2126" s="21">
        <v>537828.92489497876</v>
      </c>
    </row>
    <row r="2127" spans="12:13" x14ac:dyDescent="0.2">
      <c r="L2127" s="4">
        <v>2121</v>
      </c>
      <c r="M2127" s="21">
        <v>21283.079906763858</v>
      </c>
    </row>
    <row r="2128" spans="12:13" x14ac:dyDescent="0.2">
      <c r="L2128" s="4">
        <v>2122</v>
      </c>
      <c r="M2128" s="21">
        <v>-9095.4314804437017</v>
      </c>
    </row>
    <row r="2129" spans="12:13" x14ac:dyDescent="0.2">
      <c r="L2129" s="4">
        <v>2123</v>
      </c>
      <c r="M2129" s="21">
        <v>-19493.996174135755</v>
      </c>
    </row>
    <row r="2130" spans="12:13" x14ac:dyDescent="0.2">
      <c r="L2130" s="4">
        <v>2124</v>
      </c>
      <c r="M2130" s="21">
        <v>-42557.91893527146</v>
      </c>
    </row>
    <row r="2131" spans="12:13" x14ac:dyDescent="0.2">
      <c r="L2131" s="4">
        <v>2125</v>
      </c>
      <c r="M2131" s="21">
        <v>-5758.428189390077</v>
      </c>
    </row>
    <row r="2132" spans="12:13" x14ac:dyDescent="0.2">
      <c r="L2132" s="4">
        <v>2126</v>
      </c>
      <c r="M2132" s="21">
        <v>-169678.82682285726</v>
      </c>
    </row>
    <row r="2133" spans="12:13" x14ac:dyDescent="0.2">
      <c r="L2133" s="4">
        <v>2127</v>
      </c>
      <c r="M2133" s="21">
        <v>-55998.38870986455</v>
      </c>
    </row>
    <row r="2134" spans="12:13" x14ac:dyDescent="0.2">
      <c r="L2134" s="4">
        <v>2128</v>
      </c>
      <c r="M2134" s="21">
        <v>-67123.135609570076</v>
      </c>
    </row>
    <row r="2135" spans="12:13" x14ac:dyDescent="0.2">
      <c r="L2135" s="4">
        <v>2129</v>
      </c>
      <c r="M2135" s="21">
        <v>198020.55303150901</v>
      </c>
    </row>
    <row r="2136" spans="12:13" x14ac:dyDescent="0.2">
      <c r="L2136" s="4">
        <v>2130</v>
      </c>
      <c r="M2136" s="21">
        <v>248079.36253040706</v>
      </c>
    </row>
    <row r="2137" spans="12:13" x14ac:dyDescent="0.2">
      <c r="L2137" s="4">
        <v>2131</v>
      </c>
      <c r="M2137" s="21">
        <v>-233810.55584869109</v>
      </c>
    </row>
    <row r="2138" spans="12:13" x14ac:dyDescent="0.2">
      <c r="L2138" s="4">
        <v>2132</v>
      </c>
      <c r="M2138" s="21">
        <v>205277.30687391659</v>
      </c>
    </row>
    <row r="2139" spans="12:13" x14ac:dyDescent="0.2">
      <c r="L2139" s="4">
        <v>2133</v>
      </c>
      <c r="M2139" s="21">
        <v>395676.79646248836</v>
      </c>
    </row>
    <row r="2140" spans="12:13" x14ac:dyDescent="0.2">
      <c r="L2140" s="4">
        <v>2134</v>
      </c>
      <c r="M2140" s="21">
        <v>-251473.30120436969</v>
      </c>
    </row>
    <row r="2141" spans="12:13" x14ac:dyDescent="0.2">
      <c r="L2141" s="4">
        <v>2135</v>
      </c>
      <c r="M2141" s="21">
        <v>455764.1871515516</v>
      </c>
    </row>
    <row r="2142" spans="12:13" x14ac:dyDescent="0.2">
      <c r="L2142" s="4">
        <v>2136</v>
      </c>
      <c r="M2142" s="21">
        <v>335772.91234501114</v>
      </c>
    </row>
    <row r="2143" spans="12:13" x14ac:dyDescent="0.2">
      <c r="L2143" s="4">
        <v>2137</v>
      </c>
      <c r="M2143" s="21">
        <v>-233949.33956760791</v>
      </c>
    </row>
    <row r="2144" spans="12:13" x14ac:dyDescent="0.2">
      <c r="L2144" s="4">
        <v>2138</v>
      </c>
      <c r="M2144" s="21">
        <v>123448.65251068783</v>
      </c>
    </row>
    <row r="2145" spans="12:13" x14ac:dyDescent="0.2">
      <c r="L2145" s="4">
        <v>2139</v>
      </c>
      <c r="M2145" s="21">
        <v>248257.53509651904</v>
      </c>
    </row>
    <row r="2146" spans="12:13" x14ac:dyDescent="0.2">
      <c r="L2146" s="4">
        <v>2140</v>
      </c>
      <c r="M2146" s="21">
        <v>198343.92607768433</v>
      </c>
    </row>
    <row r="2147" spans="12:13" x14ac:dyDescent="0.2">
      <c r="L2147" s="4">
        <v>2141</v>
      </c>
      <c r="M2147" s="21">
        <v>346092.62345715077</v>
      </c>
    </row>
    <row r="2148" spans="12:13" x14ac:dyDescent="0.2">
      <c r="L2148" s="4">
        <v>2142</v>
      </c>
      <c r="M2148" s="21">
        <v>312983.06118171918</v>
      </c>
    </row>
    <row r="2149" spans="12:13" x14ac:dyDescent="0.2">
      <c r="L2149" s="4">
        <v>2143</v>
      </c>
      <c r="M2149" s="21">
        <v>-161286.80054801278</v>
      </c>
    </row>
    <row r="2150" spans="12:13" x14ac:dyDescent="0.2">
      <c r="L2150" s="4">
        <v>2144</v>
      </c>
      <c r="M2150" s="21">
        <v>94013.481414124515</v>
      </c>
    </row>
    <row r="2151" spans="12:13" x14ac:dyDescent="0.2">
      <c r="L2151" s="4">
        <v>2145</v>
      </c>
      <c r="M2151" s="21">
        <v>-57850.297866557608</v>
      </c>
    </row>
    <row r="2152" spans="12:13" x14ac:dyDescent="0.2">
      <c r="L2152" s="4">
        <v>2146</v>
      </c>
      <c r="M2152" s="21">
        <v>-185841.81112390239</v>
      </c>
    </row>
    <row r="2153" spans="12:13" x14ac:dyDescent="0.2">
      <c r="L2153" s="4">
        <v>2147</v>
      </c>
      <c r="M2153" s="21">
        <v>165110.21226669196</v>
      </c>
    </row>
    <row r="2154" spans="12:13" x14ac:dyDescent="0.2">
      <c r="L2154" s="4">
        <v>2148</v>
      </c>
      <c r="M2154" s="21">
        <v>54272.962981563236</v>
      </c>
    </row>
    <row r="2155" spans="12:13" x14ac:dyDescent="0.2">
      <c r="L2155" s="4">
        <v>2149</v>
      </c>
      <c r="M2155" s="21">
        <v>-47732.559214464112</v>
      </c>
    </row>
    <row r="2156" spans="12:13" x14ac:dyDescent="0.2">
      <c r="L2156" s="4">
        <v>2150</v>
      </c>
      <c r="M2156" s="21">
        <v>98632.180358577112</v>
      </c>
    </row>
    <row r="2157" spans="12:13" x14ac:dyDescent="0.2">
      <c r="L2157" s="4">
        <v>2151</v>
      </c>
      <c r="M2157" s="21">
        <v>99290.50192886882</v>
      </c>
    </row>
    <row r="2158" spans="12:13" x14ac:dyDescent="0.2">
      <c r="L2158" s="4">
        <v>2152</v>
      </c>
      <c r="M2158" s="21">
        <v>-718.41692428625538</v>
      </c>
    </row>
    <row r="2159" spans="12:13" x14ac:dyDescent="0.2">
      <c r="L2159" s="4">
        <v>2153</v>
      </c>
      <c r="M2159" s="21">
        <v>110456.05357140594</v>
      </c>
    </row>
    <row r="2160" spans="12:13" x14ac:dyDescent="0.2">
      <c r="L2160" s="4">
        <v>2154</v>
      </c>
      <c r="M2160" s="21">
        <v>174005.2494615163</v>
      </c>
    </row>
    <row r="2161" spans="12:13" x14ac:dyDescent="0.2">
      <c r="L2161" s="4">
        <v>2155</v>
      </c>
      <c r="M2161" s="21">
        <v>42965.794790196203</v>
      </c>
    </row>
    <row r="2162" spans="12:13" x14ac:dyDescent="0.2">
      <c r="L2162" s="4">
        <v>2156</v>
      </c>
      <c r="M2162" s="21">
        <v>113833.42376760193</v>
      </c>
    </row>
    <row r="2163" spans="12:13" x14ac:dyDescent="0.2">
      <c r="L2163" s="4">
        <v>2157</v>
      </c>
      <c r="M2163" s="21">
        <v>-289601.62297871022</v>
      </c>
    </row>
    <row r="2164" spans="12:13" x14ac:dyDescent="0.2">
      <c r="L2164" s="4">
        <v>2158</v>
      </c>
      <c r="M2164" s="21">
        <v>30291.476226890489</v>
      </c>
    </row>
    <row r="2165" spans="12:13" x14ac:dyDescent="0.2">
      <c r="L2165" s="4">
        <v>2159</v>
      </c>
      <c r="M2165" s="21">
        <v>197399.21733899598</v>
      </c>
    </row>
    <row r="2166" spans="12:13" x14ac:dyDescent="0.2">
      <c r="L2166" s="4">
        <v>2160</v>
      </c>
      <c r="M2166" s="21">
        <v>-308851.777723704</v>
      </c>
    </row>
    <row r="2167" spans="12:13" x14ac:dyDescent="0.2">
      <c r="L2167" s="4">
        <v>2161</v>
      </c>
      <c r="M2167" s="21">
        <v>-38532.016376004161</v>
      </c>
    </row>
    <row r="2168" spans="12:13" x14ac:dyDescent="0.2">
      <c r="L2168" s="4">
        <v>2162</v>
      </c>
      <c r="M2168" s="21">
        <v>9793.8448314927809</v>
      </c>
    </row>
    <row r="2169" spans="12:13" x14ac:dyDescent="0.2">
      <c r="L2169" s="4">
        <v>2163</v>
      </c>
      <c r="M2169" s="21">
        <v>-252899.92536161625</v>
      </c>
    </row>
    <row r="2170" spans="12:13" x14ac:dyDescent="0.2">
      <c r="L2170" s="4">
        <v>2164</v>
      </c>
      <c r="M2170" s="21">
        <v>-38749.109034520443</v>
      </c>
    </row>
    <row r="2171" spans="12:13" x14ac:dyDescent="0.2">
      <c r="L2171" s="4">
        <v>2165</v>
      </c>
      <c r="M2171" s="21">
        <v>229002.37077568678</v>
      </c>
    </row>
    <row r="2172" spans="12:13" x14ac:dyDescent="0.2">
      <c r="L2172" s="4">
        <v>2166</v>
      </c>
      <c r="M2172" s="21">
        <v>57334.799820647197</v>
      </c>
    </row>
    <row r="2173" spans="12:13" x14ac:dyDescent="0.2">
      <c r="L2173" s="4">
        <v>2167</v>
      </c>
      <c r="M2173" s="21">
        <v>-52572.430788100886</v>
      </c>
    </row>
    <row r="2174" spans="12:13" x14ac:dyDescent="0.2">
      <c r="L2174" s="4">
        <v>2168</v>
      </c>
      <c r="M2174" s="21">
        <v>393720.77367515647</v>
      </c>
    </row>
    <row r="2175" spans="12:13" x14ac:dyDescent="0.2">
      <c r="L2175" s="4">
        <v>2169</v>
      </c>
      <c r="M2175" s="21">
        <v>47842.982622068492</v>
      </c>
    </row>
    <row r="2176" spans="12:13" x14ac:dyDescent="0.2">
      <c r="L2176" s="4">
        <v>2170</v>
      </c>
      <c r="M2176" s="21">
        <v>-305547.81164952554</v>
      </c>
    </row>
    <row r="2177" spans="12:13" x14ac:dyDescent="0.2">
      <c r="L2177" s="4">
        <v>2171</v>
      </c>
      <c r="M2177" s="21">
        <v>124696.60851868836</v>
      </c>
    </row>
    <row r="2178" spans="12:13" x14ac:dyDescent="0.2">
      <c r="L2178" s="4">
        <v>2172</v>
      </c>
      <c r="M2178" s="21">
        <v>39275.016091084632</v>
      </c>
    </row>
    <row r="2179" spans="12:13" x14ac:dyDescent="0.2">
      <c r="L2179" s="4">
        <v>2173</v>
      </c>
      <c r="M2179" s="21">
        <v>37215.408139255509</v>
      </c>
    </row>
    <row r="2180" spans="12:13" x14ac:dyDescent="0.2">
      <c r="L2180" s="4">
        <v>2174</v>
      </c>
      <c r="M2180" s="21">
        <v>-46992.647677568923</v>
      </c>
    </row>
    <row r="2181" spans="12:13" x14ac:dyDescent="0.2">
      <c r="L2181" s="4">
        <v>2175</v>
      </c>
      <c r="M2181" s="21">
        <v>-50785.294558877984</v>
      </c>
    </row>
    <row r="2182" spans="12:13" x14ac:dyDescent="0.2">
      <c r="L2182" s="4">
        <v>2176</v>
      </c>
      <c r="M2182" s="21">
        <v>272340.42276708398</v>
      </c>
    </row>
    <row r="2183" spans="12:13" x14ac:dyDescent="0.2">
      <c r="L2183" s="4">
        <v>2177</v>
      </c>
      <c r="M2183" s="21">
        <v>-13812.220316703431</v>
      </c>
    </row>
    <row r="2184" spans="12:13" x14ac:dyDescent="0.2">
      <c r="L2184" s="4">
        <v>2178</v>
      </c>
      <c r="M2184" s="21">
        <v>81339.893863332196</v>
      </c>
    </row>
    <row r="2185" spans="12:13" x14ac:dyDescent="0.2">
      <c r="L2185" s="4">
        <v>2179</v>
      </c>
      <c r="M2185" s="21">
        <v>3893.3195904399618</v>
      </c>
    </row>
    <row r="2186" spans="12:13" x14ac:dyDescent="0.2">
      <c r="L2186" s="4">
        <v>2180</v>
      </c>
      <c r="M2186" s="21">
        <v>8418.7356660446676</v>
      </c>
    </row>
    <row r="2187" spans="12:13" x14ac:dyDescent="0.2">
      <c r="L2187" s="4">
        <v>2181</v>
      </c>
      <c r="M2187" s="21">
        <v>190815.20722432787</v>
      </c>
    </row>
    <row r="2188" spans="12:13" x14ac:dyDescent="0.2">
      <c r="L2188" s="4">
        <v>2182</v>
      </c>
      <c r="M2188" s="21">
        <v>-304022.57564901485</v>
      </c>
    </row>
    <row r="2189" spans="12:13" x14ac:dyDescent="0.2">
      <c r="L2189" s="4">
        <v>2183</v>
      </c>
      <c r="M2189" s="21">
        <v>81025.282413048495</v>
      </c>
    </row>
    <row r="2190" spans="12:13" x14ac:dyDescent="0.2">
      <c r="L2190" s="4">
        <v>2184</v>
      </c>
      <c r="M2190" s="21">
        <v>-130563.97020454401</v>
      </c>
    </row>
    <row r="2191" spans="12:13" x14ac:dyDescent="0.2">
      <c r="L2191" s="4">
        <v>2185</v>
      </c>
      <c r="M2191" s="21">
        <v>-236443.24193144741</v>
      </c>
    </row>
    <row r="2192" spans="12:13" x14ac:dyDescent="0.2">
      <c r="L2192" s="4">
        <v>2186</v>
      </c>
      <c r="M2192" s="21">
        <v>-104564.42008942783</v>
      </c>
    </row>
    <row r="2193" spans="12:13" x14ac:dyDescent="0.2">
      <c r="L2193" s="4">
        <v>2187</v>
      </c>
      <c r="M2193" s="21">
        <v>349696.25333132502</v>
      </c>
    </row>
    <row r="2194" spans="12:13" x14ac:dyDescent="0.2">
      <c r="L2194" s="4">
        <v>2188</v>
      </c>
      <c r="M2194" s="21">
        <v>103293.11264709735</v>
      </c>
    </row>
    <row r="2195" spans="12:13" x14ac:dyDescent="0.2">
      <c r="L2195" s="4">
        <v>2189</v>
      </c>
      <c r="M2195" s="21">
        <v>97672.088325983757</v>
      </c>
    </row>
    <row r="2196" spans="12:13" x14ac:dyDescent="0.2">
      <c r="L2196" s="4">
        <v>2190</v>
      </c>
      <c r="M2196" s="21">
        <v>178806.1723314829</v>
      </c>
    </row>
    <row r="2197" spans="12:13" x14ac:dyDescent="0.2">
      <c r="L2197" s="4">
        <v>2191</v>
      </c>
      <c r="M2197" s="21">
        <v>228462.04007119255</v>
      </c>
    </row>
    <row r="2198" spans="12:13" x14ac:dyDescent="0.2">
      <c r="L2198" s="4">
        <v>2192</v>
      </c>
      <c r="M2198" s="21">
        <v>393125.60492263793</v>
      </c>
    </row>
    <row r="2199" spans="12:13" x14ac:dyDescent="0.2">
      <c r="L2199" s="4">
        <v>2193</v>
      </c>
      <c r="M2199" s="21">
        <v>123824.37267715699</v>
      </c>
    </row>
    <row r="2200" spans="12:13" x14ac:dyDescent="0.2">
      <c r="L2200" s="4">
        <v>2194</v>
      </c>
      <c r="M2200" s="21">
        <v>-92339.758318136446</v>
      </c>
    </row>
    <row r="2201" spans="12:13" x14ac:dyDescent="0.2">
      <c r="L2201" s="4">
        <v>2195</v>
      </c>
      <c r="M2201" s="21">
        <v>196328.87634020319</v>
      </c>
    </row>
    <row r="2202" spans="12:13" x14ac:dyDescent="0.2">
      <c r="L2202" s="4">
        <v>2196</v>
      </c>
      <c r="M2202" s="21">
        <v>-363450.74857958662</v>
      </c>
    </row>
    <row r="2203" spans="12:13" x14ac:dyDescent="0.2">
      <c r="L2203" s="4">
        <v>2197</v>
      </c>
      <c r="M2203" s="21">
        <v>-105257.3734923196</v>
      </c>
    </row>
    <row r="2204" spans="12:13" x14ac:dyDescent="0.2">
      <c r="L2204" s="4">
        <v>2198</v>
      </c>
      <c r="M2204" s="21">
        <v>-207523.73953748393</v>
      </c>
    </row>
    <row r="2205" spans="12:13" x14ac:dyDescent="0.2">
      <c r="L2205" s="4">
        <v>2199</v>
      </c>
      <c r="M2205" s="21">
        <v>50711.076219090202</v>
      </c>
    </row>
    <row r="2206" spans="12:13" x14ac:dyDescent="0.2">
      <c r="L2206" s="4">
        <v>2200</v>
      </c>
      <c r="M2206" s="21">
        <v>516445.15547991346</v>
      </c>
    </row>
    <row r="2207" spans="12:13" x14ac:dyDescent="0.2">
      <c r="L2207" s="4">
        <v>2201</v>
      </c>
      <c r="M2207" s="21">
        <v>-186640.13578898541</v>
      </c>
    </row>
    <row r="2208" spans="12:13" x14ac:dyDescent="0.2">
      <c r="L2208" s="4">
        <v>2202</v>
      </c>
      <c r="M2208" s="21">
        <v>323519.56158825196</v>
      </c>
    </row>
    <row r="2209" spans="12:13" x14ac:dyDescent="0.2">
      <c r="L2209" s="4">
        <v>2203</v>
      </c>
      <c r="M2209" s="21">
        <v>-85385.493501862991</v>
      </c>
    </row>
    <row r="2210" spans="12:13" x14ac:dyDescent="0.2">
      <c r="L2210" s="4">
        <v>2204</v>
      </c>
      <c r="M2210" s="21">
        <v>243143.18618780683</v>
      </c>
    </row>
    <row r="2211" spans="12:13" x14ac:dyDescent="0.2">
      <c r="L2211" s="4">
        <v>2205</v>
      </c>
      <c r="M2211" s="21">
        <v>-79882.277396174832</v>
      </c>
    </row>
    <row r="2212" spans="12:13" x14ac:dyDescent="0.2">
      <c r="L2212" s="4">
        <v>2206</v>
      </c>
      <c r="M2212" s="21">
        <v>38018.402053433267</v>
      </c>
    </row>
    <row r="2213" spans="12:13" x14ac:dyDescent="0.2">
      <c r="L2213" s="4">
        <v>2207</v>
      </c>
      <c r="M2213" s="21">
        <v>34493.107390988735</v>
      </c>
    </row>
    <row r="2214" spans="12:13" x14ac:dyDescent="0.2">
      <c r="L2214" s="4">
        <v>2208</v>
      </c>
      <c r="M2214" s="21">
        <v>97163.053890996875</v>
      </c>
    </row>
    <row r="2215" spans="12:13" x14ac:dyDescent="0.2">
      <c r="L2215" s="4">
        <v>2209</v>
      </c>
      <c r="M2215" s="21">
        <v>83369.288643019856</v>
      </c>
    </row>
    <row r="2216" spans="12:13" x14ac:dyDescent="0.2">
      <c r="L2216" s="4">
        <v>2210</v>
      </c>
      <c r="M2216" s="21">
        <v>-33058.272221574065</v>
      </c>
    </row>
    <row r="2217" spans="12:13" x14ac:dyDescent="0.2">
      <c r="L2217" s="4">
        <v>2211</v>
      </c>
      <c r="M2217" s="21">
        <v>-308219.59858879447</v>
      </c>
    </row>
    <row r="2218" spans="12:13" x14ac:dyDescent="0.2">
      <c r="L2218" s="4">
        <v>2212</v>
      </c>
      <c r="M2218" s="21">
        <v>-28192.023349888608</v>
      </c>
    </row>
    <row r="2219" spans="12:13" x14ac:dyDescent="0.2">
      <c r="L2219" s="4">
        <v>2213</v>
      </c>
      <c r="M2219" s="21">
        <v>-6566.7030534038495</v>
      </c>
    </row>
    <row r="2220" spans="12:13" x14ac:dyDescent="0.2">
      <c r="L2220" s="4">
        <v>2214</v>
      </c>
      <c r="M2220" s="21">
        <v>-8229.5123620991362</v>
      </c>
    </row>
    <row r="2221" spans="12:13" x14ac:dyDescent="0.2">
      <c r="L2221" s="4">
        <v>2215</v>
      </c>
      <c r="M2221" s="21">
        <v>535864.29903294914</v>
      </c>
    </row>
    <row r="2222" spans="12:13" x14ac:dyDescent="0.2">
      <c r="L2222" s="4">
        <v>2216</v>
      </c>
      <c r="M2222" s="21">
        <v>66109.86440248476</v>
      </c>
    </row>
    <row r="2223" spans="12:13" x14ac:dyDescent="0.2">
      <c r="L2223" s="4">
        <v>2217</v>
      </c>
      <c r="M2223" s="21">
        <v>141517.55452417184</v>
      </c>
    </row>
    <row r="2224" spans="12:13" x14ac:dyDescent="0.2">
      <c r="L2224" s="4">
        <v>2218</v>
      </c>
      <c r="M2224" s="21">
        <v>210760.07691468287</v>
      </c>
    </row>
    <row r="2225" spans="12:13" x14ac:dyDescent="0.2">
      <c r="L2225" s="4">
        <v>2219</v>
      </c>
      <c r="M2225" s="21">
        <v>-169369.36402448357</v>
      </c>
    </row>
    <row r="2226" spans="12:13" x14ac:dyDescent="0.2">
      <c r="L2226" s="4">
        <v>2220</v>
      </c>
      <c r="M2226" s="21">
        <v>-50073.482125717972</v>
      </c>
    </row>
    <row r="2227" spans="12:13" x14ac:dyDescent="0.2">
      <c r="L2227" s="4">
        <v>2221</v>
      </c>
      <c r="M2227" s="21">
        <v>120628.2762571366</v>
      </c>
    </row>
    <row r="2228" spans="12:13" x14ac:dyDescent="0.2">
      <c r="L2228" s="4">
        <v>2222</v>
      </c>
      <c r="M2228" s="21">
        <v>182760.64160667977</v>
      </c>
    </row>
    <row r="2229" spans="12:13" x14ac:dyDescent="0.2">
      <c r="L2229" s="4">
        <v>2223</v>
      </c>
      <c r="M2229" s="21">
        <v>-31902.530688254556</v>
      </c>
    </row>
    <row r="2230" spans="12:13" x14ac:dyDescent="0.2">
      <c r="L2230" s="4">
        <v>2224</v>
      </c>
      <c r="M2230" s="21">
        <v>-180528.92007924998</v>
      </c>
    </row>
    <row r="2231" spans="12:13" x14ac:dyDescent="0.2">
      <c r="L2231" s="4">
        <v>2225</v>
      </c>
      <c r="M2231" s="21">
        <v>325260.4412894494</v>
      </c>
    </row>
    <row r="2232" spans="12:13" x14ac:dyDescent="0.2">
      <c r="L2232" s="4">
        <v>2226</v>
      </c>
      <c r="M2232" s="21">
        <v>191441.81907783833</v>
      </c>
    </row>
    <row r="2233" spans="12:13" x14ac:dyDescent="0.2">
      <c r="L2233" s="4">
        <v>2227</v>
      </c>
      <c r="M2233" s="21">
        <v>300976.75935816555</v>
      </c>
    </row>
    <row r="2234" spans="12:13" x14ac:dyDescent="0.2">
      <c r="L2234" s="4">
        <v>2228</v>
      </c>
      <c r="M2234" s="21">
        <v>-70367.236027538398</v>
      </c>
    </row>
    <row r="2235" spans="12:13" x14ac:dyDescent="0.2">
      <c r="L2235" s="4">
        <v>2229</v>
      </c>
      <c r="M2235" s="21">
        <v>-19434.895989754092</v>
      </c>
    </row>
    <row r="2236" spans="12:13" x14ac:dyDescent="0.2">
      <c r="L2236" s="4">
        <v>2230</v>
      </c>
      <c r="M2236" s="21">
        <v>28734.704312885267</v>
      </c>
    </row>
    <row r="2237" spans="12:13" x14ac:dyDescent="0.2">
      <c r="L2237" s="4">
        <v>2231</v>
      </c>
      <c r="M2237" s="21">
        <v>106296.38340284702</v>
      </c>
    </row>
    <row r="2238" spans="12:13" x14ac:dyDescent="0.2">
      <c r="L2238" s="4">
        <v>2232</v>
      </c>
      <c r="M2238" s="21">
        <v>57666.185288822133</v>
      </c>
    </row>
    <row r="2239" spans="12:13" x14ac:dyDescent="0.2">
      <c r="L2239" s="4">
        <v>2233</v>
      </c>
      <c r="M2239" s="21">
        <v>30377.879804556869</v>
      </c>
    </row>
    <row r="2240" spans="12:13" x14ac:dyDescent="0.2">
      <c r="L2240" s="4">
        <v>2234</v>
      </c>
      <c r="M2240" s="21">
        <v>-333592.31743781216</v>
      </c>
    </row>
    <row r="2241" spans="12:13" x14ac:dyDescent="0.2">
      <c r="L2241" s="4">
        <v>2235</v>
      </c>
      <c r="M2241" s="21">
        <v>-5928.7565435938159</v>
      </c>
    </row>
    <row r="2242" spans="12:13" x14ac:dyDescent="0.2">
      <c r="L2242" s="4">
        <v>2236</v>
      </c>
      <c r="M2242" s="21">
        <v>141731.35142900312</v>
      </c>
    </row>
    <row r="2243" spans="12:13" x14ac:dyDescent="0.2">
      <c r="L2243" s="4">
        <v>2237</v>
      </c>
      <c r="M2243" s="21">
        <v>94859.8811957117</v>
      </c>
    </row>
    <row r="2244" spans="12:13" x14ac:dyDescent="0.2">
      <c r="L2244" s="4">
        <v>2238</v>
      </c>
      <c r="M2244" s="21">
        <v>-220954.42808217159</v>
      </c>
    </row>
    <row r="2245" spans="12:13" x14ac:dyDescent="0.2">
      <c r="L2245" s="4">
        <v>2239</v>
      </c>
      <c r="M2245" s="21">
        <v>185698.75468287122</v>
      </c>
    </row>
    <row r="2246" spans="12:13" x14ac:dyDescent="0.2">
      <c r="L2246" s="4">
        <v>2240</v>
      </c>
      <c r="M2246" s="21">
        <v>-218541.96204240032</v>
      </c>
    </row>
    <row r="2247" spans="12:13" x14ac:dyDescent="0.2">
      <c r="L2247" s="4">
        <v>2241</v>
      </c>
      <c r="M2247" s="21">
        <v>-36493.231411340064</v>
      </c>
    </row>
    <row r="2248" spans="12:13" x14ac:dyDescent="0.2">
      <c r="L2248" s="4">
        <v>2242</v>
      </c>
      <c r="M2248" s="21">
        <v>492947.26601977891</v>
      </c>
    </row>
    <row r="2249" spans="12:13" x14ac:dyDescent="0.2">
      <c r="L2249" s="4">
        <v>2243</v>
      </c>
      <c r="M2249" s="21">
        <v>154872.72298635766</v>
      </c>
    </row>
    <row r="2250" spans="12:13" x14ac:dyDescent="0.2">
      <c r="L2250" s="4">
        <v>2244</v>
      </c>
      <c r="M2250" s="21">
        <v>144179.18503695735</v>
      </c>
    </row>
    <row r="2251" spans="12:13" x14ac:dyDescent="0.2">
      <c r="L2251" s="4">
        <v>2245</v>
      </c>
      <c r="M2251" s="21">
        <v>322047.30977389764</v>
      </c>
    </row>
    <row r="2252" spans="12:13" x14ac:dyDescent="0.2">
      <c r="L2252" s="4">
        <v>2246</v>
      </c>
      <c r="M2252" s="21">
        <v>387032.21980685776</v>
      </c>
    </row>
    <row r="2253" spans="12:13" x14ac:dyDescent="0.2">
      <c r="L2253" s="4">
        <v>2247</v>
      </c>
      <c r="M2253" s="21">
        <v>109745.80160113802</v>
      </c>
    </row>
    <row r="2254" spans="12:13" x14ac:dyDescent="0.2">
      <c r="L2254" s="4">
        <v>2248</v>
      </c>
      <c r="M2254" s="21">
        <v>-154934.12087360391</v>
      </c>
    </row>
    <row r="2255" spans="12:13" x14ac:dyDescent="0.2">
      <c r="L2255" s="4">
        <v>2249</v>
      </c>
      <c r="M2255" s="21">
        <v>-183638.13185996693</v>
      </c>
    </row>
    <row r="2256" spans="12:13" x14ac:dyDescent="0.2">
      <c r="L2256" s="4">
        <v>2250</v>
      </c>
      <c r="M2256" s="21">
        <v>423043.96958141477</v>
      </c>
    </row>
    <row r="2257" spans="12:13" x14ac:dyDescent="0.2">
      <c r="L2257" s="4">
        <v>2251</v>
      </c>
      <c r="M2257" s="21">
        <v>-83911.304145693226</v>
      </c>
    </row>
    <row r="2258" spans="12:13" x14ac:dyDescent="0.2">
      <c r="L2258" s="4">
        <v>2252</v>
      </c>
      <c r="M2258" s="21">
        <v>-9161.3661304265261</v>
      </c>
    </row>
    <row r="2259" spans="12:13" x14ac:dyDescent="0.2">
      <c r="L2259" s="4">
        <v>2253</v>
      </c>
      <c r="M2259" s="21">
        <v>-363684.92028273625</v>
      </c>
    </row>
    <row r="2260" spans="12:13" x14ac:dyDescent="0.2">
      <c r="L2260" s="4">
        <v>2254</v>
      </c>
      <c r="M2260" s="21">
        <v>-180533.56915339705</v>
      </c>
    </row>
    <row r="2261" spans="12:13" x14ac:dyDescent="0.2">
      <c r="L2261" s="4">
        <v>2255</v>
      </c>
      <c r="M2261" s="21">
        <v>-43235.407886300352</v>
      </c>
    </row>
    <row r="2262" spans="12:13" x14ac:dyDescent="0.2">
      <c r="L2262" s="4">
        <v>2256</v>
      </c>
      <c r="M2262" s="21">
        <v>-448471.11636927491</v>
      </c>
    </row>
    <row r="2263" spans="12:13" x14ac:dyDescent="0.2">
      <c r="L2263" s="4">
        <v>2257</v>
      </c>
      <c r="M2263" s="21">
        <v>265473.54176323925</v>
      </c>
    </row>
    <row r="2264" spans="12:13" x14ac:dyDescent="0.2">
      <c r="L2264" s="4">
        <v>2258</v>
      </c>
      <c r="M2264" s="21">
        <v>26976.452122275543</v>
      </c>
    </row>
    <row r="2265" spans="12:13" x14ac:dyDescent="0.2">
      <c r="L2265" s="4">
        <v>2259</v>
      </c>
      <c r="M2265" s="21">
        <v>-171362.76663512405</v>
      </c>
    </row>
    <row r="2266" spans="12:13" x14ac:dyDescent="0.2">
      <c r="L2266" s="4">
        <v>2260</v>
      </c>
      <c r="M2266" s="21">
        <v>-1523.0487538892048</v>
      </c>
    </row>
    <row r="2267" spans="12:13" x14ac:dyDescent="0.2">
      <c r="L2267" s="4">
        <v>2261</v>
      </c>
      <c r="M2267" s="21">
        <v>337698.50999470009</v>
      </c>
    </row>
    <row r="2268" spans="12:13" x14ac:dyDescent="0.2">
      <c r="L2268" s="4">
        <v>2262</v>
      </c>
      <c r="M2268" s="21">
        <v>23190.195341074694</v>
      </c>
    </row>
    <row r="2269" spans="12:13" x14ac:dyDescent="0.2">
      <c r="L2269" s="4">
        <v>2263</v>
      </c>
      <c r="M2269" s="21">
        <v>-289203.03613232134</v>
      </c>
    </row>
    <row r="2270" spans="12:13" x14ac:dyDescent="0.2">
      <c r="L2270" s="4">
        <v>2264</v>
      </c>
      <c r="M2270" s="21">
        <v>287839.83412231324</v>
      </c>
    </row>
    <row r="2271" spans="12:13" x14ac:dyDescent="0.2">
      <c r="L2271" s="4">
        <v>2265</v>
      </c>
      <c r="M2271" s="21">
        <v>101531.43787298782</v>
      </c>
    </row>
    <row r="2272" spans="12:13" x14ac:dyDescent="0.2">
      <c r="L2272" s="4">
        <v>2266</v>
      </c>
      <c r="M2272" s="21">
        <v>101690.27558794894</v>
      </c>
    </row>
    <row r="2273" spans="12:13" x14ac:dyDescent="0.2">
      <c r="L2273" s="4">
        <v>2267</v>
      </c>
      <c r="M2273" s="21">
        <v>47030.976241750264</v>
      </c>
    </row>
    <row r="2274" spans="12:13" x14ac:dyDescent="0.2">
      <c r="L2274" s="4">
        <v>2268</v>
      </c>
      <c r="M2274" s="21">
        <v>242975.36919869407</v>
      </c>
    </row>
    <row r="2275" spans="12:13" x14ac:dyDescent="0.2">
      <c r="L2275" s="4">
        <v>2269</v>
      </c>
      <c r="M2275" s="21">
        <v>-24060.830916465711</v>
      </c>
    </row>
    <row r="2276" spans="12:13" x14ac:dyDescent="0.2">
      <c r="L2276" s="4">
        <v>2270</v>
      </c>
      <c r="M2276" s="21">
        <v>172561.78816326929</v>
      </c>
    </row>
    <row r="2277" spans="12:13" x14ac:dyDescent="0.2">
      <c r="L2277" s="4">
        <v>2271</v>
      </c>
      <c r="M2277" s="21">
        <v>-177455.44747938021</v>
      </c>
    </row>
    <row r="2278" spans="12:13" x14ac:dyDescent="0.2">
      <c r="L2278" s="4">
        <v>2272</v>
      </c>
      <c r="M2278" s="21">
        <v>111894.53378922661</v>
      </c>
    </row>
    <row r="2279" spans="12:13" x14ac:dyDescent="0.2">
      <c r="L2279" s="4">
        <v>2273</v>
      </c>
      <c r="M2279" s="21">
        <v>286938.27110842668</v>
      </c>
    </row>
    <row r="2280" spans="12:13" x14ac:dyDescent="0.2">
      <c r="L2280" s="4">
        <v>2274</v>
      </c>
      <c r="M2280" s="21">
        <v>-141652.28791302658</v>
      </c>
    </row>
    <row r="2281" spans="12:13" x14ac:dyDescent="0.2">
      <c r="L2281" s="4">
        <v>2275</v>
      </c>
      <c r="M2281" s="21">
        <v>-111493.43155374761</v>
      </c>
    </row>
    <row r="2282" spans="12:13" x14ac:dyDescent="0.2">
      <c r="L2282" s="4">
        <v>2276</v>
      </c>
      <c r="M2282" s="21">
        <v>-16827.556834365387</v>
      </c>
    </row>
    <row r="2283" spans="12:13" x14ac:dyDescent="0.2">
      <c r="L2283" s="4">
        <v>2277</v>
      </c>
      <c r="M2283" s="21">
        <v>-14119.505026633997</v>
      </c>
    </row>
    <row r="2284" spans="12:13" x14ac:dyDescent="0.2">
      <c r="L2284" s="4">
        <v>2278</v>
      </c>
      <c r="M2284" s="21">
        <v>-26428.392763066149</v>
      </c>
    </row>
    <row r="2285" spans="12:13" x14ac:dyDescent="0.2">
      <c r="L2285" s="4">
        <v>2279</v>
      </c>
      <c r="M2285" s="21">
        <v>227620.87566772412</v>
      </c>
    </row>
    <row r="2286" spans="12:13" x14ac:dyDescent="0.2">
      <c r="L2286" s="4">
        <v>2280</v>
      </c>
      <c r="M2286" s="21">
        <v>414760.17861233326</v>
      </c>
    </row>
    <row r="2287" spans="12:13" x14ac:dyDescent="0.2">
      <c r="L2287" s="4">
        <v>2281</v>
      </c>
      <c r="M2287" s="21">
        <v>-85942.972497379902</v>
      </c>
    </row>
    <row r="2288" spans="12:13" x14ac:dyDescent="0.2">
      <c r="L2288" s="4">
        <v>2282</v>
      </c>
      <c r="M2288" s="21">
        <v>378152.03455759794</v>
      </c>
    </row>
    <row r="2289" spans="12:13" x14ac:dyDescent="0.2">
      <c r="L2289" s="4">
        <v>2283</v>
      </c>
      <c r="M2289" s="21">
        <v>122141.98395994696</v>
      </c>
    </row>
    <row r="2290" spans="12:13" x14ac:dyDescent="0.2">
      <c r="L2290" s="4">
        <v>2284</v>
      </c>
      <c r="M2290" s="21">
        <v>342256.12785428582</v>
      </c>
    </row>
    <row r="2291" spans="12:13" x14ac:dyDescent="0.2">
      <c r="L2291" s="4">
        <v>2285</v>
      </c>
      <c r="M2291" s="21">
        <v>9856.5036265967938</v>
      </c>
    </row>
    <row r="2292" spans="12:13" x14ac:dyDescent="0.2">
      <c r="L2292" s="4">
        <v>2286</v>
      </c>
      <c r="M2292" s="21">
        <v>54073.277712865674</v>
      </c>
    </row>
    <row r="2293" spans="12:13" x14ac:dyDescent="0.2">
      <c r="L2293" s="4">
        <v>2287</v>
      </c>
      <c r="M2293" s="21">
        <v>100569.09624015086</v>
      </c>
    </row>
    <row r="2294" spans="12:13" x14ac:dyDescent="0.2">
      <c r="L2294" s="4">
        <v>2288</v>
      </c>
      <c r="M2294" s="21">
        <v>288904.62076495058</v>
      </c>
    </row>
    <row r="2295" spans="12:13" x14ac:dyDescent="0.2">
      <c r="L2295" s="4">
        <v>2289</v>
      </c>
      <c r="M2295" s="21">
        <v>3109.0489786846156</v>
      </c>
    </row>
    <row r="2296" spans="12:13" x14ac:dyDescent="0.2">
      <c r="L2296" s="4">
        <v>2290</v>
      </c>
      <c r="M2296" s="21">
        <v>-109311.72574048063</v>
      </c>
    </row>
    <row r="2297" spans="12:13" x14ac:dyDescent="0.2">
      <c r="L2297" s="4">
        <v>2291</v>
      </c>
      <c r="M2297" s="21">
        <v>218356.51742755063</v>
      </c>
    </row>
    <row r="2298" spans="12:13" x14ac:dyDescent="0.2">
      <c r="L2298" s="4">
        <v>2292</v>
      </c>
      <c r="M2298" s="21">
        <v>-308457.65984472615</v>
      </c>
    </row>
    <row r="2299" spans="12:13" x14ac:dyDescent="0.2">
      <c r="L2299" s="4">
        <v>2293</v>
      </c>
      <c r="M2299" s="21">
        <v>-106976.03904130742</v>
      </c>
    </row>
    <row r="2300" spans="12:13" x14ac:dyDescent="0.2">
      <c r="L2300" s="4">
        <v>2294</v>
      </c>
      <c r="M2300" s="21">
        <v>-158622.56629821094</v>
      </c>
    </row>
    <row r="2301" spans="12:13" x14ac:dyDescent="0.2">
      <c r="L2301" s="4">
        <v>2295</v>
      </c>
      <c r="M2301" s="21">
        <v>178039.86070146566</v>
      </c>
    </row>
    <row r="2302" spans="12:13" x14ac:dyDescent="0.2">
      <c r="L2302" s="4">
        <v>2296</v>
      </c>
      <c r="M2302" s="21">
        <v>246808.99951848609</v>
      </c>
    </row>
    <row r="2303" spans="12:13" x14ac:dyDescent="0.2">
      <c r="L2303" s="4">
        <v>2297</v>
      </c>
      <c r="M2303" s="21">
        <v>-23528.487843422612</v>
      </c>
    </row>
    <row r="2304" spans="12:13" x14ac:dyDescent="0.2">
      <c r="L2304" s="4">
        <v>2298</v>
      </c>
      <c r="M2304" s="21">
        <v>-384404.65319728258</v>
      </c>
    </row>
    <row r="2305" spans="12:13" x14ac:dyDescent="0.2">
      <c r="L2305" s="4">
        <v>2299</v>
      </c>
      <c r="M2305" s="21">
        <v>167098.56557962406</v>
      </c>
    </row>
    <row r="2306" spans="12:13" x14ac:dyDescent="0.2">
      <c r="L2306" s="4">
        <v>2300</v>
      </c>
      <c r="M2306" s="21">
        <v>44211.749910293263</v>
      </c>
    </row>
    <row r="2307" spans="12:13" x14ac:dyDescent="0.2">
      <c r="L2307" s="4">
        <v>2301</v>
      </c>
      <c r="M2307" s="21">
        <v>262185.64613822824</v>
      </c>
    </row>
    <row r="2308" spans="12:13" x14ac:dyDescent="0.2">
      <c r="L2308" s="4">
        <v>2302</v>
      </c>
      <c r="M2308" s="21">
        <v>132101.73927655048</v>
      </c>
    </row>
    <row r="2309" spans="12:13" x14ac:dyDescent="0.2">
      <c r="L2309" s="4">
        <v>2303</v>
      </c>
      <c r="M2309" s="21">
        <v>-320677.26484511216</v>
      </c>
    </row>
    <row r="2310" spans="12:13" x14ac:dyDescent="0.2">
      <c r="L2310" s="4">
        <v>2304</v>
      </c>
      <c r="M2310" s="21">
        <v>87015.545553307835</v>
      </c>
    </row>
    <row r="2311" spans="12:13" x14ac:dyDescent="0.2">
      <c r="L2311" s="4">
        <v>2305</v>
      </c>
      <c r="M2311" s="21">
        <v>-287438.10575093073</v>
      </c>
    </row>
    <row r="2312" spans="12:13" x14ac:dyDescent="0.2">
      <c r="L2312" s="4">
        <v>2306</v>
      </c>
      <c r="M2312" s="21">
        <v>10344.32734596447</v>
      </c>
    </row>
    <row r="2313" spans="12:13" x14ac:dyDescent="0.2">
      <c r="L2313" s="4">
        <v>2307</v>
      </c>
      <c r="M2313" s="21">
        <v>-99788.275264696727</v>
      </c>
    </row>
    <row r="2314" spans="12:13" x14ac:dyDescent="0.2">
      <c r="L2314" s="4">
        <v>2308</v>
      </c>
      <c r="M2314" s="21">
        <v>-83420.806492760588</v>
      </c>
    </row>
    <row r="2315" spans="12:13" x14ac:dyDescent="0.2">
      <c r="L2315" s="4">
        <v>2309</v>
      </c>
      <c r="M2315" s="21">
        <v>262356.15653375094</v>
      </c>
    </row>
    <row r="2316" spans="12:13" x14ac:dyDescent="0.2">
      <c r="L2316" s="4">
        <v>2310</v>
      </c>
      <c r="M2316" s="21">
        <v>-285431.53197755787</v>
      </c>
    </row>
    <row r="2317" spans="12:13" x14ac:dyDescent="0.2">
      <c r="L2317" s="4">
        <v>2311</v>
      </c>
      <c r="M2317" s="21">
        <v>79080.799618280551</v>
      </c>
    </row>
    <row r="2318" spans="12:13" x14ac:dyDescent="0.2">
      <c r="L2318" s="4">
        <v>2312</v>
      </c>
      <c r="M2318" s="21">
        <v>-5766.5725829945441</v>
      </c>
    </row>
    <row r="2319" spans="12:13" x14ac:dyDescent="0.2">
      <c r="L2319" s="4">
        <v>2313</v>
      </c>
      <c r="M2319" s="21">
        <v>-149647.78135837842</v>
      </c>
    </row>
    <row r="2320" spans="12:13" x14ac:dyDescent="0.2">
      <c r="L2320" s="4">
        <v>2314</v>
      </c>
      <c r="M2320" s="21">
        <v>337889.51738441607</v>
      </c>
    </row>
    <row r="2321" spans="12:13" x14ac:dyDescent="0.2">
      <c r="L2321" s="4">
        <v>2315</v>
      </c>
      <c r="M2321" s="21">
        <v>360779.91509859543</v>
      </c>
    </row>
    <row r="2322" spans="12:13" x14ac:dyDescent="0.2">
      <c r="L2322" s="4">
        <v>2316</v>
      </c>
      <c r="M2322" s="21">
        <v>261935.85319103519</v>
      </c>
    </row>
    <row r="2323" spans="12:13" x14ac:dyDescent="0.2">
      <c r="L2323" s="4">
        <v>2317</v>
      </c>
      <c r="M2323" s="21">
        <v>-163910.81967274414</v>
      </c>
    </row>
    <row r="2324" spans="12:13" x14ac:dyDescent="0.2">
      <c r="L2324" s="4">
        <v>2318</v>
      </c>
      <c r="M2324" s="21">
        <v>-24876.365935088339</v>
      </c>
    </row>
    <row r="2325" spans="12:13" x14ac:dyDescent="0.2">
      <c r="L2325" s="4">
        <v>2319</v>
      </c>
      <c r="M2325" s="21">
        <v>-77614.275256998269</v>
      </c>
    </row>
    <row r="2326" spans="12:13" x14ac:dyDescent="0.2">
      <c r="L2326" s="4">
        <v>2320</v>
      </c>
      <c r="M2326" s="21">
        <v>-16859.158908080499</v>
      </c>
    </row>
    <row r="2327" spans="12:13" x14ac:dyDescent="0.2">
      <c r="L2327" s="4">
        <v>2321</v>
      </c>
      <c r="M2327" s="21">
        <v>369558.02560527693</v>
      </c>
    </row>
    <row r="2328" spans="12:13" x14ac:dyDescent="0.2">
      <c r="L2328" s="4">
        <v>2322</v>
      </c>
      <c r="M2328" s="21">
        <v>-116623.60947637522</v>
      </c>
    </row>
    <row r="2329" spans="12:13" x14ac:dyDescent="0.2">
      <c r="L2329" s="4">
        <v>2323</v>
      </c>
      <c r="M2329" s="21">
        <v>-100368.48010554691</v>
      </c>
    </row>
    <row r="2330" spans="12:13" x14ac:dyDescent="0.2">
      <c r="L2330" s="4">
        <v>2324</v>
      </c>
      <c r="M2330" s="21">
        <v>-180624.76131536489</v>
      </c>
    </row>
    <row r="2331" spans="12:13" x14ac:dyDescent="0.2">
      <c r="L2331" s="4">
        <v>2325</v>
      </c>
      <c r="M2331" s="21">
        <v>147486.35828195987</v>
      </c>
    </row>
    <row r="2332" spans="12:13" x14ac:dyDescent="0.2">
      <c r="L2332" s="4">
        <v>2326</v>
      </c>
      <c r="M2332" s="21">
        <v>136976.50212083102</v>
      </c>
    </row>
    <row r="2333" spans="12:13" x14ac:dyDescent="0.2">
      <c r="L2333" s="4">
        <v>2327</v>
      </c>
      <c r="M2333" s="21">
        <v>-282778.2237776767</v>
      </c>
    </row>
    <row r="2334" spans="12:13" x14ac:dyDescent="0.2">
      <c r="L2334" s="4">
        <v>2328</v>
      </c>
      <c r="M2334" s="21">
        <v>-43534.656420821033</v>
      </c>
    </row>
    <row r="2335" spans="12:13" x14ac:dyDescent="0.2">
      <c r="L2335" s="4">
        <v>2329</v>
      </c>
      <c r="M2335" s="21">
        <v>-100984.4486863707</v>
      </c>
    </row>
    <row r="2336" spans="12:13" x14ac:dyDescent="0.2">
      <c r="L2336" s="4">
        <v>2330</v>
      </c>
      <c r="M2336" s="21">
        <v>-70227.062498482279</v>
      </c>
    </row>
    <row r="2337" spans="12:13" x14ac:dyDescent="0.2">
      <c r="L2337" s="4">
        <v>2331</v>
      </c>
      <c r="M2337" s="21">
        <v>162872.41962192109</v>
      </c>
    </row>
    <row r="2338" spans="12:13" x14ac:dyDescent="0.2">
      <c r="L2338" s="4">
        <v>2332</v>
      </c>
      <c r="M2338" s="21">
        <v>312061.43619744171</v>
      </c>
    </row>
    <row r="2339" spans="12:13" x14ac:dyDescent="0.2">
      <c r="L2339" s="4">
        <v>2333</v>
      </c>
      <c r="M2339" s="21">
        <v>26683.154728470574</v>
      </c>
    </row>
    <row r="2340" spans="12:13" x14ac:dyDescent="0.2">
      <c r="L2340" s="4">
        <v>2334</v>
      </c>
      <c r="M2340" s="21">
        <v>-216288.78206359729</v>
      </c>
    </row>
    <row r="2341" spans="12:13" x14ac:dyDescent="0.2">
      <c r="L2341" s="4">
        <v>2335</v>
      </c>
      <c r="M2341" s="21">
        <v>-342746.57494607085</v>
      </c>
    </row>
    <row r="2342" spans="12:13" x14ac:dyDescent="0.2">
      <c r="L2342" s="4">
        <v>2336</v>
      </c>
      <c r="M2342" s="21">
        <v>20234.730538664648</v>
      </c>
    </row>
    <row r="2343" spans="12:13" x14ac:dyDescent="0.2">
      <c r="L2343" s="4">
        <v>2337</v>
      </c>
      <c r="M2343" s="21">
        <v>179680.97407251823</v>
      </c>
    </row>
    <row r="2344" spans="12:13" x14ac:dyDescent="0.2">
      <c r="L2344" s="4">
        <v>2338</v>
      </c>
      <c r="M2344" s="21">
        <v>66718.136007881898</v>
      </c>
    </row>
    <row r="2345" spans="12:13" x14ac:dyDescent="0.2">
      <c r="L2345" s="4">
        <v>2339</v>
      </c>
      <c r="M2345" s="21">
        <v>385176.54599298141</v>
      </c>
    </row>
    <row r="2346" spans="12:13" x14ac:dyDescent="0.2">
      <c r="L2346" s="4">
        <v>2340</v>
      </c>
      <c r="M2346" s="21">
        <v>274155.90196357935</v>
      </c>
    </row>
    <row r="2347" spans="12:13" x14ac:dyDescent="0.2">
      <c r="L2347" s="4">
        <v>2341</v>
      </c>
      <c r="M2347" s="21">
        <v>-430565.85376818653</v>
      </c>
    </row>
    <row r="2348" spans="12:13" x14ac:dyDescent="0.2">
      <c r="L2348" s="4">
        <v>2342</v>
      </c>
      <c r="M2348" s="21">
        <v>-260175.4105800417</v>
      </c>
    </row>
    <row r="2349" spans="12:13" x14ac:dyDescent="0.2">
      <c r="L2349" s="4">
        <v>2343</v>
      </c>
      <c r="M2349" s="21">
        <v>45995.766688167845</v>
      </c>
    </row>
    <row r="2350" spans="12:13" x14ac:dyDescent="0.2">
      <c r="L2350" s="4">
        <v>2344</v>
      </c>
      <c r="M2350" s="21">
        <v>-173347.83848163765</v>
      </c>
    </row>
    <row r="2351" spans="12:13" x14ac:dyDescent="0.2">
      <c r="L2351" s="4">
        <v>2345</v>
      </c>
      <c r="M2351" s="21">
        <v>-245112.72625906317</v>
      </c>
    </row>
    <row r="2352" spans="12:13" x14ac:dyDescent="0.2">
      <c r="L2352" s="4">
        <v>2346</v>
      </c>
      <c r="M2352" s="21">
        <v>54596.57431918176</v>
      </c>
    </row>
    <row r="2353" spans="12:13" x14ac:dyDescent="0.2">
      <c r="L2353" s="4">
        <v>2347</v>
      </c>
      <c r="M2353" s="21">
        <v>-57709.29090799269</v>
      </c>
    </row>
    <row r="2354" spans="12:13" x14ac:dyDescent="0.2">
      <c r="L2354" s="4">
        <v>2348</v>
      </c>
      <c r="M2354" s="21">
        <v>74550.316454044485</v>
      </c>
    </row>
    <row r="2355" spans="12:13" x14ac:dyDescent="0.2">
      <c r="L2355" s="4">
        <v>2349</v>
      </c>
      <c r="M2355" s="21">
        <v>-159404.7369781551</v>
      </c>
    </row>
    <row r="2356" spans="12:13" x14ac:dyDescent="0.2">
      <c r="L2356" s="4">
        <v>2350</v>
      </c>
      <c r="M2356" s="21">
        <v>379831.75263667718</v>
      </c>
    </row>
    <row r="2357" spans="12:13" x14ac:dyDescent="0.2">
      <c r="L2357" s="4">
        <v>2351</v>
      </c>
      <c r="M2357" s="21">
        <v>120167.80494547772</v>
      </c>
    </row>
    <row r="2358" spans="12:13" x14ac:dyDescent="0.2">
      <c r="L2358" s="4">
        <v>2352</v>
      </c>
      <c r="M2358" s="21">
        <v>-140161.77864779683</v>
      </c>
    </row>
    <row r="2359" spans="12:13" x14ac:dyDescent="0.2">
      <c r="L2359" s="4">
        <v>2353</v>
      </c>
      <c r="M2359" s="21">
        <v>-15513.720319629909</v>
      </c>
    </row>
    <row r="2360" spans="12:13" x14ac:dyDescent="0.2">
      <c r="L2360" s="4">
        <v>2354</v>
      </c>
      <c r="M2360" s="21">
        <v>-36702.099107106362</v>
      </c>
    </row>
    <row r="2361" spans="12:13" x14ac:dyDescent="0.2">
      <c r="L2361" s="4">
        <v>2355</v>
      </c>
      <c r="M2361" s="21">
        <v>71752.097116197663</v>
      </c>
    </row>
    <row r="2362" spans="12:13" x14ac:dyDescent="0.2">
      <c r="L2362" s="4">
        <v>2356</v>
      </c>
      <c r="M2362" s="21">
        <v>14233.659830981807</v>
      </c>
    </row>
    <row r="2363" spans="12:13" x14ac:dyDescent="0.2">
      <c r="L2363" s="4">
        <v>2357</v>
      </c>
      <c r="M2363" s="21">
        <v>298955.96778836672</v>
      </c>
    </row>
    <row r="2364" spans="12:13" x14ac:dyDescent="0.2">
      <c r="L2364" s="4">
        <v>2358</v>
      </c>
      <c r="M2364" s="21">
        <v>36570.636912403163</v>
      </c>
    </row>
    <row r="2365" spans="12:13" x14ac:dyDescent="0.2">
      <c r="L2365" s="4">
        <v>2359</v>
      </c>
      <c r="M2365" s="21">
        <v>-249392.29476037115</v>
      </c>
    </row>
    <row r="2366" spans="12:13" x14ac:dyDescent="0.2">
      <c r="L2366" s="4">
        <v>2360</v>
      </c>
      <c r="M2366" s="21">
        <v>-183951.97141559422</v>
      </c>
    </row>
    <row r="2367" spans="12:13" x14ac:dyDescent="0.2">
      <c r="L2367" s="4">
        <v>2361</v>
      </c>
      <c r="M2367" s="21">
        <v>-397634.27183594042</v>
      </c>
    </row>
    <row r="2368" spans="12:13" x14ac:dyDescent="0.2">
      <c r="L2368" s="4">
        <v>2362</v>
      </c>
      <c r="M2368" s="21">
        <v>141555.37640537406</v>
      </c>
    </row>
    <row r="2369" spans="12:13" x14ac:dyDescent="0.2">
      <c r="L2369" s="4">
        <v>2363</v>
      </c>
      <c r="M2369" s="21">
        <v>-170011.45346711527</v>
      </c>
    </row>
    <row r="2370" spans="12:13" x14ac:dyDescent="0.2">
      <c r="L2370" s="4">
        <v>2364</v>
      </c>
      <c r="M2370" s="21">
        <v>161542.73865586668</v>
      </c>
    </row>
    <row r="2371" spans="12:13" x14ac:dyDescent="0.2">
      <c r="L2371" s="4">
        <v>2365</v>
      </c>
      <c r="M2371" s="21">
        <v>-197457.65289691548</v>
      </c>
    </row>
    <row r="2372" spans="12:13" x14ac:dyDescent="0.2">
      <c r="L2372" s="4">
        <v>2366</v>
      </c>
      <c r="M2372" s="21">
        <v>26833.071424821799</v>
      </c>
    </row>
    <row r="2373" spans="12:13" x14ac:dyDescent="0.2">
      <c r="L2373" s="4">
        <v>2367</v>
      </c>
      <c r="M2373" s="21">
        <v>-122125.27155021834</v>
      </c>
    </row>
    <row r="2374" spans="12:13" x14ac:dyDescent="0.2">
      <c r="L2374" s="4">
        <v>2368</v>
      </c>
      <c r="M2374" s="21">
        <v>-217286.61023846216</v>
      </c>
    </row>
    <row r="2375" spans="12:13" x14ac:dyDescent="0.2">
      <c r="L2375" s="4">
        <v>2369</v>
      </c>
      <c r="M2375" s="21">
        <v>447199.46969348675</v>
      </c>
    </row>
    <row r="2376" spans="12:13" x14ac:dyDescent="0.2">
      <c r="L2376" s="4">
        <v>2370</v>
      </c>
      <c r="M2376" s="21">
        <v>104756.41952481671</v>
      </c>
    </row>
    <row r="2377" spans="12:13" x14ac:dyDescent="0.2">
      <c r="L2377" s="4">
        <v>2371</v>
      </c>
      <c r="M2377" s="21">
        <v>37927.24531204169</v>
      </c>
    </row>
    <row r="2378" spans="12:13" x14ac:dyDescent="0.2">
      <c r="L2378" s="4">
        <v>2372</v>
      </c>
      <c r="M2378" s="21">
        <v>-293673.93950610433</v>
      </c>
    </row>
    <row r="2379" spans="12:13" x14ac:dyDescent="0.2">
      <c r="L2379" s="4">
        <v>2373</v>
      </c>
      <c r="M2379" s="21">
        <v>141310.09383438635</v>
      </c>
    </row>
    <row r="2380" spans="12:13" x14ac:dyDescent="0.2">
      <c r="L2380" s="4">
        <v>2374</v>
      </c>
      <c r="M2380" s="21">
        <v>-115174.60117717893</v>
      </c>
    </row>
    <row r="2381" spans="12:13" x14ac:dyDescent="0.2">
      <c r="L2381" s="4">
        <v>2375</v>
      </c>
      <c r="M2381" s="21">
        <v>-190004.88961298071</v>
      </c>
    </row>
    <row r="2382" spans="12:13" x14ac:dyDescent="0.2">
      <c r="L2382" s="4">
        <v>2376</v>
      </c>
      <c r="M2382" s="21">
        <v>108684.58996868713</v>
      </c>
    </row>
    <row r="2383" spans="12:13" x14ac:dyDescent="0.2">
      <c r="L2383" s="4">
        <v>2377</v>
      </c>
      <c r="M2383" s="21">
        <v>-204535.13818400493</v>
      </c>
    </row>
    <row r="2384" spans="12:13" x14ac:dyDescent="0.2">
      <c r="L2384" s="4">
        <v>2378</v>
      </c>
      <c r="M2384" s="21">
        <v>-108966.86263571208</v>
      </c>
    </row>
    <row r="2385" spans="12:13" x14ac:dyDescent="0.2">
      <c r="L2385" s="4">
        <v>2379</v>
      </c>
      <c r="M2385" s="21">
        <v>97501.222427189176</v>
      </c>
    </row>
    <row r="2386" spans="12:13" x14ac:dyDescent="0.2">
      <c r="L2386" s="4">
        <v>2380</v>
      </c>
      <c r="M2386" s="21">
        <v>468860.32316647866</v>
      </c>
    </row>
    <row r="2387" spans="12:13" x14ac:dyDescent="0.2">
      <c r="L2387" s="4">
        <v>2381</v>
      </c>
      <c r="M2387" s="21">
        <v>-72544.953945709392</v>
      </c>
    </row>
    <row r="2388" spans="12:13" x14ac:dyDescent="0.2">
      <c r="L2388" s="4">
        <v>2382</v>
      </c>
      <c r="M2388" s="21">
        <v>-133712.83066664007</v>
      </c>
    </row>
    <row r="2389" spans="12:13" x14ac:dyDescent="0.2">
      <c r="L2389" s="4">
        <v>2383</v>
      </c>
      <c r="M2389" s="21">
        <v>218084.51429744717</v>
      </c>
    </row>
    <row r="2390" spans="12:13" x14ac:dyDescent="0.2">
      <c r="L2390" s="4">
        <v>2384</v>
      </c>
      <c r="M2390" s="21">
        <v>-155304.61516882211</v>
      </c>
    </row>
    <row r="2391" spans="12:13" x14ac:dyDescent="0.2">
      <c r="L2391" s="4">
        <v>2385</v>
      </c>
      <c r="M2391" s="21">
        <v>223654.09244266766</v>
      </c>
    </row>
    <row r="2392" spans="12:13" x14ac:dyDescent="0.2">
      <c r="L2392" s="4">
        <v>2386</v>
      </c>
      <c r="M2392" s="21">
        <v>-3146.9183502605447</v>
      </c>
    </row>
    <row r="2393" spans="12:13" x14ac:dyDescent="0.2">
      <c r="L2393" s="4">
        <v>2387</v>
      </c>
      <c r="M2393" s="21">
        <v>50402.741172251146</v>
      </c>
    </row>
    <row r="2394" spans="12:13" x14ac:dyDescent="0.2">
      <c r="L2394" s="4">
        <v>2388</v>
      </c>
      <c r="M2394" s="21">
        <v>-4124.012521488854</v>
      </c>
    </row>
    <row r="2395" spans="12:13" x14ac:dyDescent="0.2">
      <c r="L2395" s="4">
        <v>2389</v>
      </c>
      <c r="M2395" s="21">
        <v>-276060.60545892827</v>
      </c>
    </row>
    <row r="2396" spans="12:13" x14ac:dyDescent="0.2">
      <c r="L2396" s="4">
        <v>2390</v>
      </c>
      <c r="M2396" s="21">
        <v>-148057.55812977461</v>
      </c>
    </row>
    <row r="2397" spans="12:13" x14ac:dyDescent="0.2">
      <c r="L2397" s="4">
        <v>2391</v>
      </c>
      <c r="M2397" s="21">
        <v>-24435.551577634455</v>
      </c>
    </row>
    <row r="2398" spans="12:13" x14ac:dyDescent="0.2">
      <c r="L2398" s="4">
        <v>2392</v>
      </c>
      <c r="M2398" s="21">
        <v>-260525.02596571058</v>
      </c>
    </row>
    <row r="2399" spans="12:13" x14ac:dyDescent="0.2">
      <c r="L2399" s="4">
        <v>2393</v>
      </c>
      <c r="M2399" s="21">
        <v>79636.793933783134</v>
      </c>
    </row>
    <row r="2400" spans="12:13" x14ac:dyDescent="0.2">
      <c r="L2400" s="4">
        <v>2394</v>
      </c>
      <c r="M2400" s="21">
        <v>139279.00312177048</v>
      </c>
    </row>
    <row r="2401" spans="12:13" x14ac:dyDescent="0.2">
      <c r="L2401" s="4">
        <v>2395</v>
      </c>
      <c r="M2401" s="21">
        <v>53411.10438411322</v>
      </c>
    </row>
    <row r="2402" spans="12:13" x14ac:dyDescent="0.2">
      <c r="L2402" s="4">
        <v>2396</v>
      </c>
      <c r="M2402" s="21">
        <v>-21268.434774072695</v>
      </c>
    </row>
    <row r="2403" spans="12:13" x14ac:dyDescent="0.2">
      <c r="L2403" s="4">
        <v>2397</v>
      </c>
      <c r="M2403" s="21">
        <v>153752.3081414965</v>
      </c>
    </row>
    <row r="2404" spans="12:13" x14ac:dyDescent="0.2">
      <c r="L2404" s="4">
        <v>2398</v>
      </c>
      <c r="M2404" s="21">
        <v>310624.75163845404</v>
      </c>
    </row>
    <row r="2405" spans="12:13" x14ac:dyDescent="0.2">
      <c r="L2405" s="4">
        <v>2399</v>
      </c>
      <c r="M2405" s="21">
        <v>-239162.88522930836</v>
      </c>
    </row>
    <row r="2406" spans="12:13" x14ac:dyDescent="0.2">
      <c r="L2406" s="4">
        <v>2400</v>
      </c>
      <c r="M2406" s="21">
        <v>-201815.25448755853</v>
      </c>
    </row>
    <row r="2407" spans="12:13" x14ac:dyDescent="0.2">
      <c r="L2407" s="4">
        <v>2401</v>
      </c>
      <c r="M2407" s="21">
        <v>219562.42505079901</v>
      </c>
    </row>
    <row r="2408" spans="12:13" x14ac:dyDescent="0.2">
      <c r="L2408" s="4">
        <v>2402</v>
      </c>
      <c r="M2408" s="21">
        <v>90695.830320268782</v>
      </c>
    </row>
    <row r="2409" spans="12:13" x14ac:dyDescent="0.2">
      <c r="L2409" s="4">
        <v>2403</v>
      </c>
      <c r="M2409" s="21">
        <v>-199312.60752402979</v>
      </c>
    </row>
    <row r="2410" spans="12:13" x14ac:dyDescent="0.2">
      <c r="L2410" s="4">
        <v>2404</v>
      </c>
      <c r="M2410" s="21">
        <v>142637.80435275592</v>
      </c>
    </row>
    <row r="2411" spans="12:13" x14ac:dyDescent="0.2">
      <c r="L2411" s="4">
        <v>2405</v>
      </c>
      <c r="M2411" s="21">
        <v>-372607.95794406085</v>
      </c>
    </row>
    <row r="2412" spans="12:13" x14ac:dyDescent="0.2">
      <c r="L2412" s="4">
        <v>2406</v>
      </c>
      <c r="M2412" s="21">
        <v>140273.23407429914</v>
      </c>
    </row>
    <row r="2413" spans="12:13" x14ac:dyDescent="0.2">
      <c r="L2413" s="4">
        <v>2407</v>
      </c>
      <c r="M2413" s="21">
        <v>-213688.64498763985</v>
      </c>
    </row>
    <row r="2414" spans="12:13" x14ac:dyDescent="0.2">
      <c r="L2414" s="4">
        <v>2408</v>
      </c>
      <c r="M2414" s="21">
        <v>175281.57819507402</v>
      </c>
    </row>
    <row r="2415" spans="12:13" x14ac:dyDescent="0.2">
      <c r="L2415" s="4">
        <v>2409</v>
      </c>
      <c r="M2415" s="21">
        <v>-188953.84808799421</v>
      </c>
    </row>
    <row r="2416" spans="12:13" x14ac:dyDescent="0.2">
      <c r="L2416" s="4">
        <v>2410</v>
      </c>
      <c r="M2416" s="21">
        <v>-187463.3301347181</v>
      </c>
    </row>
    <row r="2417" spans="12:13" x14ac:dyDescent="0.2">
      <c r="L2417" s="4">
        <v>2411</v>
      </c>
      <c r="M2417" s="21">
        <v>466480.40236340533</v>
      </c>
    </row>
    <row r="2418" spans="12:13" x14ac:dyDescent="0.2">
      <c r="L2418" s="4">
        <v>2412</v>
      </c>
      <c r="M2418" s="21">
        <v>513760.84375480178</v>
      </c>
    </row>
    <row r="2419" spans="12:13" x14ac:dyDescent="0.2">
      <c r="L2419" s="4">
        <v>2413</v>
      </c>
      <c r="M2419" s="21">
        <v>-250948.31720613915</v>
      </c>
    </row>
    <row r="2420" spans="12:13" x14ac:dyDescent="0.2">
      <c r="L2420" s="4">
        <v>2414</v>
      </c>
      <c r="M2420" s="21">
        <v>-278871.24699856306</v>
      </c>
    </row>
    <row r="2421" spans="12:13" x14ac:dyDescent="0.2">
      <c r="L2421" s="4">
        <v>2415</v>
      </c>
      <c r="M2421" s="21">
        <v>-29760.592786989699</v>
      </c>
    </row>
    <row r="2422" spans="12:13" x14ac:dyDescent="0.2">
      <c r="L2422" s="4">
        <v>2416</v>
      </c>
      <c r="M2422" s="21">
        <v>134219.79282096686</v>
      </c>
    </row>
    <row r="2423" spans="12:13" x14ac:dyDescent="0.2">
      <c r="L2423" s="4">
        <v>2417</v>
      </c>
      <c r="M2423" s="21">
        <v>151191.32565000723</v>
      </c>
    </row>
    <row r="2424" spans="12:13" x14ac:dyDescent="0.2">
      <c r="L2424" s="4">
        <v>2418</v>
      </c>
      <c r="M2424" s="21">
        <v>121466.87879595891</v>
      </c>
    </row>
    <row r="2425" spans="12:13" x14ac:dyDescent="0.2">
      <c r="L2425" s="4">
        <v>2419</v>
      </c>
      <c r="M2425" s="21">
        <v>125069.56427100109</v>
      </c>
    </row>
    <row r="2426" spans="12:13" x14ac:dyDescent="0.2">
      <c r="L2426" s="4">
        <v>2420</v>
      </c>
      <c r="M2426" s="21">
        <v>437887.84534681612</v>
      </c>
    </row>
    <row r="2427" spans="12:13" x14ac:dyDescent="0.2">
      <c r="L2427" s="4">
        <v>2421</v>
      </c>
      <c r="M2427" s="21">
        <v>-39285.401587506698</v>
      </c>
    </row>
    <row r="2428" spans="12:13" x14ac:dyDescent="0.2">
      <c r="L2428" s="4">
        <v>2422</v>
      </c>
      <c r="M2428" s="21">
        <v>482139.10036355362</v>
      </c>
    </row>
    <row r="2429" spans="12:13" x14ac:dyDescent="0.2">
      <c r="L2429" s="4">
        <v>2423</v>
      </c>
      <c r="M2429" s="21">
        <v>-29710.101353598802</v>
      </c>
    </row>
    <row r="2430" spans="12:13" x14ac:dyDescent="0.2">
      <c r="L2430" s="4">
        <v>2424</v>
      </c>
      <c r="M2430" s="21">
        <v>131844.56406993206</v>
      </c>
    </row>
    <row r="2431" spans="12:13" x14ac:dyDescent="0.2">
      <c r="L2431" s="4">
        <v>2425</v>
      </c>
      <c r="M2431" s="21">
        <v>-240825.49778827481</v>
      </c>
    </row>
    <row r="2432" spans="12:13" x14ac:dyDescent="0.2">
      <c r="L2432" s="4">
        <v>2426</v>
      </c>
      <c r="M2432" s="21">
        <v>-195490.51375773395</v>
      </c>
    </row>
    <row r="2433" spans="12:13" x14ac:dyDescent="0.2">
      <c r="L2433" s="4">
        <v>2427</v>
      </c>
      <c r="M2433" s="21">
        <v>-174290.20057127869</v>
      </c>
    </row>
    <row r="2434" spans="12:13" x14ac:dyDescent="0.2">
      <c r="L2434" s="4">
        <v>2428</v>
      </c>
      <c r="M2434" s="21">
        <v>-84036.904348676253</v>
      </c>
    </row>
    <row r="2435" spans="12:13" x14ac:dyDescent="0.2">
      <c r="L2435" s="4">
        <v>2429</v>
      </c>
      <c r="M2435" s="21">
        <v>54020.563160152844</v>
      </c>
    </row>
    <row r="2436" spans="12:13" x14ac:dyDescent="0.2">
      <c r="L2436" s="4">
        <v>2430</v>
      </c>
      <c r="M2436" s="21">
        <v>-191884.69912350469</v>
      </c>
    </row>
    <row r="2437" spans="12:13" x14ac:dyDescent="0.2">
      <c r="L2437" s="4">
        <v>2431</v>
      </c>
      <c r="M2437" s="21">
        <v>162002.67452315943</v>
      </c>
    </row>
    <row r="2438" spans="12:13" x14ac:dyDescent="0.2">
      <c r="L2438" s="4">
        <v>2432</v>
      </c>
      <c r="M2438" s="21">
        <v>7149.3830497461313</v>
      </c>
    </row>
    <row r="2439" spans="12:13" x14ac:dyDescent="0.2">
      <c r="L2439" s="4">
        <v>2433</v>
      </c>
      <c r="M2439" s="21">
        <v>-177543.80307735314</v>
      </c>
    </row>
    <row r="2440" spans="12:13" x14ac:dyDescent="0.2">
      <c r="L2440" s="4">
        <v>2434</v>
      </c>
      <c r="M2440" s="21">
        <v>-281007.92882887123</v>
      </c>
    </row>
    <row r="2441" spans="12:13" x14ac:dyDescent="0.2">
      <c r="L2441" s="4">
        <v>2435</v>
      </c>
      <c r="M2441" s="21">
        <v>469200.28682543209</v>
      </c>
    </row>
    <row r="2442" spans="12:13" x14ac:dyDescent="0.2">
      <c r="L2442" s="4">
        <v>2436</v>
      </c>
      <c r="M2442" s="21">
        <v>-132291.28454146377</v>
      </c>
    </row>
    <row r="2443" spans="12:13" x14ac:dyDescent="0.2">
      <c r="L2443" s="4">
        <v>2437</v>
      </c>
      <c r="M2443" s="21">
        <v>-247297.75089459657</v>
      </c>
    </row>
    <row r="2444" spans="12:13" x14ac:dyDescent="0.2">
      <c r="L2444" s="4">
        <v>2438</v>
      </c>
      <c r="M2444" s="21">
        <v>206038.64864978642</v>
      </c>
    </row>
    <row r="2445" spans="12:13" x14ac:dyDescent="0.2">
      <c r="L2445" s="4">
        <v>2439</v>
      </c>
      <c r="M2445" s="21">
        <v>-14969.379338099243</v>
      </c>
    </row>
    <row r="2446" spans="12:13" x14ac:dyDescent="0.2">
      <c r="L2446" s="4">
        <v>2440</v>
      </c>
      <c r="M2446" s="21">
        <v>123419.63278902881</v>
      </c>
    </row>
    <row r="2447" spans="12:13" x14ac:dyDescent="0.2">
      <c r="L2447" s="4">
        <v>2441</v>
      </c>
      <c r="M2447" s="21">
        <v>-75258.046113274497</v>
      </c>
    </row>
    <row r="2448" spans="12:13" x14ac:dyDescent="0.2">
      <c r="L2448" s="4">
        <v>2442</v>
      </c>
      <c r="M2448" s="21">
        <v>102444.12606707387</v>
      </c>
    </row>
    <row r="2449" spans="12:13" x14ac:dyDescent="0.2">
      <c r="L2449" s="4">
        <v>2443</v>
      </c>
      <c r="M2449" s="21">
        <v>-21945.798563797318</v>
      </c>
    </row>
    <row r="2450" spans="12:13" x14ac:dyDescent="0.2">
      <c r="L2450" s="4">
        <v>2444</v>
      </c>
      <c r="M2450" s="21">
        <v>-157041.34539299575</v>
      </c>
    </row>
    <row r="2451" spans="12:13" x14ac:dyDescent="0.2">
      <c r="L2451" s="4">
        <v>2445</v>
      </c>
      <c r="M2451" s="21">
        <v>2676.7203831243678</v>
      </c>
    </row>
    <row r="2452" spans="12:13" x14ac:dyDescent="0.2">
      <c r="L2452" s="4">
        <v>2446</v>
      </c>
      <c r="M2452" s="21">
        <v>49107.630383086274</v>
      </c>
    </row>
    <row r="2453" spans="12:13" x14ac:dyDescent="0.2">
      <c r="L2453" s="4">
        <v>2447</v>
      </c>
      <c r="M2453" s="21">
        <v>271100.45227585454</v>
      </c>
    </row>
    <row r="2454" spans="12:13" x14ac:dyDescent="0.2">
      <c r="L2454" s="4">
        <v>2448</v>
      </c>
      <c r="M2454" s="21">
        <v>-221903.47420607199</v>
      </c>
    </row>
    <row r="2455" spans="12:13" x14ac:dyDescent="0.2">
      <c r="L2455" s="4">
        <v>2449</v>
      </c>
      <c r="M2455" s="21">
        <v>186683.27414000299</v>
      </c>
    </row>
    <row r="2456" spans="12:13" x14ac:dyDescent="0.2">
      <c r="L2456" s="4">
        <v>2450</v>
      </c>
      <c r="M2456" s="21">
        <v>144442.322839984</v>
      </c>
    </row>
    <row r="2457" spans="12:13" x14ac:dyDescent="0.2">
      <c r="L2457" s="4">
        <v>2451</v>
      </c>
      <c r="M2457" s="21">
        <v>311261.57011916663</v>
      </c>
    </row>
    <row r="2458" spans="12:13" x14ac:dyDescent="0.2">
      <c r="L2458" s="4">
        <v>2452</v>
      </c>
      <c r="M2458" s="21">
        <v>-48709.037675032669</v>
      </c>
    </row>
    <row r="2459" spans="12:13" x14ac:dyDescent="0.2">
      <c r="L2459" s="4">
        <v>2453</v>
      </c>
      <c r="M2459" s="21">
        <v>-152974.14787412854</v>
      </c>
    </row>
    <row r="2460" spans="12:13" x14ac:dyDescent="0.2">
      <c r="L2460" s="4">
        <v>2454</v>
      </c>
      <c r="M2460" s="21">
        <v>113756.06971843974</v>
      </c>
    </row>
    <row r="2461" spans="12:13" x14ac:dyDescent="0.2">
      <c r="L2461" s="4">
        <v>2455</v>
      </c>
      <c r="M2461" s="21">
        <v>-148643.89358440012</v>
      </c>
    </row>
    <row r="2462" spans="12:13" x14ac:dyDescent="0.2">
      <c r="L2462" s="4">
        <v>2456</v>
      </c>
      <c r="M2462" s="21">
        <v>-34828.583007798137</v>
      </c>
    </row>
    <row r="2463" spans="12:13" x14ac:dyDescent="0.2">
      <c r="L2463" s="4">
        <v>2457</v>
      </c>
      <c r="M2463" s="21">
        <v>260452.75917427088</v>
      </c>
    </row>
    <row r="2464" spans="12:13" x14ac:dyDescent="0.2">
      <c r="L2464" s="4">
        <v>2458</v>
      </c>
      <c r="M2464" s="21">
        <v>-151764.53228676604</v>
      </c>
    </row>
    <row r="2465" spans="12:13" x14ac:dyDescent="0.2">
      <c r="L2465" s="4">
        <v>2459</v>
      </c>
      <c r="M2465" s="21">
        <v>92327.572186982376</v>
      </c>
    </row>
    <row r="2466" spans="12:13" x14ac:dyDescent="0.2">
      <c r="L2466" s="4">
        <v>2460</v>
      </c>
      <c r="M2466" s="21">
        <v>-101364.53671724483</v>
      </c>
    </row>
    <row r="2467" spans="12:13" x14ac:dyDescent="0.2">
      <c r="L2467" s="4">
        <v>2461</v>
      </c>
      <c r="M2467" s="21">
        <v>46291.60988215424</v>
      </c>
    </row>
    <row r="2468" spans="12:13" x14ac:dyDescent="0.2">
      <c r="L2468" s="4">
        <v>2462</v>
      </c>
      <c r="M2468" s="21">
        <v>252171.34967056673</v>
      </c>
    </row>
    <row r="2469" spans="12:13" x14ac:dyDescent="0.2">
      <c r="L2469" s="4">
        <v>2463</v>
      </c>
      <c r="M2469" s="21">
        <v>568143.55959193106</v>
      </c>
    </row>
    <row r="2470" spans="12:13" x14ac:dyDescent="0.2">
      <c r="L2470" s="4">
        <v>2464</v>
      </c>
      <c r="M2470" s="21">
        <v>-334453.86425967887</v>
      </c>
    </row>
    <row r="2471" spans="12:13" x14ac:dyDescent="0.2">
      <c r="L2471" s="4">
        <v>2465</v>
      </c>
      <c r="M2471" s="21">
        <v>-167440.71160781389</v>
      </c>
    </row>
    <row r="2472" spans="12:13" x14ac:dyDescent="0.2">
      <c r="L2472" s="4">
        <v>2466</v>
      </c>
      <c r="M2472" s="21">
        <v>88563.848624593549</v>
      </c>
    </row>
    <row r="2473" spans="12:13" x14ac:dyDescent="0.2">
      <c r="L2473" s="4">
        <v>2467</v>
      </c>
      <c r="M2473" s="21">
        <v>-20556.511426586207</v>
      </c>
    </row>
    <row r="2474" spans="12:13" x14ac:dyDescent="0.2">
      <c r="L2474" s="4">
        <v>2468</v>
      </c>
      <c r="M2474" s="21">
        <v>151149.94592041138</v>
      </c>
    </row>
    <row r="2475" spans="12:13" x14ac:dyDescent="0.2">
      <c r="L2475" s="4">
        <v>2469</v>
      </c>
      <c r="M2475" s="21">
        <v>62133.621113434318</v>
      </c>
    </row>
    <row r="2476" spans="12:13" x14ac:dyDescent="0.2">
      <c r="L2476" s="4">
        <v>2470</v>
      </c>
      <c r="M2476" s="21">
        <v>-125479.83472338131</v>
      </c>
    </row>
    <row r="2477" spans="12:13" x14ac:dyDescent="0.2">
      <c r="L2477" s="4">
        <v>2471</v>
      </c>
      <c r="M2477" s="21">
        <v>-145595.34798114764</v>
      </c>
    </row>
    <row r="2478" spans="12:13" x14ac:dyDescent="0.2">
      <c r="L2478" s="4">
        <v>2472</v>
      </c>
      <c r="M2478" s="21">
        <v>-155771.77990300252</v>
      </c>
    </row>
    <row r="2479" spans="12:13" x14ac:dyDescent="0.2">
      <c r="L2479" s="4">
        <v>2473</v>
      </c>
      <c r="M2479" s="21">
        <v>-90366.501392090053</v>
      </c>
    </row>
    <row r="2480" spans="12:13" x14ac:dyDescent="0.2">
      <c r="L2480" s="4">
        <v>2474</v>
      </c>
      <c r="M2480" s="21">
        <v>79046.704789018084</v>
      </c>
    </row>
    <row r="2481" spans="12:13" x14ac:dyDescent="0.2">
      <c r="L2481" s="4">
        <v>2475</v>
      </c>
      <c r="M2481" s="21">
        <v>159876.40026517521</v>
      </c>
    </row>
    <row r="2482" spans="12:13" x14ac:dyDescent="0.2">
      <c r="L2482" s="4">
        <v>2476</v>
      </c>
      <c r="M2482" s="21">
        <v>-129472.52565980327</v>
      </c>
    </row>
    <row r="2483" spans="12:13" x14ac:dyDescent="0.2">
      <c r="L2483" s="4">
        <v>2477</v>
      </c>
      <c r="M2483" s="21">
        <v>-96094.681418106557</v>
      </c>
    </row>
    <row r="2484" spans="12:13" x14ac:dyDescent="0.2">
      <c r="L2484" s="4">
        <v>2478</v>
      </c>
      <c r="M2484" s="21">
        <v>-25476.464039100028</v>
      </c>
    </row>
    <row r="2485" spans="12:13" x14ac:dyDescent="0.2">
      <c r="L2485" s="4">
        <v>2479</v>
      </c>
      <c r="M2485" s="21">
        <v>-222721.3048360855</v>
      </c>
    </row>
    <row r="2486" spans="12:13" x14ac:dyDescent="0.2">
      <c r="L2486" s="4">
        <v>2480</v>
      </c>
      <c r="M2486" s="21">
        <v>13835.368753194954</v>
      </c>
    </row>
    <row r="2487" spans="12:13" x14ac:dyDescent="0.2">
      <c r="L2487" s="4">
        <v>2481</v>
      </c>
      <c r="M2487" s="21">
        <v>440138.23762911372</v>
      </c>
    </row>
    <row r="2488" spans="12:13" x14ac:dyDescent="0.2">
      <c r="L2488" s="4">
        <v>2482</v>
      </c>
      <c r="M2488" s="21">
        <v>81898.874504565902</v>
      </c>
    </row>
    <row r="2489" spans="12:13" x14ac:dyDescent="0.2">
      <c r="L2489" s="4">
        <v>2483</v>
      </c>
      <c r="M2489" s="21">
        <v>167812.76055727008</v>
      </c>
    </row>
    <row r="2490" spans="12:13" x14ac:dyDescent="0.2">
      <c r="L2490" s="4">
        <v>2484</v>
      </c>
      <c r="M2490" s="21">
        <v>129303.65891758612</v>
      </c>
    </row>
    <row r="2491" spans="12:13" x14ac:dyDescent="0.2">
      <c r="L2491" s="4">
        <v>2485</v>
      </c>
      <c r="M2491" s="21">
        <v>-278074.06041603239</v>
      </c>
    </row>
    <row r="2492" spans="12:13" x14ac:dyDescent="0.2">
      <c r="L2492" s="4">
        <v>2486</v>
      </c>
      <c r="M2492" s="21">
        <v>-117058.9499850436</v>
      </c>
    </row>
    <row r="2493" spans="12:13" x14ac:dyDescent="0.2">
      <c r="L2493" s="4">
        <v>2487</v>
      </c>
      <c r="M2493" s="21">
        <v>76087.124212064984</v>
      </c>
    </row>
    <row r="2494" spans="12:13" x14ac:dyDescent="0.2">
      <c r="L2494" s="4">
        <v>2488</v>
      </c>
      <c r="M2494" s="21">
        <v>-141657.21842671369</v>
      </c>
    </row>
    <row r="2495" spans="12:13" x14ac:dyDescent="0.2">
      <c r="L2495" s="4">
        <v>2489</v>
      </c>
      <c r="M2495" s="21">
        <v>216532.18684866713</v>
      </c>
    </row>
    <row r="2496" spans="12:13" x14ac:dyDescent="0.2">
      <c r="L2496" s="4">
        <v>2490</v>
      </c>
      <c r="M2496" s="21">
        <v>-52416.840452117161</v>
      </c>
    </row>
    <row r="2497" spans="12:13" x14ac:dyDescent="0.2">
      <c r="L2497" s="4">
        <v>2491</v>
      </c>
      <c r="M2497" s="21">
        <v>163883.23315318552</v>
      </c>
    </row>
    <row r="2498" spans="12:13" x14ac:dyDescent="0.2">
      <c r="L2498" s="4">
        <v>2492</v>
      </c>
      <c r="M2498" s="21">
        <v>-437035.55126794381</v>
      </c>
    </row>
    <row r="2499" spans="12:13" x14ac:dyDescent="0.2">
      <c r="L2499" s="4">
        <v>2493</v>
      </c>
      <c r="M2499" s="21">
        <v>30691.879549163918</v>
      </c>
    </row>
    <row r="2500" spans="12:13" x14ac:dyDescent="0.2">
      <c r="L2500" s="4">
        <v>2494</v>
      </c>
      <c r="M2500" s="21">
        <v>118745.69011157696</v>
      </c>
    </row>
    <row r="2501" spans="12:13" x14ac:dyDescent="0.2">
      <c r="L2501" s="4">
        <v>2495</v>
      </c>
      <c r="M2501" s="21">
        <v>266984.81779570819</v>
      </c>
    </row>
    <row r="2502" spans="12:13" x14ac:dyDescent="0.2">
      <c r="L2502" s="4">
        <v>2496</v>
      </c>
      <c r="M2502" s="21">
        <v>364903.52216689254</v>
      </c>
    </row>
    <row r="2503" spans="12:13" x14ac:dyDescent="0.2">
      <c r="L2503" s="4">
        <v>2497</v>
      </c>
      <c r="M2503" s="21">
        <v>477843.665582271</v>
      </c>
    </row>
    <row r="2504" spans="12:13" x14ac:dyDescent="0.2">
      <c r="L2504" s="4">
        <v>2498</v>
      </c>
      <c r="M2504" s="21">
        <v>110234.9363425406</v>
      </c>
    </row>
    <row r="2505" spans="12:13" x14ac:dyDescent="0.2">
      <c r="L2505" s="4">
        <v>2499</v>
      </c>
      <c r="M2505" s="21">
        <v>3988.5976542673016</v>
      </c>
    </row>
    <row r="2506" spans="12:13" x14ac:dyDescent="0.2">
      <c r="L2506" s="4">
        <v>2500</v>
      </c>
      <c r="M2506" s="21">
        <v>-257879.80515359816</v>
      </c>
    </row>
    <row r="2507" spans="12:13" x14ac:dyDescent="0.2">
      <c r="L2507" s="4">
        <v>2501</v>
      </c>
      <c r="M2507" s="21">
        <v>-96525.242881089827</v>
      </c>
    </row>
    <row r="2508" spans="12:13" x14ac:dyDescent="0.2">
      <c r="L2508" s="4">
        <v>2502</v>
      </c>
      <c r="M2508" s="21">
        <v>36608.886223122012</v>
      </c>
    </row>
    <row r="2509" spans="12:13" x14ac:dyDescent="0.2">
      <c r="L2509" s="4">
        <v>2503</v>
      </c>
      <c r="M2509" s="21">
        <v>19680.904172499519</v>
      </c>
    </row>
    <row r="2510" spans="12:13" x14ac:dyDescent="0.2">
      <c r="L2510" s="4">
        <v>2504</v>
      </c>
      <c r="M2510" s="21">
        <v>34457.052399410895</v>
      </c>
    </row>
    <row r="2511" spans="12:13" x14ac:dyDescent="0.2">
      <c r="L2511" s="4">
        <v>2505</v>
      </c>
      <c r="M2511" s="21">
        <v>-22126.611692220496</v>
      </c>
    </row>
    <row r="2512" spans="12:13" x14ac:dyDescent="0.2">
      <c r="L2512" s="4">
        <v>2506</v>
      </c>
      <c r="M2512" s="21">
        <v>-76902.002500035247</v>
      </c>
    </row>
    <row r="2513" spans="12:13" x14ac:dyDescent="0.2">
      <c r="L2513" s="4">
        <v>2507</v>
      </c>
      <c r="M2513" s="21">
        <v>357651.63714351651</v>
      </c>
    </row>
    <row r="2514" spans="12:13" x14ac:dyDescent="0.2">
      <c r="L2514" s="4">
        <v>2508</v>
      </c>
      <c r="M2514" s="21">
        <v>166224.10355691495</v>
      </c>
    </row>
    <row r="2515" spans="12:13" x14ac:dyDescent="0.2">
      <c r="L2515" s="4">
        <v>2509</v>
      </c>
      <c r="M2515" s="21">
        <v>-345620.23506592517</v>
      </c>
    </row>
    <row r="2516" spans="12:13" x14ac:dyDescent="0.2">
      <c r="L2516" s="4">
        <v>2510</v>
      </c>
      <c r="M2516" s="21">
        <v>-228786.8436912834</v>
      </c>
    </row>
    <row r="2517" spans="12:13" x14ac:dyDescent="0.2">
      <c r="L2517" s="4">
        <v>2511</v>
      </c>
      <c r="M2517" s="21">
        <v>397656.75668986159</v>
      </c>
    </row>
    <row r="2518" spans="12:13" x14ac:dyDescent="0.2">
      <c r="L2518" s="4">
        <v>2512</v>
      </c>
      <c r="M2518" s="21">
        <v>47083.000177553651</v>
      </c>
    </row>
    <row r="2519" spans="12:13" x14ac:dyDescent="0.2">
      <c r="L2519" s="4">
        <v>2513</v>
      </c>
      <c r="M2519" s="21">
        <v>-40084.012132042</v>
      </c>
    </row>
    <row r="2520" spans="12:13" x14ac:dyDescent="0.2">
      <c r="L2520" s="4">
        <v>2514</v>
      </c>
      <c r="M2520" s="21">
        <v>177239.67487763378</v>
      </c>
    </row>
    <row r="2521" spans="12:13" x14ac:dyDescent="0.2">
      <c r="L2521" s="4">
        <v>2515</v>
      </c>
      <c r="M2521" s="21">
        <v>-21761.712333605974</v>
      </c>
    </row>
    <row r="2522" spans="12:13" x14ac:dyDescent="0.2">
      <c r="L2522" s="4">
        <v>2516</v>
      </c>
      <c r="M2522" s="21">
        <v>31391.479453505774</v>
      </c>
    </row>
    <row r="2523" spans="12:13" x14ac:dyDescent="0.2">
      <c r="L2523" s="4">
        <v>2517</v>
      </c>
      <c r="M2523" s="21">
        <v>-20409.835668193555</v>
      </c>
    </row>
    <row r="2524" spans="12:13" x14ac:dyDescent="0.2">
      <c r="L2524" s="4">
        <v>2518</v>
      </c>
      <c r="M2524" s="21">
        <v>-83226.456361556091</v>
      </c>
    </row>
    <row r="2525" spans="12:13" x14ac:dyDescent="0.2">
      <c r="L2525" s="4">
        <v>2519</v>
      </c>
      <c r="M2525" s="21">
        <v>16235.476983257948</v>
      </c>
    </row>
    <row r="2526" spans="12:13" x14ac:dyDescent="0.2">
      <c r="L2526" s="4">
        <v>2520</v>
      </c>
      <c r="M2526" s="21">
        <v>4995.2059290946927</v>
      </c>
    </row>
    <row r="2527" spans="12:13" x14ac:dyDescent="0.2">
      <c r="L2527" s="4">
        <v>2521</v>
      </c>
      <c r="M2527" s="21">
        <v>144911.53644687741</v>
      </c>
    </row>
    <row r="2528" spans="12:13" x14ac:dyDescent="0.2">
      <c r="L2528" s="4">
        <v>2522</v>
      </c>
      <c r="M2528" s="21">
        <v>-76520.122396146078</v>
      </c>
    </row>
    <row r="2529" spans="12:13" x14ac:dyDescent="0.2">
      <c r="L2529" s="4">
        <v>2523</v>
      </c>
      <c r="M2529" s="21">
        <v>-31249.229606528141</v>
      </c>
    </row>
    <row r="2530" spans="12:13" x14ac:dyDescent="0.2">
      <c r="L2530" s="4">
        <v>2524</v>
      </c>
      <c r="M2530" s="21">
        <v>158940.53275561502</v>
      </c>
    </row>
    <row r="2531" spans="12:13" x14ac:dyDescent="0.2">
      <c r="L2531" s="4">
        <v>2525</v>
      </c>
      <c r="M2531" s="21">
        <v>148872.80298414672</v>
      </c>
    </row>
    <row r="2532" spans="12:13" x14ac:dyDescent="0.2">
      <c r="L2532" s="4">
        <v>2526</v>
      </c>
      <c r="M2532" s="21">
        <v>-284111.26554256666</v>
      </c>
    </row>
    <row r="2533" spans="12:13" x14ac:dyDescent="0.2">
      <c r="L2533" s="4">
        <v>2527</v>
      </c>
      <c r="M2533" s="21">
        <v>-112798.94943097325</v>
      </c>
    </row>
    <row r="2534" spans="12:13" x14ac:dyDescent="0.2">
      <c r="L2534" s="4">
        <v>2528</v>
      </c>
      <c r="M2534" s="21">
        <v>143525.62027452889</v>
      </c>
    </row>
    <row r="2535" spans="12:13" x14ac:dyDescent="0.2">
      <c r="L2535" s="4">
        <v>2529</v>
      </c>
      <c r="M2535" s="21">
        <v>212192.06742747177</v>
      </c>
    </row>
    <row r="2536" spans="12:13" x14ac:dyDescent="0.2">
      <c r="L2536" s="4">
        <v>2530</v>
      </c>
      <c r="M2536" s="21">
        <v>225041.61303437251</v>
      </c>
    </row>
    <row r="2537" spans="12:13" x14ac:dyDescent="0.2">
      <c r="L2537" s="4">
        <v>2531</v>
      </c>
      <c r="M2537" s="21">
        <v>-231017.02789599108</v>
      </c>
    </row>
    <row r="2538" spans="12:13" x14ac:dyDescent="0.2">
      <c r="L2538" s="4">
        <v>2532</v>
      </c>
      <c r="M2538" s="21">
        <v>66859.701923574932</v>
      </c>
    </row>
    <row r="2539" spans="12:13" x14ac:dyDescent="0.2">
      <c r="L2539" s="4">
        <v>2533</v>
      </c>
      <c r="M2539" s="21">
        <v>115217.3062598024</v>
      </c>
    </row>
    <row r="2540" spans="12:13" x14ac:dyDescent="0.2">
      <c r="L2540" s="4">
        <v>2534</v>
      </c>
      <c r="M2540" s="21">
        <v>235586.73937803812</v>
      </c>
    </row>
    <row r="2541" spans="12:13" x14ac:dyDescent="0.2">
      <c r="L2541" s="4">
        <v>2535</v>
      </c>
      <c r="M2541" s="21">
        <v>167247.83787923667</v>
      </c>
    </row>
    <row r="2542" spans="12:13" x14ac:dyDescent="0.2">
      <c r="L2542" s="4">
        <v>2536</v>
      </c>
      <c r="M2542" s="21">
        <v>26405.590066348814</v>
      </c>
    </row>
    <row r="2543" spans="12:13" x14ac:dyDescent="0.2">
      <c r="L2543" s="4">
        <v>2537</v>
      </c>
      <c r="M2543" s="21">
        <v>41607.972445722873</v>
      </c>
    </row>
    <row r="2544" spans="12:13" x14ac:dyDescent="0.2">
      <c r="L2544" s="4">
        <v>2538</v>
      </c>
      <c r="M2544" s="21">
        <v>-261058.01371280028</v>
      </c>
    </row>
    <row r="2545" spans="12:13" x14ac:dyDescent="0.2">
      <c r="L2545" s="4">
        <v>2539</v>
      </c>
      <c r="M2545" s="21">
        <v>86946.559920354572</v>
      </c>
    </row>
    <row r="2546" spans="12:13" x14ac:dyDescent="0.2">
      <c r="L2546" s="4">
        <v>2540</v>
      </c>
      <c r="M2546" s="21">
        <v>148231.59975260726</v>
      </c>
    </row>
    <row r="2547" spans="12:13" x14ac:dyDescent="0.2">
      <c r="L2547" s="4">
        <v>2541</v>
      </c>
      <c r="M2547" s="21">
        <v>-206365.73550171457</v>
      </c>
    </row>
    <row r="2548" spans="12:13" x14ac:dyDescent="0.2">
      <c r="L2548" s="4">
        <v>2542</v>
      </c>
      <c r="M2548" s="21">
        <v>-134820.77589644602</v>
      </c>
    </row>
    <row r="2549" spans="12:13" x14ac:dyDescent="0.2">
      <c r="L2549" s="4">
        <v>2543</v>
      </c>
      <c r="M2549" s="21">
        <v>58527.24863097613</v>
      </c>
    </row>
    <row r="2550" spans="12:13" x14ac:dyDescent="0.2">
      <c r="L2550" s="4">
        <v>2544</v>
      </c>
      <c r="M2550" s="21">
        <v>-166090.7652660555</v>
      </c>
    </row>
    <row r="2551" spans="12:13" x14ac:dyDescent="0.2">
      <c r="L2551" s="4">
        <v>2545</v>
      </c>
      <c r="M2551" s="21">
        <v>-19232.320807748663</v>
      </c>
    </row>
    <row r="2552" spans="12:13" x14ac:dyDescent="0.2">
      <c r="L2552" s="4">
        <v>2546</v>
      </c>
      <c r="M2552" s="21">
        <v>-164434.65137365111</v>
      </c>
    </row>
    <row r="2553" spans="12:13" x14ac:dyDescent="0.2">
      <c r="L2553" s="4">
        <v>2547</v>
      </c>
      <c r="M2553" s="21">
        <v>223625.66348719381</v>
      </c>
    </row>
    <row r="2554" spans="12:13" x14ac:dyDescent="0.2">
      <c r="L2554" s="4">
        <v>2548</v>
      </c>
      <c r="M2554" s="21">
        <v>424427.09435393254</v>
      </c>
    </row>
    <row r="2555" spans="12:13" x14ac:dyDescent="0.2">
      <c r="L2555" s="4">
        <v>2549</v>
      </c>
      <c r="M2555" s="21">
        <v>171797.9878599724</v>
      </c>
    </row>
    <row r="2556" spans="12:13" x14ac:dyDescent="0.2">
      <c r="L2556" s="4">
        <v>2550</v>
      </c>
      <c r="M2556" s="21">
        <v>179849.72569238432</v>
      </c>
    </row>
    <row r="2557" spans="12:13" x14ac:dyDescent="0.2">
      <c r="L2557" s="4">
        <v>2551</v>
      </c>
      <c r="M2557" s="21">
        <v>378792.80211730732</v>
      </c>
    </row>
    <row r="2558" spans="12:13" x14ac:dyDescent="0.2">
      <c r="L2558" s="4">
        <v>2552</v>
      </c>
      <c r="M2558" s="21">
        <v>144842.48014298026</v>
      </c>
    </row>
    <row r="2559" spans="12:13" x14ac:dyDescent="0.2">
      <c r="L2559" s="4">
        <v>2553</v>
      </c>
      <c r="M2559" s="21">
        <v>-24871.566154906497</v>
      </c>
    </row>
    <row r="2560" spans="12:13" x14ac:dyDescent="0.2">
      <c r="L2560" s="4">
        <v>2554</v>
      </c>
      <c r="M2560" s="21">
        <v>-261534.84327491399</v>
      </c>
    </row>
    <row r="2561" spans="12:13" x14ac:dyDescent="0.2">
      <c r="L2561" s="4">
        <v>2555</v>
      </c>
      <c r="M2561" s="21">
        <v>-415142.19612244336</v>
      </c>
    </row>
    <row r="2562" spans="12:13" x14ac:dyDescent="0.2">
      <c r="L2562" s="4">
        <v>2556</v>
      </c>
      <c r="M2562" s="21">
        <v>-208055.09197855421</v>
      </c>
    </row>
    <row r="2563" spans="12:13" x14ac:dyDescent="0.2">
      <c r="L2563" s="4">
        <v>2557</v>
      </c>
      <c r="M2563" s="21">
        <v>-269142.56410327787</v>
      </c>
    </row>
    <row r="2564" spans="12:13" x14ac:dyDescent="0.2">
      <c r="L2564" s="4">
        <v>2558</v>
      </c>
      <c r="M2564" s="21">
        <v>-16053.253746205388</v>
      </c>
    </row>
    <row r="2565" spans="12:13" x14ac:dyDescent="0.2">
      <c r="L2565" s="4">
        <v>2559</v>
      </c>
      <c r="M2565" s="21">
        <v>-273974.79991826182</v>
      </c>
    </row>
    <row r="2566" spans="12:13" x14ac:dyDescent="0.2">
      <c r="L2566" s="4">
        <v>2560</v>
      </c>
      <c r="M2566" s="21">
        <v>123450.73471266491</v>
      </c>
    </row>
    <row r="2567" spans="12:13" x14ac:dyDescent="0.2">
      <c r="L2567" s="4">
        <v>2561</v>
      </c>
      <c r="M2567" s="21">
        <v>-270115.87579551974</v>
      </c>
    </row>
    <row r="2568" spans="12:13" x14ac:dyDescent="0.2">
      <c r="L2568" s="4">
        <v>2562</v>
      </c>
      <c r="M2568" s="21">
        <v>-237526.82391445775</v>
      </c>
    </row>
    <row r="2569" spans="12:13" x14ac:dyDescent="0.2">
      <c r="L2569" s="4">
        <v>2563</v>
      </c>
      <c r="M2569" s="21">
        <v>-269981.78836104635</v>
      </c>
    </row>
    <row r="2570" spans="12:13" x14ac:dyDescent="0.2">
      <c r="L2570" s="4">
        <v>2564</v>
      </c>
      <c r="M2570" s="21">
        <v>-82526.101337275759</v>
      </c>
    </row>
    <row r="2571" spans="12:13" x14ac:dyDescent="0.2">
      <c r="L2571" s="4">
        <v>2565</v>
      </c>
      <c r="M2571" s="21">
        <v>16550.682579617045</v>
      </c>
    </row>
    <row r="2572" spans="12:13" x14ac:dyDescent="0.2">
      <c r="L2572" s="4">
        <v>2566</v>
      </c>
      <c r="M2572" s="21">
        <v>78165.843855895044</v>
      </c>
    </row>
    <row r="2573" spans="12:13" x14ac:dyDescent="0.2">
      <c r="L2573" s="4">
        <v>2567</v>
      </c>
      <c r="M2573" s="21">
        <v>-200026.5797748749</v>
      </c>
    </row>
    <row r="2574" spans="12:13" x14ac:dyDescent="0.2">
      <c r="L2574" s="4">
        <v>2568</v>
      </c>
      <c r="M2574" s="21">
        <v>210122.98141371206</v>
      </c>
    </row>
    <row r="2575" spans="12:13" x14ac:dyDescent="0.2">
      <c r="L2575" s="4">
        <v>2569</v>
      </c>
      <c r="M2575" s="21">
        <v>-35150.656991524316</v>
      </c>
    </row>
    <row r="2576" spans="12:13" x14ac:dyDescent="0.2">
      <c r="L2576" s="4">
        <v>2570</v>
      </c>
      <c r="M2576" s="21">
        <v>254111.68526040073</v>
      </c>
    </row>
    <row r="2577" spans="12:13" x14ac:dyDescent="0.2">
      <c r="L2577" s="4">
        <v>2571</v>
      </c>
      <c r="M2577" s="21">
        <v>464500.16715678689</v>
      </c>
    </row>
    <row r="2578" spans="12:13" x14ac:dyDescent="0.2">
      <c r="L2578" s="4">
        <v>2572</v>
      </c>
      <c r="M2578" s="21">
        <v>46639.549343542516</v>
      </c>
    </row>
    <row r="2579" spans="12:13" x14ac:dyDescent="0.2">
      <c r="L2579" s="4">
        <v>2573</v>
      </c>
      <c r="M2579" s="21">
        <v>406717.70845034695</v>
      </c>
    </row>
    <row r="2580" spans="12:13" x14ac:dyDescent="0.2">
      <c r="L2580" s="4">
        <v>2574</v>
      </c>
      <c r="M2580" s="21">
        <v>97094.10896917255</v>
      </c>
    </row>
    <row r="2581" spans="12:13" x14ac:dyDescent="0.2">
      <c r="L2581" s="4">
        <v>2575</v>
      </c>
      <c r="M2581" s="21">
        <v>209673.07052446611</v>
      </c>
    </row>
    <row r="2582" spans="12:13" x14ac:dyDescent="0.2">
      <c r="L2582" s="4">
        <v>2576</v>
      </c>
      <c r="M2582" s="21">
        <v>-224911.31242637834</v>
      </c>
    </row>
    <row r="2583" spans="12:13" x14ac:dyDescent="0.2">
      <c r="L2583" s="4">
        <v>2577</v>
      </c>
      <c r="M2583" s="21">
        <v>-185376.78035870643</v>
      </c>
    </row>
    <row r="2584" spans="12:13" x14ac:dyDescent="0.2">
      <c r="L2584" s="4">
        <v>2578</v>
      </c>
      <c r="M2584" s="21">
        <v>-15009.04505051345</v>
      </c>
    </row>
    <row r="2585" spans="12:13" x14ac:dyDescent="0.2">
      <c r="L2585" s="4">
        <v>2579</v>
      </c>
      <c r="M2585" s="21">
        <v>-316534.54917831346</v>
      </c>
    </row>
    <row r="2586" spans="12:13" x14ac:dyDescent="0.2">
      <c r="L2586" s="4">
        <v>2580</v>
      </c>
      <c r="M2586" s="21">
        <v>127252.17266283114</v>
      </c>
    </row>
    <row r="2587" spans="12:13" x14ac:dyDescent="0.2">
      <c r="L2587" s="4">
        <v>2581</v>
      </c>
      <c r="M2587" s="21">
        <v>164117.1893898508</v>
      </c>
    </row>
    <row r="2588" spans="12:13" x14ac:dyDescent="0.2">
      <c r="L2588" s="4">
        <v>2582</v>
      </c>
      <c r="M2588" s="21">
        <v>397256.29079073633</v>
      </c>
    </row>
    <row r="2589" spans="12:13" x14ac:dyDescent="0.2">
      <c r="L2589" s="4">
        <v>2583</v>
      </c>
      <c r="M2589" s="21">
        <v>-204554.65425092139</v>
      </c>
    </row>
    <row r="2590" spans="12:13" x14ac:dyDescent="0.2">
      <c r="L2590" s="4">
        <v>2584</v>
      </c>
      <c r="M2590" s="21">
        <v>-28560.093152361456</v>
      </c>
    </row>
    <row r="2591" spans="12:13" x14ac:dyDescent="0.2">
      <c r="L2591" s="4">
        <v>2585</v>
      </c>
      <c r="M2591" s="21">
        <v>-73564.304504329572</v>
      </c>
    </row>
    <row r="2592" spans="12:13" x14ac:dyDescent="0.2">
      <c r="L2592" s="4">
        <v>2586</v>
      </c>
      <c r="M2592" s="21">
        <v>-26772.911994326743</v>
      </c>
    </row>
    <row r="2593" spans="12:13" x14ac:dyDescent="0.2">
      <c r="L2593" s="4">
        <v>2587</v>
      </c>
      <c r="M2593" s="21">
        <v>-74265.434706138622</v>
      </c>
    </row>
    <row r="2594" spans="12:13" x14ac:dyDescent="0.2">
      <c r="L2594" s="4">
        <v>2588</v>
      </c>
      <c r="M2594" s="21">
        <v>87028.379320877022</v>
      </c>
    </row>
    <row r="2595" spans="12:13" x14ac:dyDescent="0.2">
      <c r="L2595" s="4">
        <v>2589</v>
      </c>
      <c r="M2595" s="21">
        <v>48885.481828252668</v>
      </c>
    </row>
    <row r="2596" spans="12:13" x14ac:dyDescent="0.2">
      <c r="L2596" s="4">
        <v>2590</v>
      </c>
      <c r="M2596" s="21">
        <v>-153138.74552179844</v>
      </c>
    </row>
    <row r="2597" spans="12:13" x14ac:dyDescent="0.2">
      <c r="L2597" s="4">
        <v>2591</v>
      </c>
      <c r="M2597" s="21">
        <v>-358623.35402819922</v>
      </c>
    </row>
    <row r="2598" spans="12:13" x14ac:dyDescent="0.2">
      <c r="L2598" s="4">
        <v>2592</v>
      </c>
      <c r="M2598" s="21">
        <v>-51202.731927310218</v>
      </c>
    </row>
    <row r="2599" spans="12:13" x14ac:dyDescent="0.2">
      <c r="L2599" s="4">
        <v>2593</v>
      </c>
      <c r="M2599" s="21">
        <v>-112888.95618750385</v>
      </c>
    </row>
    <row r="2600" spans="12:13" x14ac:dyDescent="0.2">
      <c r="L2600" s="4">
        <v>2594</v>
      </c>
      <c r="M2600" s="21">
        <v>-44715.728348769931</v>
      </c>
    </row>
    <row r="2601" spans="12:13" x14ac:dyDescent="0.2">
      <c r="L2601" s="4">
        <v>2595</v>
      </c>
      <c r="M2601" s="21">
        <v>57750.354774160864</v>
      </c>
    </row>
    <row r="2602" spans="12:13" x14ac:dyDescent="0.2">
      <c r="L2602" s="4">
        <v>2596</v>
      </c>
      <c r="M2602" s="21">
        <v>38873.617671006126</v>
      </c>
    </row>
    <row r="2603" spans="12:13" x14ac:dyDescent="0.2">
      <c r="L2603" s="4">
        <v>2597</v>
      </c>
      <c r="M2603" s="21">
        <v>-21547.593255137675</v>
      </c>
    </row>
    <row r="2604" spans="12:13" x14ac:dyDescent="0.2">
      <c r="L2604" s="4">
        <v>2598</v>
      </c>
      <c r="M2604" s="21">
        <v>182608.70658307249</v>
      </c>
    </row>
    <row r="2605" spans="12:13" x14ac:dyDescent="0.2">
      <c r="L2605" s="4">
        <v>2599</v>
      </c>
      <c r="M2605" s="21">
        <v>44615.900876467378</v>
      </c>
    </row>
    <row r="2606" spans="12:13" x14ac:dyDescent="0.2">
      <c r="L2606" s="4">
        <v>2600</v>
      </c>
      <c r="M2606" s="21">
        <v>-8962.9648257135705</v>
      </c>
    </row>
    <row r="2607" spans="12:13" x14ac:dyDescent="0.2">
      <c r="L2607" s="4">
        <v>2601</v>
      </c>
      <c r="M2607" s="21">
        <v>214244.59471462219</v>
      </c>
    </row>
    <row r="2608" spans="12:13" x14ac:dyDescent="0.2">
      <c r="L2608" s="4">
        <v>2602</v>
      </c>
      <c r="M2608" s="21">
        <v>113452.57096195038</v>
      </c>
    </row>
    <row r="2609" spans="12:13" x14ac:dyDescent="0.2">
      <c r="L2609" s="4">
        <v>2603</v>
      </c>
      <c r="M2609" s="21">
        <v>-99836.880157443811</v>
      </c>
    </row>
    <row r="2610" spans="12:13" x14ac:dyDescent="0.2">
      <c r="L2610" s="4">
        <v>2604</v>
      </c>
      <c r="M2610" s="21">
        <v>73845.203500724252</v>
      </c>
    </row>
    <row r="2611" spans="12:13" x14ac:dyDescent="0.2">
      <c r="L2611" s="4">
        <v>2605</v>
      </c>
      <c r="M2611" s="21">
        <v>51016.834989620285</v>
      </c>
    </row>
    <row r="2612" spans="12:13" x14ac:dyDescent="0.2">
      <c r="L2612" s="4">
        <v>2606</v>
      </c>
      <c r="M2612" s="21">
        <v>72585.547255948273</v>
      </c>
    </row>
    <row r="2613" spans="12:13" x14ac:dyDescent="0.2">
      <c r="L2613" s="4">
        <v>2607</v>
      </c>
      <c r="M2613" s="21">
        <v>277502.57477376109</v>
      </c>
    </row>
    <row r="2614" spans="12:13" x14ac:dyDescent="0.2">
      <c r="L2614" s="4">
        <v>2608</v>
      </c>
      <c r="M2614" s="21">
        <v>-7028.6776328979322</v>
      </c>
    </row>
    <row r="2615" spans="12:13" x14ac:dyDescent="0.2">
      <c r="L2615" s="4">
        <v>2609</v>
      </c>
      <c r="M2615" s="21">
        <v>-1029.6771707749431</v>
      </c>
    </row>
    <row r="2616" spans="12:13" x14ac:dyDescent="0.2">
      <c r="L2616" s="4">
        <v>2610</v>
      </c>
      <c r="M2616" s="21">
        <v>166626.05980321829</v>
      </c>
    </row>
    <row r="2617" spans="12:13" x14ac:dyDescent="0.2">
      <c r="L2617" s="4">
        <v>2611</v>
      </c>
      <c r="M2617" s="21">
        <v>-141461.46198724571</v>
      </c>
    </row>
    <row r="2618" spans="12:13" x14ac:dyDescent="0.2">
      <c r="L2618" s="4">
        <v>2612</v>
      </c>
      <c r="M2618" s="21">
        <v>-330698.87494989112</v>
      </c>
    </row>
    <row r="2619" spans="12:13" x14ac:dyDescent="0.2">
      <c r="L2619" s="4">
        <v>2613</v>
      </c>
      <c r="M2619" s="21">
        <v>8320.5065823480836</v>
      </c>
    </row>
    <row r="2620" spans="12:13" x14ac:dyDescent="0.2">
      <c r="L2620" s="4">
        <v>2614</v>
      </c>
      <c r="M2620" s="21">
        <v>-114911.19340812035</v>
      </c>
    </row>
    <row r="2621" spans="12:13" x14ac:dyDescent="0.2">
      <c r="L2621" s="4">
        <v>2615</v>
      </c>
      <c r="M2621" s="21">
        <v>421806.07094220415</v>
      </c>
    </row>
    <row r="2622" spans="12:13" x14ac:dyDescent="0.2">
      <c r="L2622" s="4">
        <v>2616</v>
      </c>
      <c r="M2622" s="21">
        <v>-203321.70090619204</v>
      </c>
    </row>
    <row r="2623" spans="12:13" x14ac:dyDescent="0.2">
      <c r="L2623" s="4">
        <v>2617</v>
      </c>
      <c r="M2623" s="21">
        <v>-393280.08755866875</v>
      </c>
    </row>
    <row r="2624" spans="12:13" x14ac:dyDescent="0.2">
      <c r="L2624" s="4">
        <v>2618</v>
      </c>
      <c r="M2624" s="21">
        <v>136287.37090384445</v>
      </c>
    </row>
    <row r="2625" spans="12:13" x14ac:dyDescent="0.2">
      <c r="L2625" s="4">
        <v>2619</v>
      </c>
      <c r="M2625" s="21">
        <v>-269787.62974736921</v>
      </c>
    </row>
    <row r="2626" spans="12:13" x14ac:dyDescent="0.2">
      <c r="L2626" s="4">
        <v>2620</v>
      </c>
      <c r="M2626" s="21">
        <v>253529.61730962864</v>
      </c>
    </row>
    <row r="2627" spans="12:13" x14ac:dyDescent="0.2">
      <c r="L2627" s="4">
        <v>2621</v>
      </c>
      <c r="M2627" s="21">
        <v>33901.451817310299</v>
      </c>
    </row>
    <row r="2628" spans="12:13" x14ac:dyDescent="0.2">
      <c r="L2628" s="4">
        <v>2622</v>
      </c>
      <c r="M2628" s="21">
        <v>-146269.4848572776</v>
      </c>
    </row>
    <row r="2629" spans="12:13" x14ac:dyDescent="0.2">
      <c r="L2629" s="4">
        <v>2623</v>
      </c>
      <c r="M2629" s="21">
        <v>-181772.17484977923</v>
      </c>
    </row>
    <row r="2630" spans="12:13" x14ac:dyDescent="0.2">
      <c r="L2630" s="4">
        <v>2624</v>
      </c>
      <c r="M2630" s="21">
        <v>-175455.8278623448</v>
      </c>
    </row>
    <row r="2631" spans="12:13" x14ac:dyDescent="0.2">
      <c r="L2631" s="4">
        <v>2625</v>
      </c>
      <c r="M2631" s="21">
        <v>117402.10073656397</v>
      </c>
    </row>
    <row r="2632" spans="12:13" x14ac:dyDescent="0.2">
      <c r="L2632" s="4">
        <v>2626</v>
      </c>
      <c r="M2632" s="21">
        <v>189156.97784130269</v>
      </c>
    </row>
    <row r="2633" spans="12:13" x14ac:dyDescent="0.2">
      <c r="L2633" s="4">
        <v>2627</v>
      </c>
      <c r="M2633" s="21">
        <v>-249945.24444139513</v>
      </c>
    </row>
    <row r="2634" spans="12:13" x14ac:dyDescent="0.2">
      <c r="L2634" s="4">
        <v>2628</v>
      </c>
      <c r="M2634" s="21">
        <v>32454.272756865306</v>
      </c>
    </row>
    <row r="2635" spans="12:13" x14ac:dyDescent="0.2">
      <c r="L2635" s="4">
        <v>2629</v>
      </c>
      <c r="M2635" s="21">
        <v>124122.88390422726</v>
      </c>
    </row>
    <row r="2636" spans="12:13" x14ac:dyDescent="0.2">
      <c r="L2636" s="4">
        <v>2630</v>
      </c>
      <c r="M2636" s="21">
        <v>185352.89728279843</v>
      </c>
    </row>
    <row r="2637" spans="12:13" x14ac:dyDescent="0.2">
      <c r="L2637" s="4">
        <v>2631</v>
      </c>
      <c r="M2637" s="21">
        <v>-162757.90148549766</v>
      </c>
    </row>
    <row r="2638" spans="12:13" x14ac:dyDescent="0.2">
      <c r="L2638" s="4">
        <v>2632</v>
      </c>
      <c r="M2638" s="21">
        <v>-9389.2818710236315</v>
      </c>
    </row>
    <row r="2639" spans="12:13" x14ac:dyDescent="0.2">
      <c r="L2639" s="4">
        <v>2633</v>
      </c>
      <c r="M2639" s="21">
        <v>56910.830199854594</v>
      </c>
    </row>
    <row r="2640" spans="12:13" x14ac:dyDescent="0.2">
      <c r="L2640" s="4">
        <v>2634</v>
      </c>
      <c r="M2640" s="21">
        <v>-13893.224111280564</v>
      </c>
    </row>
    <row r="2641" spans="12:13" x14ac:dyDescent="0.2">
      <c r="L2641" s="4">
        <v>2635</v>
      </c>
      <c r="M2641" s="21">
        <v>254587.22754577629</v>
      </c>
    </row>
    <row r="2642" spans="12:13" x14ac:dyDescent="0.2">
      <c r="L2642" s="4">
        <v>2636</v>
      </c>
      <c r="M2642" s="21">
        <v>358920.91007948923</v>
      </c>
    </row>
    <row r="2643" spans="12:13" x14ac:dyDescent="0.2">
      <c r="L2643" s="4">
        <v>2637</v>
      </c>
      <c r="M2643" s="21">
        <v>-187154.54704513107</v>
      </c>
    </row>
    <row r="2644" spans="12:13" x14ac:dyDescent="0.2">
      <c r="L2644" s="4">
        <v>2638</v>
      </c>
      <c r="M2644" s="21">
        <v>101026.42741271725</v>
      </c>
    </row>
    <row r="2645" spans="12:13" x14ac:dyDescent="0.2">
      <c r="L2645" s="4">
        <v>2639</v>
      </c>
      <c r="M2645" s="21">
        <v>305752.13030064094</v>
      </c>
    </row>
    <row r="2646" spans="12:13" x14ac:dyDescent="0.2">
      <c r="L2646" s="4">
        <v>2640</v>
      </c>
      <c r="M2646" s="21">
        <v>-110827.54129320457</v>
      </c>
    </row>
    <row r="2647" spans="12:13" x14ac:dyDescent="0.2">
      <c r="L2647" s="4">
        <v>2641</v>
      </c>
      <c r="M2647" s="21">
        <v>-86808.028829922856</v>
      </c>
    </row>
    <row r="2648" spans="12:13" x14ac:dyDescent="0.2">
      <c r="L2648" s="4">
        <v>2642</v>
      </c>
      <c r="M2648" s="21">
        <v>318886.77892633318</v>
      </c>
    </row>
    <row r="2649" spans="12:13" x14ac:dyDescent="0.2">
      <c r="L2649" s="4">
        <v>2643</v>
      </c>
      <c r="M2649" s="21">
        <v>121767.08595129321</v>
      </c>
    </row>
    <row r="2650" spans="12:13" x14ac:dyDescent="0.2">
      <c r="L2650" s="4">
        <v>2644</v>
      </c>
      <c r="M2650" s="21">
        <v>2232.6225967821083</v>
      </c>
    </row>
    <row r="2651" spans="12:13" x14ac:dyDescent="0.2">
      <c r="L2651" s="4">
        <v>2645</v>
      </c>
      <c r="M2651" s="21">
        <v>-349336.0073985004</v>
      </c>
    </row>
    <row r="2652" spans="12:13" x14ac:dyDescent="0.2">
      <c r="L2652" s="4">
        <v>2646</v>
      </c>
      <c r="M2652" s="21">
        <v>77931.097780064563</v>
      </c>
    </row>
    <row r="2653" spans="12:13" x14ac:dyDescent="0.2">
      <c r="L2653" s="4">
        <v>2647</v>
      </c>
      <c r="M2653" s="21">
        <v>-287690.96392528526</v>
      </c>
    </row>
    <row r="2654" spans="12:13" x14ac:dyDescent="0.2">
      <c r="L2654" s="4">
        <v>2648</v>
      </c>
      <c r="M2654" s="21">
        <v>229869.52375943403</v>
      </c>
    </row>
    <row r="2655" spans="12:13" x14ac:dyDescent="0.2">
      <c r="L2655" s="4">
        <v>2649</v>
      </c>
      <c r="M2655" s="21">
        <v>303117.70570869779</v>
      </c>
    </row>
    <row r="2656" spans="12:13" x14ac:dyDescent="0.2">
      <c r="L2656" s="4">
        <v>2650</v>
      </c>
      <c r="M2656" s="21">
        <v>-204147.18272600893</v>
      </c>
    </row>
    <row r="2657" spans="12:13" x14ac:dyDescent="0.2">
      <c r="L2657" s="4">
        <v>2651</v>
      </c>
      <c r="M2657" s="21">
        <v>122791.31815130237</v>
      </c>
    </row>
    <row r="2658" spans="12:13" x14ac:dyDescent="0.2">
      <c r="L2658" s="4">
        <v>2652</v>
      </c>
      <c r="M2658" s="21">
        <v>257327.69926378693</v>
      </c>
    </row>
    <row r="2659" spans="12:13" x14ac:dyDescent="0.2">
      <c r="L2659" s="4">
        <v>2653</v>
      </c>
      <c r="M2659" s="21">
        <v>-229138.41077385659</v>
      </c>
    </row>
    <row r="2660" spans="12:13" x14ac:dyDescent="0.2">
      <c r="L2660" s="4">
        <v>2654</v>
      </c>
      <c r="M2660" s="21">
        <v>236055.91890622309</v>
      </c>
    </row>
    <row r="2661" spans="12:13" x14ac:dyDescent="0.2">
      <c r="L2661" s="4">
        <v>2655</v>
      </c>
      <c r="M2661" s="21">
        <v>196684.50929902162</v>
      </c>
    </row>
    <row r="2662" spans="12:13" x14ac:dyDescent="0.2">
      <c r="L2662" s="4">
        <v>2656</v>
      </c>
      <c r="M2662" s="21">
        <v>-24977.025703059175</v>
      </c>
    </row>
    <row r="2663" spans="12:13" x14ac:dyDescent="0.2">
      <c r="L2663" s="4">
        <v>2657</v>
      </c>
      <c r="M2663" s="21">
        <v>21879.53164529879</v>
      </c>
    </row>
    <row r="2664" spans="12:13" x14ac:dyDescent="0.2">
      <c r="L2664" s="4">
        <v>2658</v>
      </c>
      <c r="M2664" s="21">
        <v>29211.015402398451</v>
      </c>
    </row>
    <row r="2665" spans="12:13" x14ac:dyDescent="0.2">
      <c r="L2665" s="4">
        <v>2659</v>
      </c>
      <c r="M2665" s="21">
        <v>-131351.00034995089</v>
      </c>
    </row>
    <row r="2666" spans="12:13" x14ac:dyDescent="0.2">
      <c r="L2666" s="4">
        <v>2660</v>
      </c>
      <c r="M2666" s="21">
        <v>335664.23054196453</v>
      </c>
    </row>
    <row r="2667" spans="12:13" x14ac:dyDescent="0.2">
      <c r="L2667" s="4">
        <v>2661</v>
      </c>
      <c r="M2667" s="21">
        <v>58511.65349548182</v>
      </c>
    </row>
    <row r="2668" spans="12:13" x14ac:dyDescent="0.2">
      <c r="L2668" s="4">
        <v>2662</v>
      </c>
      <c r="M2668" s="21">
        <v>396234.28020025021</v>
      </c>
    </row>
    <row r="2669" spans="12:13" x14ac:dyDescent="0.2">
      <c r="L2669" s="4">
        <v>2663</v>
      </c>
      <c r="M2669" s="21">
        <v>-265680.11543629412</v>
      </c>
    </row>
    <row r="2670" spans="12:13" x14ac:dyDescent="0.2">
      <c r="L2670" s="4">
        <v>2664</v>
      </c>
      <c r="M2670" s="21">
        <v>-84124.806005556544</v>
      </c>
    </row>
    <row r="2671" spans="12:13" x14ac:dyDescent="0.2">
      <c r="L2671" s="4">
        <v>2665</v>
      </c>
      <c r="M2671" s="21">
        <v>-21868.986784698383</v>
      </c>
    </row>
    <row r="2672" spans="12:13" x14ac:dyDescent="0.2">
      <c r="L2672" s="4">
        <v>2666</v>
      </c>
      <c r="M2672" s="21">
        <v>80797.379088512651</v>
      </c>
    </row>
    <row r="2673" spans="12:13" x14ac:dyDescent="0.2">
      <c r="L2673" s="4">
        <v>2667</v>
      </c>
      <c r="M2673" s="21">
        <v>990.23430801264476</v>
      </c>
    </row>
    <row r="2674" spans="12:13" x14ac:dyDescent="0.2">
      <c r="L2674" s="4">
        <v>2668</v>
      </c>
      <c r="M2674" s="21">
        <v>61833.161418392963</v>
      </c>
    </row>
    <row r="2675" spans="12:13" x14ac:dyDescent="0.2">
      <c r="L2675" s="4">
        <v>2669</v>
      </c>
      <c r="M2675" s="21">
        <v>-90048.757702722156</v>
      </c>
    </row>
    <row r="2676" spans="12:13" x14ac:dyDescent="0.2">
      <c r="L2676" s="4">
        <v>2670</v>
      </c>
      <c r="M2676" s="21">
        <v>-42934.135000230832</v>
      </c>
    </row>
    <row r="2677" spans="12:13" x14ac:dyDescent="0.2">
      <c r="L2677" s="4">
        <v>2671</v>
      </c>
      <c r="M2677" s="21">
        <v>-156997.49741605224</v>
      </c>
    </row>
    <row r="2678" spans="12:13" x14ac:dyDescent="0.2">
      <c r="L2678" s="4">
        <v>2672</v>
      </c>
      <c r="M2678" s="21">
        <v>218835.31330934531</v>
      </c>
    </row>
    <row r="2679" spans="12:13" x14ac:dyDescent="0.2">
      <c r="L2679" s="4">
        <v>2673</v>
      </c>
      <c r="M2679" s="21">
        <v>-97368.747241296223</v>
      </c>
    </row>
    <row r="2680" spans="12:13" x14ac:dyDescent="0.2">
      <c r="L2680" s="4">
        <v>2674</v>
      </c>
      <c r="M2680" s="21">
        <v>145798.22473949613</v>
      </c>
    </row>
    <row r="2681" spans="12:13" x14ac:dyDescent="0.2">
      <c r="L2681" s="4">
        <v>2675</v>
      </c>
      <c r="M2681" s="21">
        <v>-97792.369104709316</v>
      </c>
    </row>
    <row r="2682" spans="12:13" x14ac:dyDescent="0.2">
      <c r="L2682" s="4">
        <v>2676</v>
      </c>
      <c r="M2682" s="21">
        <v>-128816.82678691079</v>
      </c>
    </row>
    <row r="2683" spans="12:13" x14ac:dyDescent="0.2">
      <c r="L2683" s="4">
        <v>2677</v>
      </c>
      <c r="M2683" s="21">
        <v>440800.80967026879</v>
      </c>
    </row>
    <row r="2684" spans="12:13" x14ac:dyDescent="0.2">
      <c r="L2684" s="4">
        <v>2678</v>
      </c>
      <c r="M2684" s="21">
        <v>93046.454247233516</v>
      </c>
    </row>
    <row r="2685" spans="12:13" x14ac:dyDescent="0.2">
      <c r="L2685" s="4">
        <v>2679</v>
      </c>
      <c r="M2685" s="21">
        <v>656608.55855163746</v>
      </c>
    </row>
    <row r="2686" spans="12:13" x14ac:dyDescent="0.2">
      <c r="L2686" s="4">
        <v>2680</v>
      </c>
      <c r="M2686" s="21">
        <v>495190.43322891789</v>
      </c>
    </row>
    <row r="2687" spans="12:13" x14ac:dyDescent="0.2">
      <c r="L2687" s="4">
        <v>2681</v>
      </c>
      <c r="M2687" s="21">
        <v>86823.315142078849</v>
      </c>
    </row>
    <row r="2688" spans="12:13" x14ac:dyDescent="0.2">
      <c r="L2688" s="4">
        <v>2682</v>
      </c>
      <c r="M2688" s="21">
        <v>181824.01744985243</v>
      </c>
    </row>
    <row r="2689" spans="12:13" x14ac:dyDescent="0.2">
      <c r="L2689" s="4">
        <v>2683</v>
      </c>
      <c r="M2689" s="21">
        <v>143508.5393705563</v>
      </c>
    </row>
    <row r="2690" spans="12:13" x14ac:dyDescent="0.2">
      <c r="L2690" s="4">
        <v>2684</v>
      </c>
      <c r="M2690" s="21">
        <v>215860.04180965823</v>
      </c>
    </row>
    <row r="2691" spans="12:13" x14ac:dyDescent="0.2">
      <c r="L2691" s="4">
        <v>2685</v>
      </c>
      <c r="M2691" s="21">
        <v>66417.763775801519</v>
      </c>
    </row>
    <row r="2692" spans="12:13" x14ac:dyDescent="0.2">
      <c r="L2692" s="4">
        <v>2686</v>
      </c>
      <c r="M2692" s="21">
        <v>28064.029237452778</v>
      </c>
    </row>
    <row r="2693" spans="12:13" x14ac:dyDescent="0.2">
      <c r="L2693" s="4">
        <v>2687</v>
      </c>
      <c r="M2693" s="21">
        <v>38327.01356932515</v>
      </c>
    </row>
    <row r="2694" spans="12:13" x14ac:dyDescent="0.2">
      <c r="L2694" s="4">
        <v>2688</v>
      </c>
      <c r="M2694" s="21">
        <v>-31818.743287363279</v>
      </c>
    </row>
    <row r="2695" spans="12:13" x14ac:dyDescent="0.2">
      <c r="L2695" s="4">
        <v>2689</v>
      </c>
      <c r="M2695" s="21">
        <v>63881.969347677368</v>
      </c>
    </row>
    <row r="2696" spans="12:13" x14ac:dyDescent="0.2">
      <c r="L2696" s="4">
        <v>2690</v>
      </c>
      <c r="M2696" s="21">
        <v>258710.69542373126</v>
      </c>
    </row>
    <row r="2697" spans="12:13" x14ac:dyDescent="0.2">
      <c r="L2697" s="4">
        <v>2691</v>
      </c>
      <c r="M2697" s="21">
        <v>332313.24286481971</v>
      </c>
    </row>
    <row r="2698" spans="12:13" x14ac:dyDescent="0.2">
      <c r="L2698" s="4">
        <v>2692</v>
      </c>
      <c r="M2698" s="21">
        <v>286750.19650672039</v>
      </c>
    </row>
    <row r="2699" spans="12:13" x14ac:dyDescent="0.2">
      <c r="L2699" s="4">
        <v>2693</v>
      </c>
      <c r="M2699" s="21">
        <v>-99951.685932794717</v>
      </c>
    </row>
    <row r="2700" spans="12:13" x14ac:dyDescent="0.2">
      <c r="L2700" s="4">
        <v>2694</v>
      </c>
      <c r="M2700" s="21">
        <v>-170049.68061934062</v>
      </c>
    </row>
    <row r="2701" spans="12:13" x14ac:dyDescent="0.2">
      <c r="L2701" s="4">
        <v>2695</v>
      </c>
      <c r="M2701" s="21">
        <v>-182312.36648287257</v>
      </c>
    </row>
    <row r="2702" spans="12:13" x14ac:dyDescent="0.2">
      <c r="L2702" s="4">
        <v>2696</v>
      </c>
      <c r="M2702" s="21">
        <v>-135544.85925997284</v>
      </c>
    </row>
    <row r="2703" spans="12:13" x14ac:dyDescent="0.2">
      <c r="L2703" s="4">
        <v>2697</v>
      </c>
      <c r="M2703" s="21">
        <v>395830.44551971252</v>
      </c>
    </row>
    <row r="2704" spans="12:13" x14ac:dyDescent="0.2">
      <c r="L2704" s="4">
        <v>2698</v>
      </c>
      <c r="M2704" s="21">
        <v>-89803.86023018595</v>
      </c>
    </row>
    <row r="2705" spans="12:13" x14ac:dyDescent="0.2">
      <c r="L2705" s="4">
        <v>2699</v>
      </c>
      <c r="M2705" s="21">
        <v>-94151.444969379067</v>
      </c>
    </row>
    <row r="2706" spans="12:13" x14ac:dyDescent="0.2">
      <c r="L2706" s="4">
        <v>2700</v>
      </c>
      <c r="M2706" s="21">
        <v>276264.98734772927</v>
      </c>
    </row>
    <row r="2707" spans="12:13" x14ac:dyDescent="0.2">
      <c r="L2707" s="4">
        <v>2701</v>
      </c>
      <c r="M2707" s="21">
        <v>-469299.40767214226</v>
      </c>
    </row>
    <row r="2708" spans="12:13" x14ac:dyDescent="0.2">
      <c r="L2708" s="4">
        <v>2702</v>
      </c>
      <c r="M2708" s="21">
        <v>52948.61074271379</v>
      </c>
    </row>
    <row r="2709" spans="12:13" x14ac:dyDescent="0.2">
      <c r="L2709" s="4">
        <v>2703</v>
      </c>
      <c r="M2709" s="21">
        <v>156275.84175152876</v>
      </c>
    </row>
    <row r="2710" spans="12:13" x14ac:dyDescent="0.2">
      <c r="L2710" s="4">
        <v>2704</v>
      </c>
      <c r="M2710" s="21">
        <v>155241.73590176261</v>
      </c>
    </row>
    <row r="2711" spans="12:13" x14ac:dyDescent="0.2">
      <c r="L2711" s="4">
        <v>2705</v>
      </c>
      <c r="M2711" s="21">
        <v>39385.410487798043</v>
      </c>
    </row>
    <row r="2712" spans="12:13" x14ac:dyDescent="0.2">
      <c r="L2712" s="4">
        <v>2706</v>
      </c>
      <c r="M2712" s="21">
        <v>240027.86110703534</v>
      </c>
    </row>
    <row r="2713" spans="12:13" x14ac:dyDescent="0.2">
      <c r="L2713" s="4">
        <v>2707</v>
      </c>
      <c r="M2713" s="21">
        <v>463699.70405233797</v>
      </c>
    </row>
    <row r="2714" spans="12:13" x14ac:dyDescent="0.2">
      <c r="L2714" s="4">
        <v>2708</v>
      </c>
      <c r="M2714" s="21">
        <v>66.238352152053267</v>
      </c>
    </row>
    <row r="2715" spans="12:13" x14ac:dyDescent="0.2">
      <c r="L2715" s="4">
        <v>2709</v>
      </c>
      <c r="M2715" s="21">
        <v>153824.15338601562</v>
      </c>
    </row>
    <row r="2716" spans="12:13" x14ac:dyDescent="0.2">
      <c r="L2716" s="4">
        <v>2710</v>
      </c>
      <c r="M2716" s="21">
        <v>-11882.848223579509</v>
      </c>
    </row>
    <row r="2717" spans="12:13" x14ac:dyDescent="0.2">
      <c r="L2717" s="4">
        <v>2711</v>
      </c>
      <c r="M2717" s="21">
        <v>14375.474776295334</v>
      </c>
    </row>
    <row r="2718" spans="12:13" x14ac:dyDescent="0.2">
      <c r="L2718" s="4">
        <v>2712</v>
      </c>
      <c r="M2718" s="21">
        <v>177260.20959864548</v>
      </c>
    </row>
    <row r="2719" spans="12:13" x14ac:dyDescent="0.2">
      <c r="L2719" s="4">
        <v>2713</v>
      </c>
      <c r="M2719" s="21">
        <v>-93402.395894114321</v>
      </c>
    </row>
    <row r="2720" spans="12:13" x14ac:dyDescent="0.2">
      <c r="L2720" s="4">
        <v>2714</v>
      </c>
      <c r="M2720" s="21">
        <v>15667.001081217342</v>
      </c>
    </row>
    <row r="2721" spans="12:13" x14ac:dyDescent="0.2">
      <c r="L2721" s="4">
        <v>2715</v>
      </c>
      <c r="M2721" s="21">
        <v>104794.4965202983</v>
      </c>
    </row>
    <row r="2722" spans="12:13" x14ac:dyDescent="0.2">
      <c r="L2722" s="4">
        <v>2716</v>
      </c>
      <c r="M2722" s="21">
        <v>34809.320822765614</v>
      </c>
    </row>
    <row r="2723" spans="12:13" x14ac:dyDescent="0.2">
      <c r="L2723" s="4">
        <v>2717</v>
      </c>
      <c r="M2723" s="21">
        <v>48881.000179745344</v>
      </c>
    </row>
    <row r="2724" spans="12:13" x14ac:dyDescent="0.2">
      <c r="L2724" s="4">
        <v>2718</v>
      </c>
      <c r="M2724" s="21">
        <v>-40825.064501669141</v>
      </c>
    </row>
    <row r="2725" spans="12:13" x14ac:dyDescent="0.2">
      <c r="L2725" s="4">
        <v>2719</v>
      </c>
      <c r="M2725" s="21">
        <v>57753.144899346109</v>
      </c>
    </row>
    <row r="2726" spans="12:13" x14ac:dyDescent="0.2">
      <c r="L2726" s="4">
        <v>2720</v>
      </c>
      <c r="M2726" s="21">
        <v>-265167.59943007445</v>
      </c>
    </row>
    <row r="2727" spans="12:13" x14ac:dyDescent="0.2">
      <c r="L2727" s="4">
        <v>2721</v>
      </c>
      <c r="M2727" s="21">
        <v>163971.40508328963</v>
      </c>
    </row>
    <row r="2728" spans="12:13" x14ac:dyDescent="0.2">
      <c r="L2728" s="4">
        <v>2722</v>
      </c>
      <c r="M2728" s="21">
        <v>-58084.812129158949</v>
      </c>
    </row>
    <row r="2729" spans="12:13" x14ac:dyDescent="0.2">
      <c r="L2729" s="4">
        <v>2723</v>
      </c>
      <c r="M2729" s="21">
        <v>-215011.78787615563</v>
      </c>
    </row>
    <row r="2730" spans="12:13" x14ac:dyDescent="0.2">
      <c r="L2730" s="4">
        <v>2724</v>
      </c>
      <c r="M2730" s="21">
        <v>284060.18852959963</v>
      </c>
    </row>
    <row r="2731" spans="12:13" x14ac:dyDescent="0.2">
      <c r="L2731" s="4">
        <v>2725</v>
      </c>
      <c r="M2731" s="21">
        <v>172548.74971139248</v>
      </c>
    </row>
    <row r="2732" spans="12:13" x14ac:dyDescent="0.2">
      <c r="L2732" s="4">
        <v>2726</v>
      </c>
      <c r="M2732" s="21">
        <v>-189002.2710275024</v>
      </c>
    </row>
    <row r="2733" spans="12:13" x14ac:dyDescent="0.2">
      <c r="L2733" s="4">
        <v>2727</v>
      </c>
      <c r="M2733" s="21">
        <v>-20112.814127583377</v>
      </c>
    </row>
    <row r="2734" spans="12:13" x14ac:dyDescent="0.2">
      <c r="L2734" s="4">
        <v>2728</v>
      </c>
      <c r="M2734" s="21">
        <v>161824.52842336998</v>
      </c>
    </row>
    <row r="2735" spans="12:13" x14ac:dyDescent="0.2">
      <c r="L2735" s="4">
        <v>2729</v>
      </c>
      <c r="M2735" s="21">
        <v>234911.85418472768</v>
      </c>
    </row>
    <row r="2736" spans="12:13" x14ac:dyDescent="0.2">
      <c r="L2736" s="4">
        <v>2730</v>
      </c>
      <c r="M2736" s="21">
        <v>-18678.881416706878</v>
      </c>
    </row>
    <row r="2737" spans="12:13" x14ac:dyDescent="0.2">
      <c r="L2737" s="4">
        <v>2731</v>
      </c>
      <c r="M2737" s="21">
        <v>-436541.65723410924</v>
      </c>
    </row>
    <row r="2738" spans="12:13" x14ac:dyDescent="0.2">
      <c r="L2738" s="4">
        <v>2732</v>
      </c>
      <c r="M2738" s="21">
        <v>157369.60164155328</v>
      </c>
    </row>
    <row r="2739" spans="12:13" x14ac:dyDescent="0.2">
      <c r="L2739" s="4">
        <v>2733</v>
      </c>
      <c r="M2739" s="21">
        <v>291016.42383527756</v>
      </c>
    </row>
    <row r="2740" spans="12:13" x14ac:dyDescent="0.2">
      <c r="L2740" s="4">
        <v>2734</v>
      </c>
      <c r="M2740" s="21">
        <v>-15988.729547189912</v>
      </c>
    </row>
    <row r="2741" spans="12:13" x14ac:dyDescent="0.2">
      <c r="L2741" s="4">
        <v>2735</v>
      </c>
      <c r="M2741" s="21">
        <v>28068.353879579518</v>
      </c>
    </row>
    <row r="2742" spans="12:13" x14ac:dyDescent="0.2">
      <c r="L2742" s="4">
        <v>2736</v>
      </c>
      <c r="M2742" s="21">
        <v>99739.775948655995</v>
      </c>
    </row>
    <row r="2743" spans="12:13" x14ac:dyDescent="0.2">
      <c r="L2743" s="4">
        <v>2737</v>
      </c>
      <c r="M2743" s="21">
        <v>-91870.199715766197</v>
      </c>
    </row>
    <row r="2744" spans="12:13" x14ac:dyDescent="0.2">
      <c r="L2744" s="4">
        <v>2738</v>
      </c>
      <c r="M2744" s="21">
        <v>302746.8487653354</v>
      </c>
    </row>
    <row r="2745" spans="12:13" x14ac:dyDescent="0.2">
      <c r="L2745" s="4">
        <v>2739</v>
      </c>
      <c r="M2745" s="21">
        <v>38432.242178962915</v>
      </c>
    </row>
    <row r="2746" spans="12:13" x14ac:dyDescent="0.2">
      <c r="L2746" s="4">
        <v>2740</v>
      </c>
      <c r="M2746" s="21">
        <v>-79698.397679553789</v>
      </c>
    </row>
    <row r="2747" spans="12:13" x14ac:dyDescent="0.2">
      <c r="L2747" s="4">
        <v>2741</v>
      </c>
      <c r="M2747" s="21">
        <v>-201860.46959041883</v>
      </c>
    </row>
    <row r="2748" spans="12:13" x14ac:dyDescent="0.2">
      <c r="L2748" s="4">
        <v>2742</v>
      </c>
      <c r="M2748" s="21">
        <v>-214316.9300642864</v>
      </c>
    </row>
    <row r="2749" spans="12:13" x14ac:dyDescent="0.2">
      <c r="L2749" s="4">
        <v>2743</v>
      </c>
      <c r="M2749" s="21">
        <v>-62097.320128780004</v>
      </c>
    </row>
    <row r="2750" spans="12:13" x14ac:dyDescent="0.2">
      <c r="L2750" s="4">
        <v>2744</v>
      </c>
      <c r="M2750" s="21">
        <v>-124414.06440379786</v>
      </c>
    </row>
    <row r="2751" spans="12:13" x14ac:dyDescent="0.2">
      <c r="L2751" s="4">
        <v>2745</v>
      </c>
      <c r="M2751" s="21">
        <v>138621.38085207954</v>
      </c>
    </row>
    <row r="2752" spans="12:13" x14ac:dyDescent="0.2">
      <c r="L2752" s="4">
        <v>2746</v>
      </c>
      <c r="M2752" s="21">
        <v>296379.28514081019</v>
      </c>
    </row>
    <row r="2753" spans="12:13" x14ac:dyDescent="0.2">
      <c r="L2753" s="4">
        <v>2747</v>
      </c>
      <c r="M2753" s="21">
        <v>-102346.15504555982</v>
      </c>
    </row>
    <row r="2754" spans="12:13" x14ac:dyDescent="0.2">
      <c r="L2754" s="4">
        <v>2748</v>
      </c>
      <c r="M2754" s="21">
        <v>-144236.83474462564</v>
      </c>
    </row>
    <row r="2755" spans="12:13" x14ac:dyDescent="0.2">
      <c r="L2755" s="4">
        <v>2749</v>
      </c>
      <c r="M2755" s="21">
        <v>164683.0788784519</v>
      </c>
    </row>
    <row r="2756" spans="12:13" x14ac:dyDescent="0.2">
      <c r="L2756" s="4">
        <v>2750</v>
      </c>
      <c r="M2756" s="21">
        <v>-28012.509339084456</v>
      </c>
    </row>
    <row r="2757" spans="12:13" x14ac:dyDescent="0.2">
      <c r="L2757" s="4">
        <v>2751</v>
      </c>
      <c r="M2757" s="21">
        <v>-18492.598925238679</v>
      </c>
    </row>
    <row r="2758" spans="12:13" x14ac:dyDescent="0.2">
      <c r="L2758" s="4">
        <v>2752</v>
      </c>
      <c r="M2758" s="21">
        <v>-163161.81074297411</v>
      </c>
    </row>
    <row r="2759" spans="12:13" x14ac:dyDescent="0.2">
      <c r="L2759" s="4">
        <v>2753</v>
      </c>
      <c r="M2759" s="21">
        <v>144344.16483628823</v>
      </c>
    </row>
    <row r="2760" spans="12:13" x14ac:dyDescent="0.2">
      <c r="L2760" s="4">
        <v>2754</v>
      </c>
      <c r="M2760" s="21">
        <v>-74585.358401416554</v>
      </c>
    </row>
    <row r="2761" spans="12:13" x14ac:dyDescent="0.2">
      <c r="L2761" s="4">
        <v>2755</v>
      </c>
      <c r="M2761" s="21">
        <v>-186549.68869011034</v>
      </c>
    </row>
    <row r="2762" spans="12:13" x14ac:dyDescent="0.2">
      <c r="L2762" s="4">
        <v>2756</v>
      </c>
      <c r="M2762" s="21">
        <v>-387408.78480704501</v>
      </c>
    </row>
    <row r="2763" spans="12:13" x14ac:dyDescent="0.2">
      <c r="L2763" s="4">
        <v>2757</v>
      </c>
      <c r="M2763" s="21">
        <v>39688.846317414776</v>
      </c>
    </row>
    <row r="2764" spans="12:13" x14ac:dyDescent="0.2">
      <c r="L2764" s="4">
        <v>2758</v>
      </c>
      <c r="M2764" s="21">
        <v>-35965.556183815381</v>
      </c>
    </row>
    <row r="2765" spans="12:13" x14ac:dyDescent="0.2">
      <c r="L2765" s="4">
        <v>2759</v>
      </c>
      <c r="M2765" s="21">
        <v>-166155.65965906452</v>
      </c>
    </row>
    <row r="2766" spans="12:13" x14ac:dyDescent="0.2">
      <c r="L2766" s="4">
        <v>2760</v>
      </c>
      <c r="M2766" s="21">
        <v>69303.284183598385</v>
      </c>
    </row>
    <row r="2767" spans="12:13" x14ac:dyDescent="0.2">
      <c r="L2767" s="4">
        <v>2761</v>
      </c>
      <c r="M2767" s="21">
        <v>322202.31713429169</v>
      </c>
    </row>
    <row r="2768" spans="12:13" x14ac:dyDescent="0.2">
      <c r="L2768" s="4">
        <v>2762</v>
      </c>
      <c r="M2768" s="21">
        <v>-115888.38047780917</v>
      </c>
    </row>
    <row r="2769" spans="12:13" x14ac:dyDescent="0.2">
      <c r="L2769" s="4">
        <v>2763</v>
      </c>
      <c r="M2769" s="21">
        <v>41273.494211322482</v>
      </c>
    </row>
    <row r="2770" spans="12:13" x14ac:dyDescent="0.2">
      <c r="L2770" s="4">
        <v>2764</v>
      </c>
      <c r="M2770" s="21">
        <v>-67931.926485875607</v>
      </c>
    </row>
    <row r="2771" spans="12:13" x14ac:dyDescent="0.2">
      <c r="L2771" s="4">
        <v>2765</v>
      </c>
      <c r="M2771" s="21">
        <v>532174.91403307056</v>
      </c>
    </row>
    <row r="2772" spans="12:13" x14ac:dyDescent="0.2">
      <c r="L2772" s="4">
        <v>2766</v>
      </c>
      <c r="M2772" s="21">
        <v>374159.35977920494</v>
      </c>
    </row>
    <row r="2773" spans="12:13" x14ac:dyDescent="0.2">
      <c r="L2773" s="4">
        <v>2767</v>
      </c>
      <c r="M2773" s="21">
        <v>174913.2901502591</v>
      </c>
    </row>
    <row r="2774" spans="12:13" x14ac:dyDescent="0.2">
      <c r="L2774" s="4">
        <v>2768</v>
      </c>
      <c r="M2774" s="21">
        <v>146430.1726957144</v>
      </c>
    </row>
    <row r="2775" spans="12:13" x14ac:dyDescent="0.2">
      <c r="L2775" s="4">
        <v>2769</v>
      </c>
      <c r="M2775" s="21">
        <v>-34765.252969389243</v>
      </c>
    </row>
    <row r="2776" spans="12:13" x14ac:dyDescent="0.2">
      <c r="L2776" s="4">
        <v>2770</v>
      </c>
      <c r="M2776" s="21">
        <v>61319.504204675613</v>
      </c>
    </row>
    <row r="2777" spans="12:13" x14ac:dyDescent="0.2">
      <c r="L2777" s="4">
        <v>2771</v>
      </c>
      <c r="M2777" s="21">
        <v>180680.49577160022</v>
      </c>
    </row>
    <row r="2778" spans="12:13" x14ac:dyDescent="0.2">
      <c r="L2778" s="4">
        <v>2772</v>
      </c>
      <c r="M2778" s="21">
        <v>216102.19686618689</v>
      </c>
    </row>
    <row r="2779" spans="12:13" x14ac:dyDescent="0.2">
      <c r="L2779" s="4">
        <v>2773</v>
      </c>
      <c r="M2779" s="21">
        <v>-166969.97279381397</v>
      </c>
    </row>
    <row r="2780" spans="12:13" x14ac:dyDescent="0.2">
      <c r="L2780" s="4">
        <v>2774</v>
      </c>
      <c r="M2780" s="21">
        <v>171581.101711861</v>
      </c>
    </row>
    <row r="2781" spans="12:13" x14ac:dyDescent="0.2">
      <c r="L2781" s="4">
        <v>2775</v>
      </c>
      <c r="M2781" s="21">
        <v>304841.03749009443</v>
      </c>
    </row>
    <row r="2782" spans="12:13" x14ac:dyDescent="0.2">
      <c r="L2782" s="4">
        <v>2776</v>
      </c>
      <c r="M2782" s="21">
        <v>112314.25889814389</v>
      </c>
    </row>
    <row r="2783" spans="12:13" x14ac:dyDescent="0.2">
      <c r="L2783" s="4">
        <v>2777</v>
      </c>
      <c r="M2783" s="21">
        <v>-424076.01185106975</v>
      </c>
    </row>
    <row r="2784" spans="12:13" x14ac:dyDescent="0.2">
      <c r="L2784" s="4">
        <v>2778</v>
      </c>
      <c r="M2784" s="21">
        <v>-284356.95870547171</v>
      </c>
    </row>
    <row r="2785" spans="12:13" x14ac:dyDescent="0.2">
      <c r="L2785" s="4">
        <v>2779</v>
      </c>
      <c r="M2785" s="21">
        <v>-209933.95413689129</v>
      </c>
    </row>
    <row r="2786" spans="12:13" x14ac:dyDescent="0.2">
      <c r="L2786" s="4">
        <v>2780</v>
      </c>
      <c r="M2786" s="21">
        <v>149229.87410584732</v>
      </c>
    </row>
    <row r="2787" spans="12:13" x14ac:dyDescent="0.2">
      <c r="L2787" s="4">
        <v>2781</v>
      </c>
      <c r="M2787" s="21">
        <v>-72628.806384658252</v>
      </c>
    </row>
    <row r="2788" spans="12:13" x14ac:dyDescent="0.2">
      <c r="L2788" s="4">
        <v>2782</v>
      </c>
      <c r="M2788" s="21">
        <v>-105637.91848855575</v>
      </c>
    </row>
    <row r="2789" spans="12:13" x14ac:dyDescent="0.2">
      <c r="L2789" s="4">
        <v>2783</v>
      </c>
      <c r="M2789" s="21">
        <v>-44111.104668446613</v>
      </c>
    </row>
    <row r="2790" spans="12:13" x14ac:dyDescent="0.2">
      <c r="L2790" s="4">
        <v>2784</v>
      </c>
      <c r="M2790" s="21">
        <v>-458527.29678144201</v>
      </c>
    </row>
    <row r="2791" spans="12:13" x14ac:dyDescent="0.2">
      <c r="L2791" s="4">
        <v>2785</v>
      </c>
      <c r="M2791" s="21">
        <v>32356.560888240114</v>
      </c>
    </row>
    <row r="2792" spans="12:13" x14ac:dyDescent="0.2">
      <c r="L2792" s="4">
        <v>2786</v>
      </c>
      <c r="M2792" s="21">
        <v>206572.57492335772</v>
      </c>
    </row>
    <row r="2793" spans="12:13" x14ac:dyDescent="0.2">
      <c r="L2793" s="4">
        <v>2787</v>
      </c>
      <c r="M2793" s="21">
        <v>220179.28599864722</v>
      </c>
    </row>
    <row r="2794" spans="12:13" x14ac:dyDescent="0.2">
      <c r="L2794" s="4">
        <v>2788</v>
      </c>
      <c r="M2794" s="21">
        <v>-38397.258815696725</v>
      </c>
    </row>
    <row r="2795" spans="12:13" x14ac:dyDescent="0.2">
      <c r="L2795" s="4">
        <v>2789</v>
      </c>
      <c r="M2795" s="21">
        <v>27772.465608330414</v>
      </c>
    </row>
    <row r="2796" spans="12:13" x14ac:dyDescent="0.2">
      <c r="L2796" s="4">
        <v>2790</v>
      </c>
      <c r="M2796" s="21">
        <v>252583.9466451529</v>
      </c>
    </row>
    <row r="2797" spans="12:13" x14ac:dyDescent="0.2">
      <c r="L2797" s="4">
        <v>2791</v>
      </c>
      <c r="M2797" s="21">
        <v>358023.32609201025</v>
      </c>
    </row>
    <row r="2798" spans="12:13" x14ac:dyDescent="0.2">
      <c r="L2798" s="4">
        <v>2792</v>
      </c>
      <c r="M2798" s="21">
        <v>556904.6013986771</v>
      </c>
    </row>
    <row r="2799" spans="12:13" x14ac:dyDescent="0.2">
      <c r="L2799" s="4">
        <v>2793</v>
      </c>
      <c r="M2799" s="21">
        <v>263080.12535832229</v>
      </c>
    </row>
    <row r="2800" spans="12:13" x14ac:dyDescent="0.2">
      <c r="L2800" s="4">
        <v>2794</v>
      </c>
      <c r="M2800" s="21">
        <v>-11924.472097866164</v>
      </c>
    </row>
    <row r="2801" spans="12:13" x14ac:dyDescent="0.2">
      <c r="L2801" s="4">
        <v>2795</v>
      </c>
      <c r="M2801" s="21">
        <v>362026.44876351079</v>
      </c>
    </row>
    <row r="2802" spans="12:13" x14ac:dyDescent="0.2">
      <c r="L2802" s="4">
        <v>2796</v>
      </c>
      <c r="M2802" s="21">
        <v>-112374.43247700256</v>
      </c>
    </row>
    <row r="2803" spans="12:13" x14ac:dyDescent="0.2">
      <c r="L2803" s="4">
        <v>2797</v>
      </c>
      <c r="M2803" s="21">
        <v>-81690.994904803258</v>
      </c>
    </row>
    <row r="2804" spans="12:13" x14ac:dyDescent="0.2">
      <c r="L2804" s="4">
        <v>2798</v>
      </c>
      <c r="M2804" s="21">
        <v>108331.77231518022</v>
      </c>
    </row>
    <row r="2805" spans="12:13" x14ac:dyDescent="0.2">
      <c r="L2805" s="4">
        <v>2799</v>
      </c>
      <c r="M2805" s="21">
        <v>-7519.1123954982904</v>
      </c>
    </row>
    <row r="2806" spans="12:13" x14ac:dyDescent="0.2">
      <c r="L2806" s="4">
        <v>2800</v>
      </c>
      <c r="M2806" s="21">
        <v>27852.115832241834</v>
      </c>
    </row>
    <row r="2807" spans="12:13" x14ac:dyDescent="0.2">
      <c r="L2807" s="4">
        <v>2801</v>
      </c>
      <c r="M2807" s="21">
        <v>-129233.15567119796</v>
      </c>
    </row>
    <row r="2808" spans="12:13" x14ac:dyDescent="0.2">
      <c r="L2808" s="4">
        <v>2802</v>
      </c>
      <c r="M2808" s="21">
        <v>57468.224112689204</v>
      </c>
    </row>
    <row r="2809" spans="12:13" x14ac:dyDescent="0.2">
      <c r="L2809" s="4">
        <v>2803</v>
      </c>
      <c r="M2809" s="21">
        <v>62119.820691239322</v>
      </c>
    </row>
    <row r="2810" spans="12:13" x14ac:dyDescent="0.2">
      <c r="L2810" s="4">
        <v>2804</v>
      </c>
      <c r="M2810" s="21">
        <v>-103351.20257255902</v>
      </c>
    </row>
    <row r="2811" spans="12:13" x14ac:dyDescent="0.2">
      <c r="L2811" s="4">
        <v>2805</v>
      </c>
      <c r="M2811" s="21">
        <v>447231.06579108292</v>
      </c>
    </row>
    <row r="2812" spans="12:13" x14ac:dyDescent="0.2">
      <c r="L2812" s="4">
        <v>2806</v>
      </c>
      <c r="M2812" s="21">
        <v>57042.78622441995</v>
      </c>
    </row>
    <row r="2813" spans="12:13" x14ac:dyDescent="0.2">
      <c r="L2813" s="4">
        <v>2807</v>
      </c>
      <c r="M2813" s="21">
        <v>110509.06366587145</v>
      </c>
    </row>
    <row r="2814" spans="12:13" x14ac:dyDescent="0.2">
      <c r="L2814" s="4">
        <v>2808</v>
      </c>
      <c r="M2814" s="21">
        <v>285330.02544765169</v>
      </c>
    </row>
    <row r="2815" spans="12:13" x14ac:dyDescent="0.2">
      <c r="L2815" s="4">
        <v>2809</v>
      </c>
      <c r="M2815" s="21">
        <v>326675.08910980716</v>
      </c>
    </row>
    <row r="2816" spans="12:13" x14ac:dyDescent="0.2">
      <c r="L2816" s="4">
        <v>2810</v>
      </c>
      <c r="M2816" s="21">
        <v>52152.023253987805</v>
      </c>
    </row>
    <row r="2817" spans="12:13" x14ac:dyDescent="0.2">
      <c r="L2817" s="4">
        <v>2811</v>
      </c>
      <c r="M2817" s="21">
        <v>338610.24997746944</v>
      </c>
    </row>
    <row r="2818" spans="12:13" x14ac:dyDescent="0.2">
      <c r="L2818" s="4">
        <v>2812</v>
      </c>
      <c r="M2818" s="21">
        <v>-172109.53520874179</v>
      </c>
    </row>
    <row r="2819" spans="12:13" x14ac:dyDescent="0.2">
      <c r="L2819" s="4">
        <v>2813</v>
      </c>
      <c r="M2819" s="21">
        <v>-27575.984046310201</v>
      </c>
    </row>
    <row r="2820" spans="12:13" x14ac:dyDescent="0.2">
      <c r="L2820" s="4">
        <v>2814</v>
      </c>
      <c r="M2820" s="21">
        <v>40724.266839048069</v>
      </c>
    </row>
    <row r="2821" spans="12:13" x14ac:dyDescent="0.2">
      <c r="L2821" s="4">
        <v>2815</v>
      </c>
      <c r="M2821" s="21">
        <v>239356.66072290973</v>
      </c>
    </row>
    <row r="2822" spans="12:13" x14ac:dyDescent="0.2">
      <c r="L2822" s="4">
        <v>2816</v>
      </c>
      <c r="M2822" s="21">
        <v>-112462.99723644355</v>
      </c>
    </row>
    <row r="2823" spans="12:13" x14ac:dyDescent="0.2">
      <c r="L2823" s="4">
        <v>2817</v>
      </c>
      <c r="M2823" s="21">
        <v>-158493.33944290486</v>
      </c>
    </row>
    <row r="2824" spans="12:13" x14ac:dyDescent="0.2">
      <c r="L2824" s="4">
        <v>2818</v>
      </c>
      <c r="M2824" s="21">
        <v>-270894.75164533261</v>
      </c>
    </row>
    <row r="2825" spans="12:13" x14ac:dyDescent="0.2">
      <c r="L2825" s="4">
        <v>2819</v>
      </c>
      <c r="M2825" s="21">
        <v>-68919.316065667488</v>
      </c>
    </row>
    <row r="2826" spans="12:13" x14ac:dyDescent="0.2">
      <c r="L2826" s="4">
        <v>2820</v>
      </c>
      <c r="M2826" s="21">
        <v>-160510.85461570532</v>
      </c>
    </row>
    <row r="2827" spans="12:13" x14ac:dyDescent="0.2">
      <c r="L2827" s="4">
        <v>2821</v>
      </c>
      <c r="M2827" s="21">
        <v>265984.14126145816</v>
      </c>
    </row>
    <row r="2828" spans="12:13" x14ac:dyDescent="0.2">
      <c r="L2828" s="4">
        <v>2822</v>
      </c>
      <c r="M2828" s="21">
        <v>3071.1076035095612</v>
      </c>
    </row>
    <row r="2829" spans="12:13" x14ac:dyDescent="0.2">
      <c r="L2829" s="4">
        <v>2823</v>
      </c>
      <c r="M2829" s="21">
        <v>-5892.5358414846123</v>
      </c>
    </row>
    <row r="2830" spans="12:13" x14ac:dyDescent="0.2">
      <c r="L2830" s="4">
        <v>2824</v>
      </c>
      <c r="M2830" s="21">
        <v>-316933.96134890232</v>
      </c>
    </row>
    <row r="2831" spans="12:13" x14ac:dyDescent="0.2">
      <c r="L2831" s="4">
        <v>2825</v>
      </c>
      <c r="M2831" s="21">
        <v>397320.7734619414</v>
      </c>
    </row>
    <row r="2832" spans="12:13" x14ac:dyDescent="0.2">
      <c r="L2832" s="4">
        <v>2826</v>
      </c>
      <c r="M2832" s="21">
        <v>-424392.00525608496</v>
      </c>
    </row>
    <row r="2833" spans="12:13" x14ac:dyDescent="0.2">
      <c r="L2833" s="4">
        <v>2827</v>
      </c>
      <c r="M2833" s="21">
        <v>173637.89249873775</v>
      </c>
    </row>
    <row r="2834" spans="12:13" x14ac:dyDescent="0.2">
      <c r="L2834" s="4">
        <v>2828</v>
      </c>
      <c r="M2834" s="21">
        <v>-198417.75255439125</v>
      </c>
    </row>
    <row r="2835" spans="12:13" x14ac:dyDescent="0.2">
      <c r="L2835" s="4">
        <v>2829</v>
      </c>
      <c r="M2835" s="21">
        <v>-194687.06849090019</v>
      </c>
    </row>
    <row r="2836" spans="12:13" x14ac:dyDescent="0.2">
      <c r="L2836" s="4">
        <v>2830</v>
      </c>
      <c r="M2836" s="21">
        <v>132295.68144343677</v>
      </c>
    </row>
    <row r="2837" spans="12:13" x14ac:dyDescent="0.2">
      <c r="L2837" s="4">
        <v>2831</v>
      </c>
      <c r="M2837" s="21">
        <v>-17370.168842899729</v>
      </c>
    </row>
    <row r="2838" spans="12:13" x14ac:dyDescent="0.2">
      <c r="L2838" s="4">
        <v>2832</v>
      </c>
      <c r="M2838" s="21">
        <v>-148469.34929935643</v>
      </c>
    </row>
    <row r="2839" spans="12:13" x14ac:dyDescent="0.2">
      <c r="L2839" s="4">
        <v>2833</v>
      </c>
      <c r="M2839" s="21">
        <v>325090.02757819084</v>
      </c>
    </row>
    <row r="2840" spans="12:13" x14ac:dyDescent="0.2">
      <c r="L2840" s="4">
        <v>2834</v>
      </c>
      <c r="M2840" s="21">
        <v>275317.95585489267</v>
      </c>
    </row>
    <row r="2841" spans="12:13" x14ac:dyDescent="0.2">
      <c r="L2841" s="4">
        <v>2835</v>
      </c>
      <c r="M2841" s="21">
        <v>110802.12289060649</v>
      </c>
    </row>
    <row r="2842" spans="12:13" x14ac:dyDescent="0.2">
      <c r="L2842" s="4">
        <v>2836</v>
      </c>
      <c r="M2842" s="21">
        <v>-222664.37026926217</v>
      </c>
    </row>
    <row r="2843" spans="12:13" x14ac:dyDescent="0.2">
      <c r="L2843" s="4">
        <v>2837</v>
      </c>
      <c r="M2843" s="21">
        <v>-44974.104682944075</v>
      </c>
    </row>
    <row r="2844" spans="12:13" x14ac:dyDescent="0.2">
      <c r="L2844" s="4">
        <v>2838</v>
      </c>
      <c r="M2844" s="21">
        <v>-496.79875861830078</v>
      </c>
    </row>
    <row r="2845" spans="12:13" x14ac:dyDescent="0.2">
      <c r="L2845" s="4">
        <v>2839</v>
      </c>
      <c r="M2845" s="21">
        <v>254816.31620228142</v>
      </c>
    </row>
    <row r="2846" spans="12:13" x14ac:dyDescent="0.2">
      <c r="L2846" s="4">
        <v>2840</v>
      </c>
      <c r="M2846" s="21">
        <v>81062.525926356291</v>
      </c>
    </row>
    <row r="2847" spans="12:13" x14ac:dyDescent="0.2">
      <c r="L2847" s="4">
        <v>2841</v>
      </c>
      <c r="M2847" s="21">
        <v>-275758.38353737793</v>
      </c>
    </row>
    <row r="2848" spans="12:13" x14ac:dyDescent="0.2">
      <c r="L2848" s="4">
        <v>2842</v>
      </c>
      <c r="M2848" s="21">
        <v>-250853.36483644356</v>
      </c>
    </row>
    <row r="2849" spans="12:13" x14ac:dyDescent="0.2">
      <c r="L2849" s="4">
        <v>2843</v>
      </c>
      <c r="M2849" s="21">
        <v>-281744.81276347488</v>
      </c>
    </row>
    <row r="2850" spans="12:13" x14ac:dyDescent="0.2">
      <c r="L2850" s="4">
        <v>2844</v>
      </c>
      <c r="M2850" s="21">
        <v>213338.84975755349</v>
      </c>
    </row>
    <row r="2851" spans="12:13" x14ac:dyDescent="0.2">
      <c r="L2851" s="4">
        <v>2845</v>
      </c>
      <c r="M2851" s="21">
        <v>164007.26319678145</v>
      </c>
    </row>
    <row r="2852" spans="12:13" x14ac:dyDescent="0.2">
      <c r="L2852" s="4">
        <v>2846</v>
      </c>
      <c r="M2852" s="21">
        <v>-284548.54622251925</v>
      </c>
    </row>
    <row r="2853" spans="12:13" x14ac:dyDescent="0.2">
      <c r="L2853" s="4">
        <v>2847</v>
      </c>
      <c r="M2853" s="21">
        <v>-73116.692059744237</v>
      </c>
    </row>
    <row r="2854" spans="12:13" x14ac:dyDescent="0.2">
      <c r="L2854" s="4">
        <v>2848</v>
      </c>
      <c r="M2854" s="21">
        <v>354366.51744176552</v>
      </c>
    </row>
    <row r="2855" spans="12:13" x14ac:dyDescent="0.2">
      <c r="L2855" s="4">
        <v>2849</v>
      </c>
      <c r="M2855" s="21">
        <v>-260537.7882110909</v>
      </c>
    </row>
    <row r="2856" spans="12:13" x14ac:dyDescent="0.2">
      <c r="L2856" s="4">
        <v>2850</v>
      </c>
      <c r="M2856" s="21">
        <v>-265102.89767562551</v>
      </c>
    </row>
    <row r="2857" spans="12:13" x14ac:dyDescent="0.2">
      <c r="L2857" s="4">
        <v>2851</v>
      </c>
      <c r="M2857" s="21">
        <v>-164966.02633592178</v>
      </c>
    </row>
    <row r="2858" spans="12:13" x14ac:dyDescent="0.2">
      <c r="L2858" s="4">
        <v>2852</v>
      </c>
      <c r="M2858" s="21">
        <v>151161.67334300355</v>
      </c>
    </row>
    <row r="2859" spans="12:13" x14ac:dyDescent="0.2">
      <c r="L2859" s="4">
        <v>2853</v>
      </c>
      <c r="M2859" s="21">
        <v>217053.27387501384</v>
      </c>
    </row>
    <row r="2860" spans="12:13" x14ac:dyDescent="0.2">
      <c r="L2860" s="4">
        <v>2854</v>
      </c>
      <c r="M2860" s="21">
        <v>-294828.20551564021</v>
      </c>
    </row>
    <row r="2861" spans="12:13" x14ac:dyDescent="0.2">
      <c r="L2861" s="4">
        <v>2855</v>
      </c>
      <c r="M2861" s="21">
        <v>-257868.15946254448</v>
      </c>
    </row>
    <row r="2862" spans="12:13" x14ac:dyDescent="0.2">
      <c r="L2862" s="4">
        <v>2856</v>
      </c>
      <c r="M2862" s="21">
        <v>62268.35737818107</v>
      </c>
    </row>
    <row r="2863" spans="12:13" x14ac:dyDescent="0.2">
      <c r="L2863" s="4">
        <v>2857</v>
      </c>
      <c r="M2863" s="21">
        <v>46414.203063904657</v>
      </c>
    </row>
    <row r="2864" spans="12:13" x14ac:dyDescent="0.2">
      <c r="L2864" s="4">
        <v>2858</v>
      </c>
      <c r="M2864" s="21">
        <v>-293350.08216889831</v>
      </c>
    </row>
    <row r="2865" spans="12:13" x14ac:dyDescent="0.2">
      <c r="L2865" s="4">
        <v>2859</v>
      </c>
      <c r="M2865" s="21">
        <v>-141847.8134931598</v>
      </c>
    </row>
    <row r="2866" spans="12:13" x14ac:dyDescent="0.2">
      <c r="L2866" s="4">
        <v>2860</v>
      </c>
      <c r="M2866" s="21">
        <v>72056.246306398476</v>
      </c>
    </row>
    <row r="2867" spans="12:13" x14ac:dyDescent="0.2">
      <c r="L2867" s="4">
        <v>2861</v>
      </c>
      <c r="M2867" s="21">
        <v>-108900.45695141524</v>
      </c>
    </row>
    <row r="2868" spans="12:13" x14ac:dyDescent="0.2">
      <c r="L2868" s="4">
        <v>2862</v>
      </c>
      <c r="M2868" s="21">
        <v>31191.495612633822</v>
      </c>
    </row>
    <row r="2869" spans="12:13" x14ac:dyDescent="0.2">
      <c r="L2869" s="4">
        <v>2863</v>
      </c>
      <c r="M2869" s="21">
        <v>140305.73252162352</v>
      </c>
    </row>
    <row r="2870" spans="12:13" x14ac:dyDescent="0.2">
      <c r="L2870" s="4">
        <v>2864</v>
      </c>
      <c r="M2870" s="21">
        <v>-141762.30391931126</v>
      </c>
    </row>
    <row r="2871" spans="12:13" x14ac:dyDescent="0.2">
      <c r="L2871" s="4">
        <v>2865</v>
      </c>
      <c r="M2871" s="21">
        <v>80933.25837346082</v>
      </c>
    </row>
    <row r="2872" spans="12:13" x14ac:dyDescent="0.2">
      <c r="L2872" s="4">
        <v>2866</v>
      </c>
      <c r="M2872" s="21">
        <v>134042.19886549134</v>
      </c>
    </row>
    <row r="2873" spans="12:13" x14ac:dyDescent="0.2">
      <c r="L2873" s="4">
        <v>2867</v>
      </c>
      <c r="M2873" s="21">
        <v>45466.31946201768</v>
      </c>
    </row>
    <row r="2874" spans="12:13" x14ac:dyDescent="0.2">
      <c r="L2874" s="4">
        <v>2868</v>
      </c>
      <c r="M2874" s="21">
        <v>118964.78830508215</v>
      </c>
    </row>
    <row r="2875" spans="12:13" x14ac:dyDescent="0.2">
      <c r="L2875" s="4">
        <v>2869</v>
      </c>
      <c r="M2875" s="21">
        <v>-113.34533723992354</v>
      </c>
    </row>
    <row r="2876" spans="12:13" x14ac:dyDescent="0.2">
      <c r="L2876" s="4">
        <v>2870</v>
      </c>
      <c r="M2876" s="21">
        <v>240866.3107621113</v>
      </c>
    </row>
    <row r="2877" spans="12:13" x14ac:dyDescent="0.2">
      <c r="L2877" s="4">
        <v>2871</v>
      </c>
      <c r="M2877" s="21">
        <v>-12102.766746601439</v>
      </c>
    </row>
    <row r="2878" spans="12:13" x14ac:dyDescent="0.2">
      <c r="L2878" s="4">
        <v>2872</v>
      </c>
      <c r="M2878" s="21">
        <v>-23749.142636246557</v>
      </c>
    </row>
    <row r="2879" spans="12:13" x14ac:dyDescent="0.2">
      <c r="L2879" s="4">
        <v>2873</v>
      </c>
      <c r="M2879" s="21">
        <v>120068.01734395928</v>
      </c>
    </row>
    <row r="2880" spans="12:13" x14ac:dyDescent="0.2">
      <c r="L2880" s="4">
        <v>2874</v>
      </c>
      <c r="M2880" s="21">
        <v>46891.181532508839</v>
      </c>
    </row>
    <row r="2881" spans="12:13" x14ac:dyDescent="0.2">
      <c r="L2881" s="4">
        <v>2875</v>
      </c>
      <c r="M2881" s="21">
        <v>-36282.935732790123</v>
      </c>
    </row>
    <row r="2882" spans="12:13" x14ac:dyDescent="0.2">
      <c r="L2882" s="4">
        <v>2876</v>
      </c>
      <c r="M2882" s="21">
        <v>145271.42617987827</v>
      </c>
    </row>
    <row r="2883" spans="12:13" x14ac:dyDescent="0.2">
      <c r="L2883" s="4">
        <v>2877</v>
      </c>
      <c r="M2883" s="21">
        <v>-129856.19212848083</v>
      </c>
    </row>
    <row r="2884" spans="12:13" x14ac:dyDescent="0.2">
      <c r="L2884" s="4">
        <v>2878</v>
      </c>
      <c r="M2884" s="21">
        <v>-86726.17137913777</v>
      </c>
    </row>
    <row r="2885" spans="12:13" x14ac:dyDescent="0.2">
      <c r="L2885" s="4">
        <v>2879</v>
      </c>
      <c r="M2885" s="21">
        <v>-407098.08662559459</v>
      </c>
    </row>
    <row r="2886" spans="12:13" x14ac:dyDescent="0.2">
      <c r="L2886" s="4">
        <v>2880</v>
      </c>
      <c r="M2886" s="21">
        <v>-110745.75520830123</v>
      </c>
    </row>
    <row r="2887" spans="12:13" x14ac:dyDescent="0.2">
      <c r="L2887" s="4">
        <v>2881</v>
      </c>
      <c r="M2887" s="21">
        <v>-215430.5941717301</v>
      </c>
    </row>
    <row r="2888" spans="12:13" x14ac:dyDescent="0.2">
      <c r="L2888" s="4">
        <v>2882</v>
      </c>
      <c r="M2888" s="21">
        <v>-2579.555277497755</v>
      </c>
    </row>
    <row r="2889" spans="12:13" x14ac:dyDescent="0.2">
      <c r="L2889" s="4">
        <v>2883</v>
      </c>
      <c r="M2889" s="21">
        <v>-223286.77414705203</v>
      </c>
    </row>
    <row r="2890" spans="12:13" x14ac:dyDescent="0.2">
      <c r="L2890" s="4">
        <v>2884</v>
      </c>
      <c r="M2890" s="21">
        <v>-14627.428122918704</v>
      </c>
    </row>
    <row r="2891" spans="12:13" x14ac:dyDescent="0.2">
      <c r="L2891" s="4">
        <v>2885</v>
      </c>
      <c r="M2891" s="21">
        <v>255934.24965103067</v>
      </c>
    </row>
    <row r="2892" spans="12:13" x14ac:dyDescent="0.2">
      <c r="L2892" s="4">
        <v>2886</v>
      </c>
      <c r="M2892" s="21">
        <v>-23061.278521271015</v>
      </c>
    </row>
    <row r="2893" spans="12:13" x14ac:dyDescent="0.2">
      <c r="L2893" s="4">
        <v>2887</v>
      </c>
      <c r="M2893" s="21">
        <v>-223439.53515106457</v>
      </c>
    </row>
    <row r="2894" spans="12:13" x14ac:dyDescent="0.2">
      <c r="L2894" s="4">
        <v>2888</v>
      </c>
      <c r="M2894" s="21">
        <v>-109516.50315375035</v>
      </c>
    </row>
    <row r="2895" spans="12:13" x14ac:dyDescent="0.2">
      <c r="L2895" s="4">
        <v>2889</v>
      </c>
      <c r="M2895" s="21">
        <v>-44001.20863576018</v>
      </c>
    </row>
    <row r="2896" spans="12:13" x14ac:dyDescent="0.2">
      <c r="L2896" s="4">
        <v>2890</v>
      </c>
      <c r="M2896" s="21">
        <v>429929.39368104329</v>
      </c>
    </row>
    <row r="2897" spans="12:13" x14ac:dyDescent="0.2">
      <c r="L2897" s="4">
        <v>2891</v>
      </c>
      <c r="M2897" s="21">
        <v>346169.40773554146</v>
      </c>
    </row>
    <row r="2898" spans="12:13" x14ac:dyDescent="0.2">
      <c r="L2898" s="4">
        <v>2892</v>
      </c>
      <c r="M2898" s="21">
        <v>272436.26887564821</v>
      </c>
    </row>
    <row r="2899" spans="12:13" x14ac:dyDescent="0.2">
      <c r="L2899" s="4">
        <v>2893</v>
      </c>
      <c r="M2899" s="21">
        <v>-181483.1913798282</v>
      </c>
    </row>
    <row r="2900" spans="12:13" x14ac:dyDescent="0.2">
      <c r="L2900" s="4">
        <v>2894</v>
      </c>
      <c r="M2900" s="21">
        <v>2185.186364183377</v>
      </c>
    </row>
    <row r="2901" spans="12:13" x14ac:dyDescent="0.2">
      <c r="L2901" s="4">
        <v>2895</v>
      </c>
      <c r="M2901" s="21">
        <v>-84051.027548354628</v>
      </c>
    </row>
    <row r="2902" spans="12:13" x14ac:dyDescent="0.2">
      <c r="L2902" s="4">
        <v>2896</v>
      </c>
      <c r="M2902" s="21">
        <v>2105.895485476387</v>
      </c>
    </row>
    <row r="2903" spans="12:13" x14ac:dyDescent="0.2">
      <c r="L2903" s="4">
        <v>2897</v>
      </c>
      <c r="M2903" s="21">
        <v>-199522.18464051263</v>
      </c>
    </row>
    <row r="2904" spans="12:13" x14ac:dyDescent="0.2">
      <c r="L2904" s="4">
        <v>2898</v>
      </c>
      <c r="M2904" s="21">
        <v>22659.919159958634</v>
      </c>
    </row>
    <row r="2905" spans="12:13" x14ac:dyDescent="0.2">
      <c r="L2905" s="4">
        <v>2899</v>
      </c>
      <c r="M2905" s="21">
        <v>22760.721850087401</v>
      </c>
    </row>
    <row r="2906" spans="12:13" x14ac:dyDescent="0.2">
      <c r="L2906" s="4">
        <v>2900</v>
      </c>
      <c r="M2906" s="21">
        <v>-199702.43181350135</v>
      </c>
    </row>
    <row r="2907" spans="12:13" x14ac:dyDescent="0.2">
      <c r="L2907" s="4">
        <v>2901</v>
      </c>
      <c r="M2907" s="21">
        <v>121908.75040460564</v>
      </c>
    </row>
    <row r="2908" spans="12:13" x14ac:dyDescent="0.2">
      <c r="L2908" s="4">
        <v>2902</v>
      </c>
      <c r="M2908" s="21">
        <v>-11117.80019185954</v>
      </c>
    </row>
    <row r="2909" spans="12:13" x14ac:dyDescent="0.2">
      <c r="L2909" s="4">
        <v>2903</v>
      </c>
      <c r="M2909" s="21">
        <v>-40296.222078365201</v>
      </c>
    </row>
    <row r="2910" spans="12:13" x14ac:dyDescent="0.2">
      <c r="L2910" s="4">
        <v>2904</v>
      </c>
      <c r="M2910" s="21">
        <v>113912.35731808378</v>
      </c>
    </row>
    <row r="2911" spans="12:13" x14ac:dyDescent="0.2">
      <c r="L2911" s="4">
        <v>2905</v>
      </c>
      <c r="M2911" s="21">
        <v>161921.24044139285</v>
      </c>
    </row>
    <row r="2912" spans="12:13" x14ac:dyDescent="0.2">
      <c r="L2912" s="4">
        <v>2906</v>
      </c>
      <c r="M2912" s="21">
        <v>120278.71865706838</v>
      </c>
    </row>
    <row r="2913" spans="12:13" x14ac:dyDescent="0.2">
      <c r="L2913" s="4">
        <v>2907</v>
      </c>
      <c r="M2913" s="21">
        <v>-101858.28494929317</v>
      </c>
    </row>
    <row r="2914" spans="12:13" x14ac:dyDescent="0.2">
      <c r="L2914" s="4">
        <v>2908</v>
      </c>
      <c r="M2914" s="21">
        <v>171882.04832373673</v>
      </c>
    </row>
    <row r="2915" spans="12:13" x14ac:dyDescent="0.2">
      <c r="L2915" s="4">
        <v>2909</v>
      </c>
      <c r="M2915" s="21">
        <v>-23062.984904668177</v>
      </c>
    </row>
    <row r="2916" spans="12:13" x14ac:dyDescent="0.2">
      <c r="L2916" s="4">
        <v>2910</v>
      </c>
      <c r="M2916" s="21">
        <v>208669.48991042891</v>
      </c>
    </row>
    <row r="2917" spans="12:13" x14ac:dyDescent="0.2">
      <c r="L2917" s="4">
        <v>2911</v>
      </c>
      <c r="M2917" s="21">
        <v>-367942.56627375417</v>
      </c>
    </row>
    <row r="2918" spans="12:13" x14ac:dyDescent="0.2">
      <c r="L2918" s="4">
        <v>2912</v>
      </c>
      <c r="M2918" s="21">
        <v>396808.00177106424</v>
      </c>
    </row>
    <row r="2919" spans="12:13" x14ac:dyDescent="0.2">
      <c r="L2919" s="4">
        <v>2913</v>
      </c>
      <c r="M2919" s="21">
        <v>-62504.499409938609</v>
      </c>
    </row>
    <row r="2920" spans="12:13" x14ac:dyDescent="0.2">
      <c r="L2920" s="4">
        <v>2914</v>
      </c>
      <c r="M2920" s="21">
        <v>-388375.49262071506</v>
      </c>
    </row>
    <row r="2921" spans="12:13" x14ac:dyDescent="0.2">
      <c r="L2921" s="4">
        <v>2915</v>
      </c>
      <c r="M2921" s="21">
        <v>22027.072679222503</v>
      </c>
    </row>
    <row r="2922" spans="12:13" x14ac:dyDescent="0.2">
      <c r="L2922" s="4">
        <v>2916</v>
      </c>
      <c r="M2922" s="21">
        <v>10536.442345877091</v>
      </c>
    </row>
    <row r="2923" spans="12:13" x14ac:dyDescent="0.2">
      <c r="L2923" s="4">
        <v>2917</v>
      </c>
      <c r="M2923" s="21">
        <v>-37500.862507596408</v>
      </c>
    </row>
    <row r="2924" spans="12:13" x14ac:dyDescent="0.2">
      <c r="L2924" s="4">
        <v>2918</v>
      </c>
      <c r="M2924" s="21">
        <v>-184212.00284351426</v>
      </c>
    </row>
    <row r="2925" spans="12:13" x14ac:dyDescent="0.2">
      <c r="L2925" s="4">
        <v>2919</v>
      </c>
      <c r="M2925" s="21">
        <v>-97482.916502447013</v>
      </c>
    </row>
    <row r="2926" spans="12:13" x14ac:dyDescent="0.2">
      <c r="L2926" s="4">
        <v>2920</v>
      </c>
      <c r="M2926" s="21">
        <v>74945.334904645337</v>
      </c>
    </row>
    <row r="2927" spans="12:13" x14ac:dyDescent="0.2">
      <c r="L2927" s="4">
        <v>2921</v>
      </c>
      <c r="M2927" s="21">
        <v>48990.795366373059</v>
      </c>
    </row>
    <row r="2928" spans="12:13" x14ac:dyDescent="0.2">
      <c r="L2928" s="4">
        <v>2922</v>
      </c>
      <c r="M2928" s="21">
        <v>-241936.62074262556</v>
      </c>
    </row>
    <row r="2929" spans="12:13" x14ac:dyDescent="0.2">
      <c r="L2929" s="4">
        <v>2923</v>
      </c>
      <c r="M2929" s="21">
        <v>-48871.890748192352</v>
      </c>
    </row>
    <row r="2930" spans="12:13" x14ac:dyDescent="0.2">
      <c r="L2930" s="4">
        <v>2924</v>
      </c>
      <c r="M2930" s="21">
        <v>710877.15197081445</v>
      </c>
    </row>
    <row r="2931" spans="12:13" x14ac:dyDescent="0.2">
      <c r="L2931" s="4">
        <v>2925</v>
      </c>
      <c r="M2931" s="21">
        <v>-106356.22026572649</v>
      </c>
    </row>
    <row r="2932" spans="12:13" x14ac:dyDescent="0.2">
      <c r="L2932" s="4">
        <v>2926</v>
      </c>
      <c r="M2932" s="21">
        <v>-346949.90367662779</v>
      </c>
    </row>
    <row r="2933" spans="12:13" x14ac:dyDescent="0.2">
      <c r="L2933" s="4">
        <v>2927</v>
      </c>
      <c r="M2933" s="21">
        <v>70316.421483324695</v>
      </c>
    </row>
    <row r="2934" spans="12:13" x14ac:dyDescent="0.2">
      <c r="L2934" s="4">
        <v>2928</v>
      </c>
      <c r="M2934" s="21">
        <v>24378.993506032741</v>
      </c>
    </row>
    <row r="2935" spans="12:13" x14ac:dyDescent="0.2">
      <c r="L2935" s="4">
        <v>2929</v>
      </c>
      <c r="M2935" s="21">
        <v>169757.87408777556</v>
      </c>
    </row>
    <row r="2936" spans="12:13" x14ac:dyDescent="0.2">
      <c r="L2936" s="4">
        <v>2930</v>
      </c>
      <c r="M2936" s="21">
        <v>24966.27200385672</v>
      </c>
    </row>
    <row r="2937" spans="12:13" x14ac:dyDescent="0.2">
      <c r="L2937" s="4">
        <v>2931</v>
      </c>
      <c r="M2937" s="21">
        <v>244888.62329149959</v>
      </c>
    </row>
    <row r="2938" spans="12:13" x14ac:dyDescent="0.2">
      <c r="L2938" s="4">
        <v>2932</v>
      </c>
      <c r="M2938" s="21">
        <v>-59433.77235559086</v>
      </c>
    </row>
    <row r="2939" spans="12:13" x14ac:dyDescent="0.2">
      <c r="L2939" s="4">
        <v>2933</v>
      </c>
      <c r="M2939" s="21">
        <v>-68973.130569437461</v>
      </c>
    </row>
    <row r="2940" spans="12:13" x14ac:dyDescent="0.2">
      <c r="L2940" s="4">
        <v>2934</v>
      </c>
      <c r="M2940" s="21">
        <v>154633.59709060349</v>
      </c>
    </row>
    <row r="2941" spans="12:13" x14ac:dyDescent="0.2">
      <c r="L2941" s="4">
        <v>2935</v>
      </c>
      <c r="M2941" s="21">
        <v>-248935.83620204742</v>
      </c>
    </row>
    <row r="2942" spans="12:13" x14ac:dyDescent="0.2">
      <c r="L2942" s="4">
        <v>2936</v>
      </c>
      <c r="M2942" s="21">
        <v>20173.337033587566</v>
      </c>
    </row>
    <row r="2943" spans="12:13" x14ac:dyDescent="0.2">
      <c r="L2943" s="4">
        <v>2937</v>
      </c>
      <c r="M2943" s="21">
        <v>-149445.41935083555</v>
      </c>
    </row>
    <row r="2944" spans="12:13" x14ac:dyDescent="0.2">
      <c r="L2944" s="4">
        <v>2938</v>
      </c>
      <c r="M2944" s="21">
        <v>-159706.06863011891</v>
      </c>
    </row>
    <row r="2945" spans="12:13" x14ac:dyDescent="0.2">
      <c r="L2945" s="4">
        <v>2939</v>
      </c>
      <c r="M2945" s="21">
        <v>-19667.497764777305</v>
      </c>
    </row>
    <row r="2946" spans="12:13" x14ac:dyDescent="0.2">
      <c r="L2946" s="4">
        <v>2940</v>
      </c>
      <c r="M2946" s="21">
        <v>-89381.700245139786</v>
      </c>
    </row>
    <row r="2947" spans="12:13" x14ac:dyDescent="0.2">
      <c r="L2947" s="4">
        <v>2941</v>
      </c>
      <c r="M2947" s="21">
        <v>-259969.3731930537</v>
      </c>
    </row>
    <row r="2948" spans="12:13" x14ac:dyDescent="0.2">
      <c r="L2948" s="4">
        <v>2942</v>
      </c>
      <c r="M2948" s="21">
        <v>516315.20875362307</v>
      </c>
    </row>
    <row r="2949" spans="12:13" x14ac:dyDescent="0.2">
      <c r="L2949" s="4">
        <v>2943</v>
      </c>
      <c r="M2949" s="21">
        <v>-73.316976718517253</v>
      </c>
    </row>
    <row r="2950" spans="12:13" x14ac:dyDescent="0.2">
      <c r="L2950" s="4">
        <v>2944</v>
      </c>
      <c r="M2950" s="21">
        <v>60644.606348061701</v>
      </c>
    </row>
    <row r="2951" spans="12:13" x14ac:dyDescent="0.2">
      <c r="L2951" s="4">
        <v>2945</v>
      </c>
      <c r="M2951" s="21">
        <v>373555.05871012481</v>
      </c>
    </row>
    <row r="2952" spans="12:13" x14ac:dyDescent="0.2">
      <c r="L2952" s="4">
        <v>2946</v>
      </c>
      <c r="M2952" s="21">
        <v>-187362.8713465443</v>
      </c>
    </row>
    <row r="2953" spans="12:13" x14ac:dyDescent="0.2">
      <c r="L2953" s="4">
        <v>2947</v>
      </c>
      <c r="M2953" s="21">
        <v>-66770.404305679331</v>
      </c>
    </row>
    <row r="2954" spans="12:13" x14ac:dyDescent="0.2">
      <c r="L2954" s="4">
        <v>2948</v>
      </c>
      <c r="M2954" s="21">
        <v>15902.924519939959</v>
      </c>
    </row>
    <row r="2955" spans="12:13" x14ac:dyDescent="0.2">
      <c r="L2955" s="4">
        <v>2949</v>
      </c>
      <c r="M2955" s="21">
        <v>324823.43913483707</v>
      </c>
    </row>
    <row r="2956" spans="12:13" x14ac:dyDescent="0.2">
      <c r="L2956" s="4">
        <v>2950</v>
      </c>
      <c r="M2956" s="21">
        <v>-87733.383826269855</v>
      </c>
    </row>
    <row r="2957" spans="12:13" x14ac:dyDescent="0.2">
      <c r="L2957" s="4">
        <v>2951</v>
      </c>
      <c r="M2957" s="21">
        <v>133428.65917091741</v>
      </c>
    </row>
    <row r="2958" spans="12:13" x14ac:dyDescent="0.2">
      <c r="L2958" s="4">
        <v>2952</v>
      </c>
      <c r="M2958" s="21">
        <v>179583.00178678639</v>
      </c>
    </row>
    <row r="2959" spans="12:13" x14ac:dyDescent="0.2">
      <c r="L2959" s="4">
        <v>2953</v>
      </c>
      <c r="M2959" s="21">
        <v>203361.85533800721</v>
      </c>
    </row>
    <row r="2960" spans="12:13" x14ac:dyDescent="0.2">
      <c r="L2960" s="4">
        <v>2954</v>
      </c>
      <c r="M2960" s="21">
        <v>275760.73532059987</v>
      </c>
    </row>
    <row r="2961" spans="12:13" x14ac:dyDescent="0.2">
      <c r="L2961" s="4">
        <v>2955</v>
      </c>
      <c r="M2961" s="21">
        <v>48749.003353253822</v>
      </c>
    </row>
    <row r="2962" spans="12:13" x14ac:dyDescent="0.2">
      <c r="L2962" s="4">
        <v>2956</v>
      </c>
      <c r="M2962" s="21">
        <v>-323631.27245469065</v>
      </c>
    </row>
    <row r="2963" spans="12:13" x14ac:dyDescent="0.2">
      <c r="L2963" s="4">
        <v>2957</v>
      </c>
      <c r="M2963" s="21">
        <v>-46223.641331235049</v>
      </c>
    </row>
    <row r="2964" spans="12:13" x14ac:dyDescent="0.2">
      <c r="L2964" s="4">
        <v>2958</v>
      </c>
      <c r="M2964" s="21">
        <v>210535.97728717601</v>
      </c>
    </row>
    <row r="2965" spans="12:13" x14ac:dyDescent="0.2">
      <c r="L2965" s="4">
        <v>2959</v>
      </c>
      <c r="M2965" s="21">
        <v>-108138.63884474633</v>
      </c>
    </row>
    <row r="2966" spans="12:13" x14ac:dyDescent="0.2">
      <c r="L2966" s="4">
        <v>2960</v>
      </c>
      <c r="M2966" s="21">
        <v>-317760.97924006381</v>
      </c>
    </row>
    <row r="2967" spans="12:13" x14ac:dyDescent="0.2">
      <c r="L2967" s="4">
        <v>2961</v>
      </c>
      <c r="M2967" s="21">
        <v>262470.23453370808</v>
      </c>
    </row>
    <row r="2968" spans="12:13" x14ac:dyDescent="0.2">
      <c r="L2968" s="4">
        <v>2962</v>
      </c>
      <c r="M2968" s="21">
        <v>47689.07180373327</v>
      </c>
    </row>
    <row r="2969" spans="12:13" x14ac:dyDescent="0.2">
      <c r="L2969" s="4">
        <v>2963</v>
      </c>
      <c r="M2969" s="21">
        <v>182328.9039768987</v>
      </c>
    </row>
    <row r="2970" spans="12:13" x14ac:dyDescent="0.2">
      <c r="L2970" s="4">
        <v>2964</v>
      </c>
      <c r="M2970" s="21">
        <v>-163110.09375561867</v>
      </c>
    </row>
    <row r="2971" spans="12:13" x14ac:dyDescent="0.2">
      <c r="L2971" s="4">
        <v>2965</v>
      </c>
      <c r="M2971" s="21">
        <v>10997.805136749608</v>
      </c>
    </row>
    <row r="2972" spans="12:13" x14ac:dyDescent="0.2">
      <c r="L2972" s="4">
        <v>2966</v>
      </c>
      <c r="M2972" s="21">
        <v>-380242.09554722998</v>
      </c>
    </row>
    <row r="2973" spans="12:13" x14ac:dyDescent="0.2">
      <c r="L2973" s="4">
        <v>2967</v>
      </c>
      <c r="M2973" s="21">
        <v>-31678.746782570393</v>
      </c>
    </row>
    <row r="2974" spans="12:13" x14ac:dyDescent="0.2">
      <c r="L2974" s="4">
        <v>2968</v>
      </c>
      <c r="M2974" s="21">
        <v>17430.87416439291</v>
      </c>
    </row>
    <row r="2975" spans="12:13" x14ac:dyDescent="0.2">
      <c r="L2975" s="4">
        <v>2969</v>
      </c>
      <c r="M2975" s="21">
        <v>62229.145494278171</v>
      </c>
    </row>
    <row r="2976" spans="12:13" x14ac:dyDescent="0.2">
      <c r="L2976" s="4">
        <v>2970</v>
      </c>
      <c r="M2976" s="21">
        <v>143075.3540515682</v>
      </c>
    </row>
    <row r="2977" spans="12:13" x14ac:dyDescent="0.2">
      <c r="L2977" s="4">
        <v>2971</v>
      </c>
      <c r="M2977" s="21">
        <v>110177.02735497168</v>
      </c>
    </row>
    <row r="2978" spans="12:13" x14ac:dyDescent="0.2">
      <c r="L2978" s="4">
        <v>2972</v>
      </c>
      <c r="M2978" s="21">
        <v>-237868.30068218638</v>
      </c>
    </row>
    <row r="2979" spans="12:13" x14ac:dyDescent="0.2">
      <c r="L2979" s="4">
        <v>2973</v>
      </c>
      <c r="M2979" s="21">
        <v>203017.78430564038</v>
      </c>
    </row>
    <row r="2980" spans="12:13" x14ac:dyDescent="0.2">
      <c r="L2980" s="4">
        <v>2974</v>
      </c>
      <c r="M2980" s="21">
        <v>-28695.593570153593</v>
      </c>
    </row>
    <row r="2981" spans="12:13" x14ac:dyDescent="0.2">
      <c r="L2981" s="4">
        <v>2975</v>
      </c>
      <c r="M2981" s="21">
        <v>-32942.530695214868</v>
      </c>
    </row>
    <row r="2982" spans="12:13" x14ac:dyDescent="0.2">
      <c r="L2982" s="4">
        <v>2976</v>
      </c>
      <c r="M2982" s="21">
        <v>-25219.211001424046</v>
      </c>
    </row>
    <row r="2983" spans="12:13" x14ac:dyDescent="0.2">
      <c r="L2983" s="4">
        <v>2977</v>
      </c>
      <c r="M2983" s="21">
        <v>248042.73205993377</v>
      </c>
    </row>
    <row r="2984" spans="12:13" x14ac:dyDescent="0.2">
      <c r="L2984" s="4">
        <v>2978</v>
      </c>
      <c r="M2984" s="21">
        <v>-292494.86211516528</v>
      </c>
    </row>
    <row r="2985" spans="12:13" x14ac:dyDescent="0.2">
      <c r="L2985" s="4">
        <v>2979</v>
      </c>
      <c r="M2985" s="21">
        <v>159827.64849326535</v>
      </c>
    </row>
    <row r="2986" spans="12:13" x14ac:dyDescent="0.2">
      <c r="L2986" s="4">
        <v>2980</v>
      </c>
      <c r="M2986" s="21">
        <v>4850.6470112621901</v>
      </c>
    </row>
    <row r="2987" spans="12:13" x14ac:dyDescent="0.2">
      <c r="L2987" s="4">
        <v>2981</v>
      </c>
      <c r="M2987" s="21">
        <v>49973.49231746397</v>
      </c>
    </row>
    <row r="2988" spans="12:13" x14ac:dyDescent="0.2">
      <c r="L2988" s="4">
        <v>2982</v>
      </c>
      <c r="M2988" s="21">
        <v>-8116.7248187937075</v>
      </c>
    </row>
    <row r="2989" spans="12:13" x14ac:dyDescent="0.2">
      <c r="L2989" s="4">
        <v>2983</v>
      </c>
      <c r="M2989" s="21">
        <v>290742.31469067524</v>
      </c>
    </row>
    <row r="2990" spans="12:13" x14ac:dyDescent="0.2">
      <c r="L2990" s="4">
        <v>2984</v>
      </c>
      <c r="M2990" s="21">
        <v>222367.76721964241</v>
      </c>
    </row>
    <row r="2991" spans="12:13" x14ac:dyDescent="0.2">
      <c r="L2991" s="4">
        <v>2985</v>
      </c>
      <c r="M2991" s="21">
        <v>-124825.03228724441</v>
      </c>
    </row>
    <row r="2992" spans="12:13" x14ac:dyDescent="0.2">
      <c r="L2992" s="4">
        <v>2986</v>
      </c>
      <c r="M2992" s="21">
        <v>-92063.9672821735</v>
      </c>
    </row>
    <row r="2993" spans="12:13" x14ac:dyDescent="0.2">
      <c r="L2993" s="4">
        <v>2987</v>
      </c>
      <c r="M2993" s="21">
        <v>139860.40948239862</v>
      </c>
    </row>
    <row r="2994" spans="12:13" x14ac:dyDescent="0.2">
      <c r="L2994" s="4">
        <v>2988</v>
      </c>
      <c r="M2994" s="21">
        <v>-168026.66649069957</v>
      </c>
    </row>
    <row r="2995" spans="12:13" x14ac:dyDescent="0.2">
      <c r="L2995" s="4">
        <v>2989</v>
      </c>
      <c r="M2995" s="21">
        <v>339921.65318119893</v>
      </c>
    </row>
    <row r="2996" spans="12:13" x14ac:dyDescent="0.2">
      <c r="L2996" s="4">
        <v>2990</v>
      </c>
      <c r="M2996" s="21">
        <v>-111783.58042713552</v>
      </c>
    </row>
    <row r="2997" spans="12:13" x14ac:dyDescent="0.2">
      <c r="L2997" s="4">
        <v>2991</v>
      </c>
      <c r="M2997" s="21">
        <v>-73475.150313387901</v>
      </c>
    </row>
    <row r="2998" spans="12:13" x14ac:dyDescent="0.2">
      <c r="L2998" s="4">
        <v>2992</v>
      </c>
      <c r="M2998" s="21">
        <v>83811.977727324789</v>
      </c>
    </row>
    <row r="2999" spans="12:13" x14ac:dyDescent="0.2">
      <c r="L2999" s="4">
        <v>2993</v>
      </c>
      <c r="M2999" s="21">
        <v>-171243.7441632534</v>
      </c>
    </row>
    <row r="3000" spans="12:13" x14ac:dyDescent="0.2">
      <c r="L3000" s="4">
        <v>2994</v>
      </c>
      <c r="M3000" s="21">
        <v>-261523.5941592959</v>
      </c>
    </row>
    <row r="3001" spans="12:13" x14ac:dyDescent="0.2">
      <c r="L3001" s="4">
        <v>2995</v>
      </c>
      <c r="M3001" s="21">
        <v>-76489.966326751877</v>
      </c>
    </row>
    <row r="3002" spans="12:13" x14ac:dyDescent="0.2">
      <c r="L3002" s="4">
        <v>2996</v>
      </c>
      <c r="M3002" s="21">
        <v>-64801.68107050602</v>
      </c>
    </row>
    <row r="3003" spans="12:13" x14ac:dyDescent="0.2">
      <c r="L3003" s="4">
        <v>2997</v>
      </c>
      <c r="M3003" s="21">
        <v>29632.501540587691</v>
      </c>
    </row>
    <row r="3004" spans="12:13" x14ac:dyDescent="0.2">
      <c r="L3004" s="4">
        <v>2998</v>
      </c>
      <c r="M3004" s="21">
        <v>58760.83133948734</v>
      </c>
    </row>
    <row r="3005" spans="12:13" x14ac:dyDescent="0.2">
      <c r="L3005" s="4">
        <v>2999</v>
      </c>
      <c r="M3005" s="21">
        <v>-169623.75390426134</v>
      </c>
    </row>
    <row r="3006" spans="12:13" x14ac:dyDescent="0.2">
      <c r="L3006" s="4">
        <v>3000</v>
      </c>
      <c r="M3006" s="21">
        <v>-82796.408289889543</v>
      </c>
    </row>
    <row r="3007" spans="12:13" x14ac:dyDescent="0.2">
      <c r="L3007" s="4">
        <v>3001</v>
      </c>
      <c r="M3007" s="21">
        <v>-339566.72948103922</v>
      </c>
    </row>
    <row r="3008" spans="12:13" x14ac:dyDescent="0.2">
      <c r="L3008" s="4">
        <v>3002</v>
      </c>
      <c r="M3008" s="21">
        <v>-105087.6250525002</v>
      </c>
    </row>
    <row r="3009" spans="12:13" x14ac:dyDescent="0.2">
      <c r="L3009" s="4">
        <v>3003</v>
      </c>
      <c r="M3009" s="21">
        <v>-91378.812148522135</v>
      </c>
    </row>
    <row r="3010" spans="12:13" x14ac:dyDescent="0.2">
      <c r="L3010" s="4">
        <v>3004</v>
      </c>
      <c r="M3010" s="21">
        <v>-475414.37598021422</v>
      </c>
    </row>
    <row r="3011" spans="12:13" x14ac:dyDescent="0.2">
      <c r="L3011" s="4">
        <v>3005</v>
      </c>
      <c r="M3011" s="21">
        <v>-44093.752260114852</v>
      </c>
    </row>
    <row r="3012" spans="12:13" x14ac:dyDescent="0.2">
      <c r="L3012" s="4">
        <v>3006</v>
      </c>
      <c r="M3012" s="21">
        <v>-115503.68221335944</v>
      </c>
    </row>
    <row r="3013" spans="12:13" x14ac:dyDescent="0.2">
      <c r="L3013" s="4">
        <v>3007</v>
      </c>
      <c r="M3013" s="21">
        <v>172894.98927696567</v>
      </c>
    </row>
    <row r="3014" spans="12:13" x14ac:dyDescent="0.2">
      <c r="L3014" s="4">
        <v>3008</v>
      </c>
      <c r="M3014" s="21">
        <v>103432.05196436303</v>
      </c>
    </row>
    <row r="3015" spans="12:13" x14ac:dyDescent="0.2">
      <c r="L3015" s="4">
        <v>3009</v>
      </c>
      <c r="M3015" s="21">
        <v>298860.41630094283</v>
      </c>
    </row>
    <row r="3016" spans="12:13" x14ac:dyDescent="0.2">
      <c r="L3016" s="4">
        <v>3010</v>
      </c>
      <c r="M3016" s="21">
        <v>114815.41851229611</v>
      </c>
    </row>
    <row r="3017" spans="12:13" x14ac:dyDescent="0.2">
      <c r="L3017" s="4">
        <v>3011</v>
      </c>
      <c r="M3017" s="21">
        <v>227422.39628959441</v>
      </c>
    </row>
    <row r="3018" spans="12:13" x14ac:dyDescent="0.2">
      <c r="L3018" s="4">
        <v>3012</v>
      </c>
      <c r="M3018" s="21">
        <v>266485.04233659443</v>
      </c>
    </row>
    <row r="3019" spans="12:13" x14ac:dyDescent="0.2">
      <c r="L3019" s="4">
        <v>3013</v>
      </c>
      <c r="M3019" s="21">
        <v>308314.14851468196</v>
      </c>
    </row>
    <row r="3020" spans="12:13" x14ac:dyDescent="0.2">
      <c r="L3020" s="4">
        <v>3014</v>
      </c>
      <c r="M3020" s="21">
        <v>-375683.53532641247</v>
      </c>
    </row>
    <row r="3021" spans="12:13" x14ac:dyDescent="0.2">
      <c r="L3021" s="4">
        <v>3015</v>
      </c>
      <c r="M3021" s="21">
        <v>2953.5802370594174</v>
      </c>
    </row>
    <row r="3022" spans="12:13" x14ac:dyDescent="0.2">
      <c r="L3022" s="4">
        <v>3016</v>
      </c>
      <c r="M3022" s="21">
        <v>-151083.61059888615</v>
      </c>
    </row>
    <row r="3023" spans="12:13" x14ac:dyDescent="0.2">
      <c r="L3023" s="4">
        <v>3017</v>
      </c>
      <c r="M3023" s="21">
        <v>-125787.09007999452</v>
      </c>
    </row>
    <row r="3024" spans="12:13" x14ac:dyDescent="0.2">
      <c r="L3024" s="4">
        <v>3018</v>
      </c>
      <c r="M3024" s="21">
        <v>-74659.082302625073</v>
      </c>
    </row>
    <row r="3025" spans="12:13" x14ac:dyDescent="0.2">
      <c r="L3025" s="4">
        <v>3019</v>
      </c>
      <c r="M3025" s="21">
        <v>126827.79723940816</v>
      </c>
    </row>
    <row r="3026" spans="12:13" x14ac:dyDescent="0.2">
      <c r="L3026" s="4">
        <v>3020</v>
      </c>
      <c r="M3026" s="21">
        <v>46739.557518143236</v>
      </c>
    </row>
    <row r="3027" spans="12:13" x14ac:dyDescent="0.2">
      <c r="L3027" s="4">
        <v>3021</v>
      </c>
      <c r="M3027" s="21">
        <v>-72197.126055950255</v>
      </c>
    </row>
    <row r="3028" spans="12:13" x14ac:dyDescent="0.2">
      <c r="L3028" s="4">
        <v>3022</v>
      </c>
      <c r="M3028" s="21">
        <v>154847.99368150279</v>
      </c>
    </row>
    <row r="3029" spans="12:13" x14ac:dyDescent="0.2">
      <c r="L3029" s="4">
        <v>3023</v>
      </c>
      <c r="M3029" s="21">
        <v>-21324.109023997371</v>
      </c>
    </row>
    <row r="3030" spans="12:13" x14ac:dyDescent="0.2">
      <c r="L3030" s="4">
        <v>3024</v>
      </c>
      <c r="M3030" s="21">
        <v>42218.402073927515</v>
      </c>
    </row>
    <row r="3031" spans="12:13" x14ac:dyDescent="0.2">
      <c r="L3031" s="4">
        <v>3025</v>
      </c>
      <c r="M3031" s="21">
        <v>281716.52212609153</v>
      </c>
    </row>
    <row r="3032" spans="12:13" x14ac:dyDescent="0.2">
      <c r="L3032" s="4">
        <v>3026</v>
      </c>
      <c r="M3032" s="21">
        <v>-272166.36025465536</v>
      </c>
    </row>
    <row r="3033" spans="12:13" x14ac:dyDescent="0.2">
      <c r="L3033" s="4">
        <v>3027</v>
      </c>
      <c r="M3033" s="21">
        <v>-86663.999437647391</v>
      </c>
    </row>
    <row r="3034" spans="12:13" x14ac:dyDescent="0.2">
      <c r="L3034" s="4">
        <v>3028</v>
      </c>
      <c r="M3034" s="21">
        <v>155033.4058131073</v>
      </c>
    </row>
    <row r="3035" spans="12:13" x14ac:dyDescent="0.2">
      <c r="L3035" s="4">
        <v>3029</v>
      </c>
      <c r="M3035" s="21">
        <v>232610.48244558056</v>
      </c>
    </row>
    <row r="3036" spans="12:13" x14ac:dyDescent="0.2">
      <c r="L3036" s="4">
        <v>3030</v>
      </c>
      <c r="M3036" s="21">
        <v>-162788.92771375371</v>
      </c>
    </row>
    <row r="3037" spans="12:13" x14ac:dyDescent="0.2">
      <c r="L3037" s="4">
        <v>3031</v>
      </c>
      <c r="M3037" s="21">
        <v>7899.3126269335917</v>
      </c>
    </row>
    <row r="3038" spans="12:13" x14ac:dyDescent="0.2">
      <c r="L3038" s="4">
        <v>3032</v>
      </c>
      <c r="M3038" s="21">
        <v>-147419.16170273771</v>
      </c>
    </row>
    <row r="3039" spans="12:13" x14ac:dyDescent="0.2">
      <c r="L3039" s="4">
        <v>3033</v>
      </c>
      <c r="M3039" s="21">
        <v>120819.31926256025</v>
      </c>
    </row>
    <row r="3040" spans="12:13" x14ac:dyDescent="0.2">
      <c r="L3040" s="4">
        <v>3034</v>
      </c>
      <c r="M3040" s="21">
        <v>-72196.584947153853</v>
      </c>
    </row>
    <row r="3041" spans="12:13" x14ac:dyDescent="0.2">
      <c r="L3041" s="4">
        <v>3035</v>
      </c>
      <c r="M3041" s="21">
        <v>-704.1116063514055</v>
      </c>
    </row>
    <row r="3042" spans="12:13" x14ac:dyDescent="0.2">
      <c r="L3042" s="4">
        <v>3036</v>
      </c>
      <c r="M3042" s="21">
        <v>272122.88686951972</v>
      </c>
    </row>
    <row r="3043" spans="12:13" x14ac:dyDescent="0.2">
      <c r="L3043" s="4">
        <v>3037</v>
      </c>
      <c r="M3043" s="21">
        <v>102376.26448217925</v>
      </c>
    </row>
    <row r="3044" spans="12:13" x14ac:dyDescent="0.2">
      <c r="L3044" s="4">
        <v>3038</v>
      </c>
      <c r="M3044" s="21">
        <v>-56893.563621601294</v>
      </c>
    </row>
    <row r="3045" spans="12:13" x14ac:dyDescent="0.2">
      <c r="L3045" s="4">
        <v>3039</v>
      </c>
      <c r="M3045" s="21">
        <v>20838.191411789914</v>
      </c>
    </row>
    <row r="3046" spans="12:13" x14ac:dyDescent="0.2">
      <c r="L3046" s="4">
        <v>3040</v>
      </c>
      <c r="M3046" s="21">
        <v>249331.27992057533</v>
      </c>
    </row>
    <row r="3047" spans="12:13" x14ac:dyDescent="0.2">
      <c r="L3047" s="4">
        <v>3041</v>
      </c>
      <c r="M3047" s="21">
        <v>-227567.5769274153</v>
      </c>
    </row>
    <row r="3048" spans="12:13" x14ac:dyDescent="0.2">
      <c r="L3048" s="4">
        <v>3042</v>
      </c>
      <c r="M3048" s="21">
        <v>-207194.28790062759</v>
      </c>
    </row>
    <row r="3049" spans="12:13" x14ac:dyDescent="0.2">
      <c r="L3049" s="4">
        <v>3043</v>
      </c>
      <c r="M3049" s="21">
        <v>374893.99284222722</v>
      </c>
    </row>
    <row r="3050" spans="12:13" x14ac:dyDescent="0.2">
      <c r="L3050" s="4">
        <v>3044</v>
      </c>
      <c r="M3050" s="21">
        <v>33471.632252774871</v>
      </c>
    </row>
    <row r="3051" spans="12:13" x14ac:dyDescent="0.2">
      <c r="L3051" s="4">
        <v>3045</v>
      </c>
      <c r="M3051" s="21">
        <v>292016.84039152297</v>
      </c>
    </row>
    <row r="3052" spans="12:13" x14ac:dyDescent="0.2">
      <c r="L3052" s="4">
        <v>3046</v>
      </c>
      <c r="M3052" s="21">
        <v>-133122.64106231369</v>
      </c>
    </row>
    <row r="3053" spans="12:13" x14ac:dyDescent="0.2">
      <c r="L3053" s="4">
        <v>3047</v>
      </c>
      <c r="M3053" s="21">
        <v>-183203.51343452529</v>
      </c>
    </row>
    <row r="3054" spans="12:13" x14ac:dyDescent="0.2">
      <c r="L3054" s="4">
        <v>3048</v>
      </c>
      <c r="M3054" s="21">
        <v>480251.45734226558</v>
      </c>
    </row>
    <row r="3055" spans="12:13" x14ac:dyDescent="0.2">
      <c r="L3055" s="4">
        <v>3049</v>
      </c>
      <c r="M3055" s="21">
        <v>217807.95980662611</v>
      </c>
    </row>
    <row r="3056" spans="12:13" x14ac:dyDescent="0.2">
      <c r="L3056" s="4">
        <v>3050</v>
      </c>
      <c r="M3056" s="21">
        <v>555948.79327845189</v>
      </c>
    </row>
    <row r="3057" spans="12:13" x14ac:dyDescent="0.2">
      <c r="L3057" s="4">
        <v>3051</v>
      </c>
      <c r="M3057" s="21">
        <v>-270235.96966662758</v>
      </c>
    </row>
    <row r="3058" spans="12:13" x14ac:dyDescent="0.2">
      <c r="L3058" s="4">
        <v>3052</v>
      </c>
      <c r="M3058" s="21">
        <v>256423.697667078</v>
      </c>
    </row>
    <row r="3059" spans="12:13" x14ac:dyDescent="0.2">
      <c r="L3059" s="4">
        <v>3053</v>
      </c>
      <c r="M3059" s="21">
        <v>21152.124563470192</v>
      </c>
    </row>
    <row r="3060" spans="12:13" x14ac:dyDescent="0.2">
      <c r="L3060" s="4">
        <v>3054</v>
      </c>
      <c r="M3060" s="21">
        <v>-65233.324625168592</v>
      </c>
    </row>
    <row r="3061" spans="12:13" x14ac:dyDescent="0.2">
      <c r="L3061" s="4">
        <v>3055</v>
      </c>
      <c r="M3061" s="21">
        <v>226599.109145845</v>
      </c>
    </row>
    <row r="3062" spans="12:13" x14ac:dyDescent="0.2">
      <c r="L3062" s="4">
        <v>3056</v>
      </c>
      <c r="M3062" s="21">
        <v>374729.24912117363</v>
      </c>
    </row>
    <row r="3063" spans="12:13" x14ac:dyDescent="0.2">
      <c r="L3063" s="4">
        <v>3057</v>
      </c>
      <c r="M3063" s="21">
        <v>142824.19980668931</v>
      </c>
    </row>
    <row r="3064" spans="12:13" x14ac:dyDescent="0.2">
      <c r="L3064" s="4">
        <v>3058</v>
      </c>
      <c r="M3064" s="21">
        <v>198036.09646926762</v>
      </c>
    </row>
    <row r="3065" spans="12:13" x14ac:dyDescent="0.2">
      <c r="L3065" s="4">
        <v>3059</v>
      </c>
      <c r="M3065" s="21">
        <v>666251.65827208792</v>
      </c>
    </row>
    <row r="3066" spans="12:13" x14ac:dyDescent="0.2">
      <c r="L3066" s="4">
        <v>3060</v>
      </c>
      <c r="M3066" s="21">
        <v>46833.968727156171</v>
      </c>
    </row>
    <row r="3067" spans="12:13" x14ac:dyDescent="0.2">
      <c r="L3067" s="4">
        <v>3061</v>
      </c>
      <c r="M3067" s="21">
        <v>-47739.488260026614</v>
      </c>
    </row>
    <row r="3068" spans="12:13" x14ac:dyDescent="0.2">
      <c r="L3068" s="4">
        <v>3062</v>
      </c>
      <c r="M3068" s="21">
        <v>355623.21433931601</v>
      </c>
    </row>
    <row r="3069" spans="12:13" x14ac:dyDescent="0.2">
      <c r="L3069" s="4">
        <v>3063</v>
      </c>
      <c r="M3069" s="21">
        <v>-32174.638386467836</v>
      </c>
    </row>
    <row r="3070" spans="12:13" x14ac:dyDescent="0.2">
      <c r="L3070" s="4">
        <v>3064</v>
      </c>
      <c r="M3070" s="21">
        <v>165550.93025448627</v>
      </c>
    </row>
    <row r="3071" spans="12:13" x14ac:dyDescent="0.2">
      <c r="L3071" s="4">
        <v>3065</v>
      </c>
      <c r="M3071" s="21">
        <v>-54829.661230205209</v>
      </c>
    </row>
    <row r="3072" spans="12:13" x14ac:dyDescent="0.2">
      <c r="L3072" s="4">
        <v>3066</v>
      </c>
      <c r="M3072" s="21">
        <v>-37693.816646654421</v>
      </c>
    </row>
    <row r="3073" spans="12:13" x14ac:dyDescent="0.2">
      <c r="L3073" s="4">
        <v>3067</v>
      </c>
      <c r="M3073" s="21">
        <v>-26367.415553464976</v>
      </c>
    </row>
    <row r="3074" spans="12:13" x14ac:dyDescent="0.2">
      <c r="L3074" s="4">
        <v>3068</v>
      </c>
      <c r="M3074" s="21">
        <v>460871.02400388848</v>
      </c>
    </row>
    <row r="3075" spans="12:13" x14ac:dyDescent="0.2">
      <c r="L3075" s="4">
        <v>3069</v>
      </c>
      <c r="M3075" s="21">
        <v>-77663.580095780198</v>
      </c>
    </row>
    <row r="3076" spans="12:13" x14ac:dyDescent="0.2">
      <c r="L3076" s="4">
        <v>3070</v>
      </c>
      <c r="M3076" s="21">
        <v>93966.984731406032</v>
      </c>
    </row>
    <row r="3077" spans="12:13" x14ac:dyDescent="0.2">
      <c r="L3077" s="4">
        <v>3071</v>
      </c>
      <c r="M3077" s="21">
        <v>-428385.40380109369</v>
      </c>
    </row>
    <row r="3078" spans="12:13" x14ac:dyDescent="0.2">
      <c r="L3078" s="4">
        <v>3072</v>
      </c>
      <c r="M3078" s="21">
        <v>464406.95551543718</v>
      </c>
    </row>
    <row r="3079" spans="12:13" x14ac:dyDescent="0.2">
      <c r="L3079" s="4">
        <v>3073</v>
      </c>
      <c r="M3079" s="21">
        <v>-60065.627716066141</v>
      </c>
    </row>
    <row r="3080" spans="12:13" x14ac:dyDescent="0.2">
      <c r="L3080" s="4">
        <v>3074</v>
      </c>
      <c r="M3080" s="21">
        <v>81977.249973555852</v>
      </c>
    </row>
    <row r="3081" spans="12:13" x14ac:dyDescent="0.2">
      <c r="L3081" s="4">
        <v>3075</v>
      </c>
      <c r="M3081" s="21">
        <v>-172271.20729362281</v>
      </c>
    </row>
    <row r="3082" spans="12:13" x14ac:dyDescent="0.2">
      <c r="L3082" s="4">
        <v>3076</v>
      </c>
      <c r="M3082" s="21">
        <v>49421.520518335106</v>
      </c>
    </row>
    <row r="3083" spans="12:13" x14ac:dyDescent="0.2">
      <c r="L3083" s="4">
        <v>3077</v>
      </c>
      <c r="M3083" s="21">
        <v>340414.41679231549</v>
      </c>
    </row>
    <row r="3084" spans="12:13" x14ac:dyDescent="0.2">
      <c r="L3084" s="4">
        <v>3078</v>
      </c>
      <c r="M3084" s="21">
        <v>112585.04334166413</v>
      </c>
    </row>
    <row r="3085" spans="12:13" x14ac:dyDescent="0.2">
      <c r="L3085" s="4">
        <v>3079</v>
      </c>
      <c r="M3085" s="21">
        <v>45155.539985841722</v>
      </c>
    </row>
    <row r="3086" spans="12:13" x14ac:dyDescent="0.2">
      <c r="L3086" s="4">
        <v>3080</v>
      </c>
      <c r="M3086" s="21">
        <v>-263757.78071784275</v>
      </c>
    </row>
    <row r="3087" spans="12:13" x14ac:dyDescent="0.2">
      <c r="L3087" s="4">
        <v>3081</v>
      </c>
      <c r="M3087" s="21">
        <v>5118.5198062048294</v>
      </c>
    </row>
    <row r="3088" spans="12:13" x14ac:dyDescent="0.2">
      <c r="L3088" s="4">
        <v>3082</v>
      </c>
      <c r="M3088" s="21">
        <v>119320.4102429355</v>
      </c>
    </row>
    <row r="3089" spans="12:13" x14ac:dyDescent="0.2">
      <c r="L3089" s="4">
        <v>3083</v>
      </c>
      <c r="M3089" s="21">
        <v>-253576.05552228674</v>
      </c>
    </row>
    <row r="3090" spans="12:13" x14ac:dyDescent="0.2">
      <c r="L3090" s="4">
        <v>3084</v>
      </c>
      <c r="M3090" s="21">
        <v>-429216.23612375493</v>
      </c>
    </row>
    <row r="3091" spans="12:13" x14ac:dyDescent="0.2">
      <c r="L3091" s="4">
        <v>3085</v>
      </c>
      <c r="M3091" s="21">
        <v>232941.65539854698</v>
      </c>
    </row>
    <row r="3092" spans="12:13" x14ac:dyDescent="0.2">
      <c r="L3092" s="4">
        <v>3086</v>
      </c>
      <c r="M3092" s="21">
        <v>-123212.6954287072</v>
      </c>
    </row>
    <row r="3093" spans="12:13" x14ac:dyDescent="0.2">
      <c r="L3093" s="4">
        <v>3087</v>
      </c>
      <c r="M3093" s="21">
        <v>-20169.332142115542</v>
      </c>
    </row>
    <row r="3094" spans="12:13" x14ac:dyDescent="0.2">
      <c r="L3094" s="4">
        <v>3088</v>
      </c>
      <c r="M3094" s="21">
        <v>-164711.66570639296</v>
      </c>
    </row>
    <row r="3095" spans="12:13" x14ac:dyDescent="0.2">
      <c r="L3095" s="4">
        <v>3089</v>
      </c>
      <c r="M3095" s="21">
        <v>-66493.27545126043</v>
      </c>
    </row>
    <row r="3096" spans="12:13" x14ac:dyDescent="0.2">
      <c r="L3096" s="4">
        <v>3090</v>
      </c>
      <c r="M3096" s="21">
        <v>-218922.72544749931</v>
      </c>
    </row>
    <row r="3097" spans="12:13" x14ac:dyDescent="0.2">
      <c r="L3097" s="4">
        <v>3091</v>
      </c>
      <c r="M3097" s="21">
        <v>116003.58238696746</v>
      </c>
    </row>
    <row r="3098" spans="12:13" x14ac:dyDescent="0.2">
      <c r="L3098" s="4">
        <v>3092</v>
      </c>
      <c r="M3098" s="21">
        <v>-119810.32184011716</v>
      </c>
    </row>
    <row r="3099" spans="12:13" x14ac:dyDescent="0.2">
      <c r="L3099" s="4">
        <v>3093</v>
      </c>
      <c r="M3099" s="21">
        <v>-127357.01094684011</v>
      </c>
    </row>
    <row r="3100" spans="12:13" x14ac:dyDescent="0.2">
      <c r="L3100" s="4">
        <v>3094</v>
      </c>
      <c r="M3100" s="21">
        <v>-93272.414028858664</v>
      </c>
    </row>
    <row r="3101" spans="12:13" x14ac:dyDescent="0.2">
      <c r="L3101" s="4">
        <v>3095</v>
      </c>
      <c r="M3101" s="21">
        <v>328696.93221748911</v>
      </c>
    </row>
    <row r="3102" spans="12:13" x14ac:dyDescent="0.2">
      <c r="L3102" s="4">
        <v>3096</v>
      </c>
      <c r="M3102" s="21">
        <v>-167044.70347980718</v>
      </c>
    </row>
    <row r="3103" spans="12:13" x14ac:dyDescent="0.2">
      <c r="L3103" s="4">
        <v>3097</v>
      </c>
      <c r="M3103" s="21">
        <v>191162.03968559002</v>
      </c>
    </row>
    <row r="3104" spans="12:13" x14ac:dyDescent="0.2">
      <c r="L3104" s="4">
        <v>3098</v>
      </c>
      <c r="M3104" s="21">
        <v>87710.807601720997</v>
      </c>
    </row>
    <row r="3105" spans="12:13" x14ac:dyDescent="0.2">
      <c r="L3105" s="4">
        <v>3099</v>
      </c>
      <c r="M3105" s="21">
        <v>-119628.44310445875</v>
      </c>
    </row>
    <row r="3106" spans="12:13" x14ac:dyDescent="0.2">
      <c r="L3106" s="4">
        <v>3100</v>
      </c>
      <c r="M3106" s="21">
        <v>155161.09341611547</v>
      </c>
    </row>
    <row r="3107" spans="12:13" x14ac:dyDescent="0.2">
      <c r="L3107" s="4">
        <v>3101</v>
      </c>
      <c r="M3107" s="21">
        <v>217391.31434983399</v>
      </c>
    </row>
    <row r="3108" spans="12:13" x14ac:dyDescent="0.2">
      <c r="L3108" s="4">
        <v>3102</v>
      </c>
      <c r="M3108" s="21">
        <v>-1033.2486811531708</v>
      </c>
    </row>
    <row r="3109" spans="12:13" x14ac:dyDescent="0.2">
      <c r="L3109" s="4">
        <v>3103</v>
      </c>
      <c r="M3109" s="21">
        <v>30769.417304271512</v>
      </c>
    </row>
    <row r="3110" spans="12:13" x14ac:dyDescent="0.2">
      <c r="L3110" s="4">
        <v>3104</v>
      </c>
      <c r="M3110" s="21">
        <v>194352.98065165666</v>
      </c>
    </row>
    <row r="3111" spans="12:13" x14ac:dyDescent="0.2">
      <c r="L3111" s="4">
        <v>3105</v>
      </c>
      <c r="M3111" s="21">
        <v>-69266.917254412765</v>
      </c>
    </row>
    <row r="3112" spans="12:13" x14ac:dyDescent="0.2">
      <c r="L3112" s="4">
        <v>3106</v>
      </c>
      <c r="M3112" s="21">
        <v>-304149.53860778897</v>
      </c>
    </row>
    <row r="3113" spans="12:13" x14ac:dyDescent="0.2">
      <c r="L3113" s="4">
        <v>3107</v>
      </c>
      <c r="M3113" s="21">
        <v>-64537.913514146639</v>
      </c>
    </row>
    <row r="3114" spans="12:13" x14ac:dyDescent="0.2">
      <c r="L3114" s="4">
        <v>3108</v>
      </c>
      <c r="M3114" s="21">
        <v>-92835.769170656728</v>
      </c>
    </row>
    <row r="3115" spans="12:13" x14ac:dyDescent="0.2">
      <c r="L3115" s="4">
        <v>3109</v>
      </c>
      <c r="M3115" s="21">
        <v>42120.335529443371</v>
      </c>
    </row>
    <row r="3116" spans="12:13" x14ac:dyDescent="0.2">
      <c r="L3116" s="4">
        <v>3110</v>
      </c>
      <c r="M3116" s="21">
        <v>-174378.07632075076</v>
      </c>
    </row>
    <row r="3117" spans="12:13" x14ac:dyDescent="0.2">
      <c r="L3117" s="4">
        <v>3111</v>
      </c>
      <c r="M3117" s="21">
        <v>105784.29185534859</v>
      </c>
    </row>
    <row r="3118" spans="12:13" x14ac:dyDescent="0.2">
      <c r="L3118" s="4">
        <v>3112</v>
      </c>
      <c r="M3118" s="21">
        <v>223290.31705965739</v>
      </c>
    </row>
    <row r="3119" spans="12:13" x14ac:dyDescent="0.2">
      <c r="L3119" s="4">
        <v>3113</v>
      </c>
      <c r="M3119" s="21">
        <v>82603.313397996477</v>
      </c>
    </row>
    <row r="3120" spans="12:13" x14ac:dyDescent="0.2">
      <c r="L3120" s="4">
        <v>3114</v>
      </c>
      <c r="M3120" s="21">
        <v>-43818.767214515436</v>
      </c>
    </row>
    <row r="3121" spans="12:13" x14ac:dyDescent="0.2">
      <c r="L3121" s="4">
        <v>3115</v>
      </c>
      <c r="M3121" s="21">
        <v>306802.87877930049</v>
      </c>
    </row>
    <row r="3122" spans="12:13" x14ac:dyDescent="0.2">
      <c r="L3122" s="4">
        <v>3116</v>
      </c>
      <c r="M3122" s="21">
        <v>62158.613270669041</v>
      </c>
    </row>
    <row r="3123" spans="12:13" x14ac:dyDescent="0.2">
      <c r="L3123" s="4">
        <v>3117</v>
      </c>
      <c r="M3123" s="21">
        <v>-5727.3209679199354</v>
      </c>
    </row>
    <row r="3124" spans="12:13" x14ac:dyDescent="0.2">
      <c r="L3124" s="4">
        <v>3118</v>
      </c>
      <c r="M3124" s="21">
        <v>-226279.82032217929</v>
      </c>
    </row>
    <row r="3125" spans="12:13" x14ac:dyDescent="0.2">
      <c r="L3125" s="4">
        <v>3119</v>
      </c>
      <c r="M3125" s="21">
        <v>-123360.61621373628</v>
      </c>
    </row>
    <row r="3126" spans="12:13" x14ac:dyDescent="0.2">
      <c r="L3126" s="4">
        <v>3120</v>
      </c>
      <c r="M3126" s="21">
        <v>366380.15524894063</v>
      </c>
    </row>
    <row r="3127" spans="12:13" x14ac:dyDescent="0.2">
      <c r="L3127" s="4">
        <v>3121</v>
      </c>
      <c r="M3127" s="21">
        <v>-18430.083100883858</v>
      </c>
    </row>
    <row r="3128" spans="12:13" x14ac:dyDescent="0.2">
      <c r="L3128" s="4">
        <v>3122</v>
      </c>
      <c r="M3128" s="21">
        <v>161687.15063280746</v>
      </c>
    </row>
    <row r="3129" spans="12:13" x14ac:dyDescent="0.2">
      <c r="L3129" s="4">
        <v>3123</v>
      </c>
      <c r="M3129" s="21">
        <v>-172153.57822863871</v>
      </c>
    </row>
    <row r="3130" spans="12:13" x14ac:dyDescent="0.2">
      <c r="L3130" s="4">
        <v>3124</v>
      </c>
      <c r="M3130" s="21">
        <v>413243.72093778849</v>
      </c>
    </row>
    <row r="3131" spans="12:13" x14ac:dyDescent="0.2">
      <c r="L3131" s="4">
        <v>3125</v>
      </c>
      <c r="M3131" s="21">
        <v>-294730.24624806165</v>
      </c>
    </row>
    <row r="3132" spans="12:13" x14ac:dyDescent="0.2">
      <c r="L3132" s="4">
        <v>3126</v>
      </c>
      <c r="M3132" s="21">
        <v>250389.20157419346</v>
      </c>
    </row>
    <row r="3133" spans="12:13" x14ac:dyDescent="0.2">
      <c r="L3133" s="4">
        <v>3127</v>
      </c>
      <c r="M3133" s="21">
        <v>-77250.899060852302</v>
      </c>
    </row>
    <row r="3134" spans="12:13" x14ac:dyDescent="0.2">
      <c r="L3134" s="4">
        <v>3128</v>
      </c>
      <c r="M3134" s="21">
        <v>6305.8963101623231</v>
      </c>
    </row>
    <row r="3135" spans="12:13" x14ac:dyDescent="0.2">
      <c r="L3135" s="4">
        <v>3129</v>
      </c>
      <c r="M3135" s="21">
        <v>-45856.874032145221</v>
      </c>
    </row>
    <row r="3136" spans="12:13" x14ac:dyDescent="0.2">
      <c r="L3136" s="4">
        <v>3130</v>
      </c>
      <c r="M3136" s="21">
        <v>45544.151508717128</v>
      </c>
    </row>
    <row r="3137" spans="12:13" x14ac:dyDescent="0.2">
      <c r="L3137" s="4">
        <v>3131</v>
      </c>
      <c r="M3137" s="21">
        <v>354942.276190451</v>
      </c>
    </row>
    <row r="3138" spans="12:13" x14ac:dyDescent="0.2">
      <c r="L3138" s="4">
        <v>3132</v>
      </c>
      <c r="M3138" s="21">
        <v>167609.06700396558</v>
      </c>
    </row>
    <row r="3139" spans="12:13" x14ac:dyDescent="0.2">
      <c r="L3139" s="4">
        <v>3133</v>
      </c>
      <c r="M3139" s="21">
        <v>-291252.40251265303</v>
      </c>
    </row>
    <row r="3140" spans="12:13" x14ac:dyDescent="0.2">
      <c r="L3140" s="4">
        <v>3134</v>
      </c>
      <c r="M3140" s="21">
        <v>-188816.57039310713</v>
      </c>
    </row>
    <row r="3141" spans="12:13" x14ac:dyDescent="0.2">
      <c r="L3141" s="4">
        <v>3135</v>
      </c>
      <c r="M3141" s="21">
        <v>-279476.73567067587</v>
      </c>
    </row>
    <row r="3142" spans="12:13" x14ac:dyDescent="0.2">
      <c r="L3142" s="4">
        <v>3136</v>
      </c>
      <c r="M3142" s="21">
        <v>26208.85180892871</v>
      </c>
    </row>
    <row r="3143" spans="12:13" x14ac:dyDescent="0.2">
      <c r="L3143" s="4">
        <v>3137</v>
      </c>
      <c r="M3143" s="21">
        <v>-19353.765744244665</v>
      </c>
    </row>
    <row r="3144" spans="12:13" x14ac:dyDescent="0.2">
      <c r="L3144" s="4">
        <v>3138</v>
      </c>
      <c r="M3144" s="21">
        <v>522231.30270212924</v>
      </c>
    </row>
    <row r="3145" spans="12:13" x14ac:dyDescent="0.2">
      <c r="L3145" s="4">
        <v>3139</v>
      </c>
      <c r="M3145" s="21">
        <v>57873.386573273514</v>
      </c>
    </row>
    <row r="3146" spans="12:13" x14ac:dyDescent="0.2">
      <c r="L3146" s="4">
        <v>3140</v>
      </c>
      <c r="M3146" s="21">
        <v>104037.92332995977</v>
      </c>
    </row>
    <row r="3147" spans="12:13" x14ac:dyDescent="0.2">
      <c r="L3147" s="4">
        <v>3141</v>
      </c>
      <c r="M3147" s="21">
        <v>-179183.06051077117</v>
      </c>
    </row>
    <row r="3148" spans="12:13" x14ac:dyDescent="0.2">
      <c r="L3148" s="4">
        <v>3142</v>
      </c>
      <c r="M3148" s="21">
        <v>-37740.877476053807</v>
      </c>
    </row>
    <row r="3149" spans="12:13" x14ac:dyDescent="0.2">
      <c r="L3149" s="4">
        <v>3143</v>
      </c>
      <c r="M3149" s="21">
        <v>57881.932493471279</v>
      </c>
    </row>
    <row r="3150" spans="12:13" x14ac:dyDescent="0.2">
      <c r="L3150" s="4">
        <v>3144</v>
      </c>
      <c r="M3150" s="21">
        <v>-191625.34862999327</v>
      </c>
    </row>
    <row r="3151" spans="12:13" x14ac:dyDescent="0.2">
      <c r="L3151" s="4">
        <v>3145</v>
      </c>
      <c r="M3151" s="21">
        <v>160995.84223285227</v>
      </c>
    </row>
    <row r="3152" spans="12:13" x14ac:dyDescent="0.2">
      <c r="L3152" s="4">
        <v>3146</v>
      </c>
      <c r="M3152" s="21">
        <v>95835.366846359218</v>
      </c>
    </row>
    <row r="3153" spans="12:13" x14ac:dyDescent="0.2">
      <c r="L3153" s="4">
        <v>3147</v>
      </c>
      <c r="M3153" s="21">
        <v>-301285.31461862562</v>
      </c>
    </row>
    <row r="3154" spans="12:13" x14ac:dyDescent="0.2">
      <c r="L3154" s="4">
        <v>3148</v>
      </c>
      <c r="M3154" s="21">
        <v>73020.14341053809</v>
      </c>
    </row>
    <row r="3155" spans="12:13" x14ac:dyDescent="0.2">
      <c r="L3155" s="4">
        <v>3149</v>
      </c>
      <c r="M3155" s="21">
        <v>-82051.317176369877</v>
      </c>
    </row>
    <row r="3156" spans="12:13" x14ac:dyDescent="0.2">
      <c r="L3156" s="4">
        <v>3150</v>
      </c>
      <c r="M3156" s="21">
        <v>-152252.73056605613</v>
      </c>
    </row>
    <row r="3157" spans="12:13" x14ac:dyDescent="0.2">
      <c r="L3157" s="4">
        <v>3151</v>
      </c>
      <c r="M3157" s="21">
        <v>-90229.120304690965</v>
      </c>
    </row>
    <row r="3158" spans="12:13" x14ac:dyDescent="0.2">
      <c r="L3158" s="4">
        <v>3152</v>
      </c>
      <c r="M3158" s="21">
        <v>-230231.94085584488</v>
      </c>
    </row>
    <row r="3159" spans="12:13" x14ac:dyDescent="0.2">
      <c r="L3159" s="4">
        <v>3153</v>
      </c>
      <c r="M3159" s="21">
        <v>299789.44641306921</v>
      </c>
    </row>
    <row r="3160" spans="12:13" x14ac:dyDescent="0.2">
      <c r="L3160" s="4">
        <v>3154</v>
      </c>
      <c r="M3160" s="21">
        <v>87855.914960695431</v>
      </c>
    </row>
    <row r="3161" spans="12:13" x14ac:dyDescent="0.2">
      <c r="L3161" s="4">
        <v>3155</v>
      </c>
      <c r="M3161" s="21">
        <v>-197295.59951068583</v>
      </c>
    </row>
    <row r="3162" spans="12:13" x14ac:dyDescent="0.2">
      <c r="L3162" s="4">
        <v>3156</v>
      </c>
      <c r="M3162" s="21">
        <v>-245362.31639232973</v>
      </c>
    </row>
    <row r="3163" spans="12:13" x14ac:dyDescent="0.2">
      <c r="L3163" s="4">
        <v>3157</v>
      </c>
      <c r="M3163" s="21">
        <v>284742.83175969415</v>
      </c>
    </row>
    <row r="3164" spans="12:13" x14ac:dyDescent="0.2">
      <c r="L3164" s="4">
        <v>3158</v>
      </c>
      <c r="M3164" s="21">
        <v>-124697.03364862139</v>
      </c>
    </row>
    <row r="3165" spans="12:13" x14ac:dyDescent="0.2">
      <c r="L3165" s="4">
        <v>3159</v>
      </c>
      <c r="M3165" s="21">
        <v>156781.68273669045</v>
      </c>
    </row>
    <row r="3166" spans="12:13" x14ac:dyDescent="0.2">
      <c r="L3166" s="4">
        <v>3160</v>
      </c>
      <c r="M3166" s="21">
        <v>212759.55980054906</v>
      </c>
    </row>
    <row r="3167" spans="12:13" x14ac:dyDescent="0.2">
      <c r="L3167" s="4">
        <v>3161</v>
      </c>
      <c r="M3167" s="21">
        <v>-41161.151559972321</v>
      </c>
    </row>
    <row r="3168" spans="12:13" x14ac:dyDescent="0.2">
      <c r="L3168" s="4">
        <v>3162</v>
      </c>
      <c r="M3168" s="21">
        <v>-116347.42172785934</v>
      </c>
    </row>
    <row r="3169" spans="12:13" x14ac:dyDescent="0.2">
      <c r="L3169" s="4">
        <v>3163</v>
      </c>
      <c r="M3169" s="21">
        <v>-306575.2747586976</v>
      </c>
    </row>
    <row r="3170" spans="12:13" x14ac:dyDescent="0.2">
      <c r="L3170" s="4">
        <v>3164</v>
      </c>
      <c r="M3170" s="21">
        <v>-39797.734697425039</v>
      </c>
    </row>
    <row r="3171" spans="12:13" x14ac:dyDescent="0.2">
      <c r="L3171" s="4">
        <v>3165</v>
      </c>
      <c r="M3171" s="21">
        <v>39138.476549298706</v>
      </c>
    </row>
    <row r="3172" spans="12:13" x14ac:dyDescent="0.2">
      <c r="L3172" s="4">
        <v>3166</v>
      </c>
      <c r="M3172" s="21">
        <v>-178259.08910346599</v>
      </c>
    </row>
    <row r="3173" spans="12:13" x14ac:dyDescent="0.2">
      <c r="L3173" s="4">
        <v>3167</v>
      </c>
      <c r="M3173" s="21">
        <v>39485.570110197616</v>
      </c>
    </row>
    <row r="3174" spans="12:13" x14ac:dyDescent="0.2">
      <c r="L3174" s="4">
        <v>3168</v>
      </c>
      <c r="M3174" s="21">
        <v>7071.5910986047529</v>
      </c>
    </row>
    <row r="3175" spans="12:13" x14ac:dyDescent="0.2">
      <c r="L3175" s="4">
        <v>3169</v>
      </c>
      <c r="M3175" s="21">
        <v>101533.07226504356</v>
      </c>
    </row>
    <row r="3176" spans="12:13" x14ac:dyDescent="0.2">
      <c r="L3176" s="4">
        <v>3170</v>
      </c>
      <c r="M3176" s="21">
        <v>277233.07387141476</v>
      </c>
    </row>
    <row r="3177" spans="12:13" x14ac:dyDescent="0.2">
      <c r="L3177" s="4">
        <v>3171</v>
      </c>
      <c r="M3177" s="21">
        <v>-64341.031849080944</v>
      </c>
    </row>
    <row r="3178" spans="12:13" x14ac:dyDescent="0.2">
      <c r="L3178" s="4">
        <v>3172</v>
      </c>
      <c r="M3178" s="21">
        <v>440134.63899403159</v>
      </c>
    </row>
    <row r="3179" spans="12:13" x14ac:dyDescent="0.2">
      <c r="L3179" s="4">
        <v>3173</v>
      </c>
      <c r="M3179" s="21">
        <v>215518.28850078009</v>
      </c>
    </row>
    <row r="3180" spans="12:13" x14ac:dyDescent="0.2">
      <c r="L3180" s="4">
        <v>3174</v>
      </c>
      <c r="M3180" s="21">
        <v>82684.520529820758</v>
      </c>
    </row>
    <row r="3181" spans="12:13" x14ac:dyDescent="0.2">
      <c r="L3181" s="4">
        <v>3175</v>
      </c>
      <c r="M3181" s="21">
        <v>180823.2973746639</v>
      </c>
    </row>
    <row r="3182" spans="12:13" x14ac:dyDescent="0.2">
      <c r="L3182" s="4">
        <v>3176</v>
      </c>
      <c r="M3182" s="21">
        <v>-370258.46021149639</v>
      </c>
    </row>
    <row r="3183" spans="12:13" x14ac:dyDescent="0.2">
      <c r="L3183" s="4">
        <v>3177</v>
      </c>
      <c r="M3183" s="21">
        <v>-200045.48114776204</v>
      </c>
    </row>
    <row r="3184" spans="12:13" x14ac:dyDescent="0.2">
      <c r="L3184" s="4">
        <v>3178</v>
      </c>
      <c r="M3184" s="21">
        <v>168835.01348179893</v>
      </c>
    </row>
    <row r="3185" spans="12:13" x14ac:dyDescent="0.2">
      <c r="L3185" s="4">
        <v>3179</v>
      </c>
      <c r="M3185" s="21">
        <v>281579.29023056128</v>
      </c>
    </row>
    <row r="3186" spans="12:13" x14ac:dyDescent="0.2">
      <c r="L3186" s="4">
        <v>3180</v>
      </c>
      <c r="M3186" s="21">
        <v>-160616.27576744219</v>
      </c>
    </row>
    <row r="3187" spans="12:13" x14ac:dyDescent="0.2">
      <c r="L3187" s="4">
        <v>3181</v>
      </c>
      <c r="M3187" s="21">
        <v>3332.3044395228499</v>
      </c>
    </row>
    <row r="3188" spans="12:13" x14ac:dyDescent="0.2">
      <c r="L3188" s="4">
        <v>3182</v>
      </c>
      <c r="M3188" s="21">
        <v>17533.191613175732</v>
      </c>
    </row>
    <row r="3189" spans="12:13" x14ac:dyDescent="0.2">
      <c r="L3189" s="4">
        <v>3183</v>
      </c>
      <c r="M3189" s="21">
        <v>-22003.929818473276</v>
      </c>
    </row>
    <row r="3190" spans="12:13" x14ac:dyDescent="0.2">
      <c r="L3190" s="4">
        <v>3184</v>
      </c>
      <c r="M3190" s="21">
        <v>-207943.20634654083</v>
      </c>
    </row>
    <row r="3191" spans="12:13" x14ac:dyDescent="0.2">
      <c r="L3191" s="4">
        <v>3185</v>
      </c>
      <c r="M3191" s="21">
        <v>-136656.91980924079</v>
      </c>
    </row>
    <row r="3192" spans="12:13" x14ac:dyDescent="0.2">
      <c r="L3192" s="4">
        <v>3186</v>
      </c>
      <c r="M3192" s="21">
        <v>270464.57140442851</v>
      </c>
    </row>
    <row r="3193" spans="12:13" x14ac:dyDescent="0.2">
      <c r="L3193" s="4">
        <v>3187</v>
      </c>
      <c r="M3193" s="21">
        <v>262822.53319835791</v>
      </c>
    </row>
    <row r="3194" spans="12:13" x14ac:dyDescent="0.2">
      <c r="L3194" s="4">
        <v>3188</v>
      </c>
      <c r="M3194" s="21">
        <v>139131.86793688143</v>
      </c>
    </row>
    <row r="3195" spans="12:13" x14ac:dyDescent="0.2">
      <c r="L3195" s="4">
        <v>3189</v>
      </c>
      <c r="M3195" s="21">
        <v>53950.835007249814</v>
      </c>
    </row>
    <row r="3196" spans="12:13" x14ac:dyDescent="0.2">
      <c r="L3196" s="4">
        <v>3190</v>
      </c>
      <c r="M3196" s="21">
        <v>-205632.95810826641</v>
      </c>
    </row>
    <row r="3197" spans="12:13" x14ac:dyDescent="0.2">
      <c r="L3197" s="4">
        <v>3191</v>
      </c>
      <c r="M3197" s="21">
        <v>-66814.970268414239</v>
      </c>
    </row>
    <row r="3198" spans="12:13" x14ac:dyDescent="0.2">
      <c r="L3198" s="4">
        <v>3192</v>
      </c>
      <c r="M3198" s="21">
        <v>235935.01858657683</v>
      </c>
    </row>
    <row r="3199" spans="12:13" x14ac:dyDescent="0.2">
      <c r="L3199" s="4">
        <v>3193</v>
      </c>
      <c r="M3199" s="21">
        <v>461339.90233982151</v>
      </c>
    </row>
    <row r="3200" spans="12:13" x14ac:dyDescent="0.2">
      <c r="L3200" s="4">
        <v>3194</v>
      </c>
      <c r="M3200" s="21">
        <v>307240.70838465105</v>
      </c>
    </row>
    <row r="3201" spans="12:13" x14ac:dyDescent="0.2">
      <c r="L3201" s="4">
        <v>3195</v>
      </c>
      <c r="M3201" s="21">
        <v>354303.10589180549</v>
      </c>
    </row>
    <row r="3202" spans="12:13" x14ac:dyDescent="0.2">
      <c r="L3202" s="4">
        <v>3196</v>
      </c>
      <c r="M3202" s="21">
        <v>228404.2859972202</v>
      </c>
    </row>
    <row r="3203" spans="12:13" x14ac:dyDescent="0.2">
      <c r="L3203" s="4">
        <v>3197</v>
      </c>
      <c r="M3203" s="21">
        <v>-104396.11834874477</v>
      </c>
    </row>
    <row r="3204" spans="12:13" x14ac:dyDescent="0.2">
      <c r="L3204" s="4">
        <v>3198</v>
      </c>
      <c r="M3204" s="21">
        <v>128581.53529032762</v>
      </c>
    </row>
    <row r="3205" spans="12:13" x14ac:dyDescent="0.2">
      <c r="L3205" s="4">
        <v>3199</v>
      </c>
      <c r="M3205" s="21">
        <v>231295.03387223475</v>
      </c>
    </row>
    <row r="3206" spans="12:13" x14ac:dyDescent="0.2">
      <c r="L3206" s="4">
        <v>3200</v>
      </c>
      <c r="M3206" s="21">
        <v>43533.117408876453</v>
      </c>
    </row>
    <row r="3207" spans="12:13" x14ac:dyDescent="0.2">
      <c r="L3207" s="4">
        <v>3201</v>
      </c>
      <c r="M3207" s="21">
        <v>-85956.523431330148</v>
      </c>
    </row>
    <row r="3208" spans="12:13" x14ac:dyDescent="0.2">
      <c r="L3208" s="4">
        <v>3202</v>
      </c>
      <c r="M3208" s="21">
        <v>221224.76331994063</v>
      </c>
    </row>
    <row r="3209" spans="12:13" x14ac:dyDescent="0.2">
      <c r="L3209" s="4">
        <v>3203</v>
      </c>
      <c r="M3209" s="21">
        <v>148418.55393994774</v>
      </c>
    </row>
    <row r="3210" spans="12:13" x14ac:dyDescent="0.2">
      <c r="L3210" s="4">
        <v>3204</v>
      </c>
      <c r="M3210" s="21">
        <v>-38242.083525146983</v>
      </c>
    </row>
    <row r="3211" spans="12:13" x14ac:dyDescent="0.2">
      <c r="L3211" s="4">
        <v>3205</v>
      </c>
      <c r="M3211" s="21">
        <v>254979.0363194166</v>
      </c>
    </row>
    <row r="3212" spans="12:13" x14ac:dyDescent="0.2">
      <c r="L3212" s="4">
        <v>3206</v>
      </c>
      <c r="M3212" s="21">
        <v>308981.77475893369</v>
      </c>
    </row>
    <row r="3213" spans="12:13" x14ac:dyDescent="0.2">
      <c r="L3213" s="4">
        <v>3207</v>
      </c>
      <c r="M3213" s="21">
        <v>-46622.345476013943</v>
      </c>
    </row>
    <row r="3214" spans="12:13" x14ac:dyDescent="0.2">
      <c r="L3214" s="4">
        <v>3208</v>
      </c>
      <c r="M3214" s="21">
        <v>155757.8178810488</v>
      </c>
    </row>
    <row r="3215" spans="12:13" x14ac:dyDescent="0.2">
      <c r="L3215" s="4">
        <v>3209</v>
      </c>
      <c r="M3215" s="21">
        <v>279977.4294813259</v>
      </c>
    </row>
    <row r="3216" spans="12:13" x14ac:dyDescent="0.2">
      <c r="L3216" s="4">
        <v>3210</v>
      </c>
      <c r="M3216" s="21">
        <v>-11722.902713979129</v>
      </c>
    </row>
    <row r="3217" spans="12:13" x14ac:dyDescent="0.2">
      <c r="L3217" s="4">
        <v>3211</v>
      </c>
      <c r="M3217" s="21">
        <v>136504.3498290111</v>
      </c>
    </row>
    <row r="3218" spans="12:13" x14ac:dyDescent="0.2">
      <c r="L3218" s="4">
        <v>3212</v>
      </c>
      <c r="M3218" s="21">
        <v>249107.73662321604</v>
      </c>
    </row>
    <row r="3219" spans="12:13" x14ac:dyDescent="0.2">
      <c r="L3219" s="4">
        <v>3213</v>
      </c>
      <c r="M3219" s="21">
        <v>54626.084672457073</v>
      </c>
    </row>
    <row r="3220" spans="12:13" x14ac:dyDescent="0.2">
      <c r="L3220" s="4">
        <v>3214</v>
      </c>
      <c r="M3220" s="21">
        <v>91114.094820144412</v>
      </c>
    </row>
    <row r="3221" spans="12:13" x14ac:dyDescent="0.2">
      <c r="L3221" s="4">
        <v>3215</v>
      </c>
      <c r="M3221" s="21">
        <v>-258008.64700097975</v>
      </c>
    </row>
    <row r="3222" spans="12:13" x14ac:dyDescent="0.2">
      <c r="L3222" s="4">
        <v>3216</v>
      </c>
      <c r="M3222" s="21">
        <v>-63876.67823686979</v>
      </c>
    </row>
    <row r="3223" spans="12:13" x14ac:dyDescent="0.2">
      <c r="L3223" s="4">
        <v>3217</v>
      </c>
      <c r="M3223" s="21">
        <v>-207889.58652153885</v>
      </c>
    </row>
    <row r="3224" spans="12:13" x14ac:dyDescent="0.2">
      <c r="L3224" s="4">
        <v>3218</v>
      </c>
      <c r="M3224" s="21">
        <v>-64359.907389243555</v>
      </c>
    </row>
    <row r="3225" spans="12:13" x14ac:dyDescent="0.2">
      <c r="L3225" s="4">
        <v>3219</v>
      </c>
      <c r="M3225" s="21">
        <v>51549.44041783383</v>
      </c>
    </row>
    <row r="3226" spans="12:13" x14ac:dyDescent="0.2">
      <c r="L3226" s="4">
        <v>3220</v>
      </c>
      <c r="M3226" s="21">
        <v>164055.24908082292</v>
      </c>
    </row>
    <row r="3227" spans="12:13" x14ac:dyDescent="0.2">
      <c r="L3227" s="4">
        <v>3221</v>
      </c>
      <c r="M3227" s="21">
        <v>387572.8268631259</v>
      </c>
    </row>
    <row r="3228" spans="12:13" x14ac:dyDescent="0.2">
      <c r="L3228" s="4">
        <v>3222</v>
      </c>
      <c r="M3228" s="21">
        <v>262667.07435365883</v>
      </c>
    </row>
    <row r="3229" spans="12:13" x14ac:dyDescent="0.2">
      <c r="L3229" s="4">
        <v>3223</v>
      </c>
      <c r="M3229" s="21">
        <v>729.82004978961777</v>
      </c>
    </row>
    <row r="3230" spans="12:13" x14ac:dyDescent="0.2">
      <c r="L3230" s="4">
        <v>3224</v>
      </c>
      <c r="M3230" s="21">
        <v>-58466.243541984877</v>
      </c>
    </row>
    <row r="3231" spans="12:13" x14ac:dyDescent="0.2">
      <c r="L3231" s="4">
        <v>3225</v>
      </c>
      <c r="M3231" s="21">
        <v>426071.19142173068</v>
      </c>
    </row>
    <row r="3232" spans="12:13" x14ac:dyDescent="0.2">
      <c r="L3232" s="4">
        <v>3226</v>
      </c>
      <c r="M3232" s="21">
        <v>-119425.92961184564</v>
      </c>
    </row>
    <row r="3233" spans="12:13" x14ac:dyDescent="0.2">
      <c r="L3233" s="4">
        <v>3227</v>
      </c>
      <c r="M3233" s="21">
        <v>-65834.183317555333</v>
      </c>
    </row>
    <row r="3234" spans="12:13" x14ac:dyDescent="0.2">
      <c r="L3234" s="4">
        <v>3228</v>
      </c>
      <c r="M3234" s="21">
        <v>236810.11099260798</v>
      </c>
    </row>
    <row r="3235" spans="12:13" x14ac:dyDescent="0.2">
      <c r="L3235" s="4">
        <v>3229</v>
      </c>
      <c r="M3235" s="21">
        <v>38525.392403215519</v>
      </c>
    </row>
    <row r="3236" spans="12:13" x14ac:dyDescent="0.2">
      <c r="L3236" s="4">
        <v>3230</v>
      </c>
      <c r="M3236" s="21">
        <v>244984.80975956089</v>
      </c>
    </row>
    <row r="3237" spans="12:13" x14ac:dyDescent="0.2">
      <c r="L3237" s="4">
        <v>3231</v>
      </c>
      <c r="M3237" s="21">
        <v>196580.28658930323</v>
      </c>
    </row>
    <row r="3238" spans="12:13" x14ac:dyDescent="0.2">
      <c r="L3238" s="4">
        <v>3232</v>
      </c>
      <c r="M3238" s="21">
        <v>32918.45568500596</v>
      </c>
    </row>
    <row r="3239" spans="12:13" x14ac:dyDescent="0.2">
      <c r="L3239" s="4">
        <v>3233</v>
      </c>
      <c r="M3239" s="21">
        <v>-167351.42104238796</v>
      </c>
    </row>
    <row r="3240" spans="12:13" x14ac:dyDescent="0.2">
      <c r="L3240" s="4">
        <v>3234</v>
      </c>
      <c r="M3240" s="21">
        <v>354577.72114637634</v>
      </c>
    </row>
    <row r="3241" spans="12:13" x14ac:dyDescent="0.2">
      <c r="L3241" s="4">
        <v>3235</v>
      </c>
      <c r="M3241" s="21">
        <v>501817.04566069518</v>
      </c>
    </row>
    <row r="3242" spans="12:13" x14ac:dyDescent="0.2">
      <c r="L3242" s="4">
        <v>3236</v>
      </c>
      <c r="M3242" s="21">
        <v>-262055.95571969645</v>
      </c>
    </row>
    <row r="3243" spans="12:13" x14ac:dyDescent="0.2">
      <c r="L3243" s="4">
        <v>3237</v>
      </c>
      <c r="M3243" s="21">
        <v>-179155.5663982018</v>
      </c>
    </row>
    <row r="3244" spans="12:13" x14ac:dyDescent="0.2">
      <c r="L3244" s="4">
        <v>3238</v>
      </c>
      <c r="M3244" s="21">
        <v>11267.664369925798</v>
      </c>
    </row>
    <row r="3245" spans="12:13" x14ac:dyDescent="0.2">
      <c r="L3245" s="4">
        <v>3239</v>
      </c>
      <c r="M3245" s="21">
        <v>50410.669056270213</v>
      </c>
    </row>
    <row r="3246" spans="12:13" x14ac:dyDescent="0.2">
      <c r="L3246" s="4">
        <v>3240</v>
      </c>
      <c r="M3246" s="21">
        <v>-152806.37378901851</v>
      </c>
    </row>
    <row r="3247" spans="12:13" x14ac:dyDescent="0.2">
      <c r="L3247" s="4">
        <v>3241</v>
      </c>
      <c r="M3247" s="21">
        <v>-17966.638981764569</v>
      </c>
    </row>
    <row r="3248" spans="12:13" x14ac:dyDescent="0.2">
      <c r="L3248" s="4">
        <v>3242</v>
      </c>
      <c r="M3248" s="21">
        <v>14103.4147315968</v>
      </c>
    </row>
    <row r="3249" spans="12:13" x14ac:dyDescent="0.2">
      <c r="L3249" s="4">
        <v>3243</v>
      </c>
      <c r="M3249" s="21">
        <v>500090.29903413705</v>
      </c>
    </row>
    <row r="3250" spans="12:13" x14ac:dyDescent="0.2">
      <c r="L3250" s="4">
        <v>3244</v>
      </c>
      <c r="M3250" s="21">
        <v>228021.11559819398</v>
      </c>
    </row>
    <row r="3251" spans="12:13" x14ac:dyDescent="0.2">
      <c r="L3251" s="4">
        <v>3245</v>
      </c>
      <c r="M3251" s="21">
        <v>-156195.65173629296</v>
      </c>
    </row>
    <row r="3252" spans="12:13" x14ac:dyDescent="0.2">
      <c r="L3252" s="4">
        <v>3246</v>
      </c>
      <c r="M3252" s="21">
        <v>10634.203529938764</v>
      </c>
    </row>
    <row r="3253" spans="12:13" x14ac:dyDescent="0.2">
      <c r="L3253" s="4">
        <v>3247</v>
      </c>
      <c r="M3253" s="21">
        <v>254163.07710726338</v>
      </c>
    </row>
    <row r="3254" spans="12:13" x14ac:dyDescent="0.2">
      <c r="L3254" s="4">
        <v>3248</v>
      </c>
      <c r="M3254" s="21">
        <v>-107970.35356824522</v>
      </c>
    </row>
    <row r="3255" spans="12:13" x14ac:dyDescent="0.2">
      <c r="L3255" s="4">
        <v>3249</v>
      </c>
      <c r="M3255" s="21">
        <v>210725.5525314245</v>
      </c>
    </row>
    <row r="3256" spans="12:13" x14ac:dyDescent="0.2">
      <c r="L3256" s="4">
        <v>3250</v>
      </c>
      <c r="M3256" s="21">
        <v>173449.86294017371</v>
      </c>
    </row>
    <row r="3257" spans="12:13" x14ac:dyDescent="0.2">
      <c r="L3257" s="4">
        <v>3251</v>
      </c>
      <c r="M3257" s="21">
        <v>-109307.83238138912</v>
      </c>
    </row>
    <row r="3258" spans="12:13" x14ac:dyDescent="0.2">
      <c r="L3258" s="4">
        <v>3252</v>
      </c>
      <c r="M3258" s="21">
        <v>-371894.02423893125</v>
      </c>
    </row>
    <row r="3259" spans="12:13" x14ac:dyDescent="0.2">
      <c r="L3259" s="4">
        <v>3253</v>
      </c>
      <c r="M3259" s="21">
        <v>95683.099723379331</v>
      </c>
    </row>
    <row r="3260" spans="12:13" x14ac:dyDescent="0.2">
      <c r="L3260" s="4">
        <v>3254</v>
      </c>
      <c r="M3260" s="21">
        <v>-28553.073454365978</v>
      </c>
    </row>
    <row r="3261" spans="12:13" x14ac:dyDescent="0.2">
      <c r="L3261" s="4">
        <v>3255</v>
      </c>
      <c r="M3261" s="21">
        <v>-101107.06727549333</v>
      </c>
    </row>
    <row r="3262" spans="12:13" x14ac:dyDescent="0.2">
      <c r="L3262" s="4">
        <v>3256</v>
      </c>
      <c r="M3262" s="21">
        <v>118193.00117613733</v>
      </c>
    </row>
    <row r="3263" spans="12:13" x14ac:dyDescent="0.2">
      <c r="L3263" s="4">
        <v>3257</v>
      </c>
      <c r="M3263" s="21">
        <v>227470.28259252329</v>
      </c>
    </row>
    <row r="3264" spans="12:13" x14ac:dyDescent="0.2">
      <c r="L3264" s="4">
        <v>3258</v>
      </c>
      <c r="M3264" s="21">
        <v>-192338.23603044698</v>
      </c>
    </row>
    <row r="3265" spans="12:13" x14ac:dyDescent="0.2">
      <c r="L3265" s="4">
        <v>3259</v>
      </c>
      <c r="M3265" s="21">
        <v>393940.40857725835</v>
      </c>
    </row>
    <row r="3266" spans="12:13" x14ac:dyDescent="0.2">
      <c r="L3266" s="4">
        <v>3260</v>
      </c>
      <c r="M3266" s="21">
        <v>-143111.68818119477</v>
      </c>
    </row>
    <row r="3267" spans="12:13" x14ac:dyDescent="0.2">
      <c r="L3267" s="4">
        <v>3261</v>
      </c>
      <c r="M3267" s="21">
        <v>184338.02395854777</v>
      </c>
    </row>
    <row r="3268" spans="12:13" x14ac:dyDescent="0.2">
      <c r="L3268" s="4">
        <v>3262</v>
      </c>
      <c r="M3268" s="21">
        <v>-7365.3724580188573</v>
      </c>
    </row>
    <row r="3269" spans="12:13" x14ac:dyDescent="0.2">
      <c r="L3269" s="4">
        <v>3263</v>
      </c>
      <c r="M3269" s="21">
        <v>-340213.71170147369</v>
      </c>
    </row>
    <row r="3270" spans="12:13" x14ac:dyDescent="0.2">
      <c r="L3270" s="4">
        <v>3264</v>
      </c>
      <c r="M3270" s="21">
        <v>60129.394336416037</v>
      </c>
    </row>
    <row r="3271" spans="12:13" x14ac:dyDescent="0.2">
      <c r="L3271" s="4">
        <v>3265</v>
      </c>
      <c r="M3271" s="21">
        <v>285541.27173874347</v>
      </c>
    </row>
    <row r="3272" spans="12:13" x14ac:dyDescent="0.2">
      <c r="L3272" s="4">
        <v>3266</v>
      </c>
      <c r="M3272" s="21">
        <v>205037.76273225239</v>
      </c>
    </row>
    <row r="3273" spans="12:13" x14ac:dyDescent="0.2">
      <c r="L3273" s="4">
        <v>3267</v>
      </c>
      <c r="M3273" s="21">
        <v>-23773.354678440272</v>
      </c>
    </row>
    <row r="3274" spans="12:13" x14ac:dyDescent="0.2">
      <c r="L3274" s="4">
        <v>3268</v>
      </c>
      <c r="M3274" s="21">
        <v>228467.42295710227</v>
      </c>
    </row>
    <row r="3275" spans="12:13" x14ac:dyDescent="0.2">
      <c r="L3275" s="4">
        <v>3269</v>
      </c>
      <c r="M3275" s="21">
        <v>-203307.99754284933</v>
      </c>
    </row>
    <row r="3276" spans="12:13" x14ac:dyDescent="0.2">
      <c r="L3276" s="4">
        <v>3270</v>
      </c>
      <c r="M3276" s="21">
        <v>-166820.73260172084</v>
      </c>
    </row>
    <row r="3277" spans="12:13" x14ac:dyDescent="0.2">
      <c r="L3277" s="4">
        <v>3271</v>
      </c>
      <c r="M3277" s="21">
        <v>-135614.1861252746</v>
      </c>
    </row>
    <row r="3278" spans="12:13" x14ac:dyDescent="0.2">
      <c r="L3278" s="4">
        <v>3272</v>
      </c>
      <c r="M3278" s="21">
        <v>472855.56121881516</v>
      </c>
    </row>
    <row r="3279" spans="12:13" x14ac:dyDescent="0.2">
      <c r="L3279" s="4">
        <v>3273</v>
      </c>
      <c r="M3279" s="21">
        <v>124345.97792523852</v>
      </c>
    </row>
    <row r="3280" spans="12:13" x14ac:dyDescent="0.2">
      <c r="L3280" s="4">
        <v>3274</v>
      </c>
      <c r="M3280" s="21">
        <v>-46733.052951608668</v>
      </c>
    </row>
    <row r="3281" spans="12:13" x14ac:dyDescent="0.2">
      <c r="L3281" s="4">
        <v>3275</v>
      </c>
      <c r="M3281" s="21">
        <v>777063.97362329811</v>
      </c>
    </row>
    <row r="3282" spans="12:13" x14ac:dyDescent="0.2">
      <c r="L3282" s="4">
        <v>3276</v>
      </c>
      <c r="M3282" s="21">
        <v>337119.1313918517</v>
      </c>
    </row>
    <row r="3283" spans="12:13" x14ac:dyDescent="0.2">
      <c r="L3283" s="4">
        <v>3277</v>
      </c>
      <c r="M3283" s="21">
        <v>111684.07623694497</v>
      </c>
    </row>
    <row r="3284" spans="12:13" x14ac:dyDescent="0.2">
      <c r="L3284" s="4">
        <v>3278</v>
      </c>
      <c r="M3284" s="21">
        <v>90071.505311879155</v>
      </c>
    </row>
    <row r="3285" spans="12:13" x14ac:dyDescent="0.2">
      <c r="L3285" s="4">
        <v>3279</v>
      </c>
      <c r="M3285" s="21">
        <v>226458.33902813561</v>
      </c>
    </row>
    <row r="3286" spans="12:13" x14ac:dyDescent="0.2">
      <c r="L3286" s="4">
        <v>3280</v>
      </c>
      <c r="M3286" s="21">
        <v>102446.44922509629</v>
      </c>
    </row>
    <row r="3287" spans="12:13" x14ac:dyDescent="0.2">
      <c r="L3287" s="4">
        <v>3281</v>
      </c>
      <c r="M3287" s="21">
        <v>-80467.400301692251</v>
      </c>
    </row>
    <row r="3288" spans="12:13" x14ac:dyDescent="0.2">
      <c r="L3288" s="4">
        <v>3282</v>
      </c>
      <c r="M3288" s="21">
        <v>149938.2231748843</v>
      </c>
    </row>
    <row r="3289" spans="12:13" x14ac:dyDescent="0.2">
      <c r="L3289" s="4">
        <v>3283</v>
      </c>
      <c r="M3289" s="21">
        <v>-13678.918196401268</v>
      </c>
    </row>
    <row r="3290" spans="12:13" x14ac:dyDescent="0.2">
      <c r="L3290" s="4">
        <v>3284</v>
      </c>
      <c r="M3290" s="21">
        <v>-332743.29007888882</v>
      </c>
    </row>
    <row r="3291" spans="12:13" x14ac:dyDescent="0.2">
      <c r="L3291" s="4">
        <v>3285</v>
      </c>
      <c r="M3291" s="21">
        <v>354312.41246027919</v>
      </c>
    </row>
    <row r="3292" spans="12:13" x14ac:dyDescent="0.2">
      <c r="L3292" s="4">
        <v>3286</v>
      </c>
      <c r="M3292" s="21">
        <v>-27029.829690700746</v>
      </c>
    </row>
    <row r="3293" spans="12:13" x14ac:dyDescent="0.2">
      <c r="L3293" s="4">
        <v>3287</v>
      </c>
      <c r="M3293" s="21">
        <v>159533.31835060197</v>
      </c>
    </row>
    <row r="3294" spans="12:13" x14ac:dyDescent="0.2">
      <c r="L3294" s="4">
        <v>3288</v>
      </c>
      <c r="M3294" s="21">
        <v>20163.377758452174</v>
      </c>
    </row>
    <row r="3295" spans="12:13" x14ac:dyDescent="0.2">
      <c r="L3295" s="4">
        <v>3289</v>
      </c>
      <c r="M3295" s="21">
        <v>61924.125222206931</v>
      </c>
    </row>
    <row r="3296" spans="12:13" x14ac:dyDescent="0.2">
      <c r="L3296" s="4">
        <v>3290</v>
      </c>
      <c r="M3296" s="21">
        <v>134076.23979166843</v>
      </c>
    </row>
    <row r="3297" spans="12:13" x14ac:dyDescent="0.2">
      <c r="L3297" s="4">
        <v>3291</v>
      </c>
      <c r="M3297" s="21">
        <v>133359.83183738889</v>
      </c>
    </row>
    <row r="3298" spans="12:13" x14ac:dyDescent="0.2">
      <c r="L3298" s="4">
        <v>3292</v>
      </c>
      <c r="M3298" s="21">
        <v>-58841.786672473623</v>
      </c>
    </row>
    <row r="3299" spans="12:13" x14ac:dyDescent="0.2">
      <c r="L3299" s="4">
        <v>3293</v>
      </c>
      <c r="M3299" s="21">
        <v>208004.58014580287</v>
      </c>
    </row>
    <row r="3300" spans="12:13" x14ac:dyDescent="0.2">
      <c r="L3300" s="4">
        <v>3294</v>
      </c>
      <c r="M3300" s="21">
        <v>-16319.114027449294</v>
      </c>
    </row>
    <row r="3301" spans="12:13" x14ac:dyDescent="0.2">
      <c r="L3301" s="4">
        <v>3295</v>
      </c>
      <c r="M3301" s="21">
        <v>350646.35264964256</v>
      </c>
    </row>
    <row r="3302" spans="12:13" x14ac:dyDescent="0.2">
      <c r="L3302" s="4">
        <v>3296</v>
      </c>
      <c r="M3302" s="21">
        <v>408350.28201138414</v>
      </c>
    </row>
    <row r="3303" spans="12:13" x14ac:dyDescent="0.2">
      <c r="L3303" s="4">
        <v>3297</v>
      </c>
      <c r="M3303" s="21">
        <v>27697.014499225828</v>
      </c>
    </row>
    <row r="3304" spans="12:13" x14ac:dyDescent="0.2">
      <c r="L3304" s="4">
        <v>3298</v>
      </c>
      <c r="M3304" s="21">
        <v>55456.40942075089</v>
      </c>
    </row>
    <row r="3305" spans="12:13" x14ac:dyDescent="0.2">
      <c r="L3305" s="4">
        <v>3299</v>
      </c>
      <c r="M3305" s="21">
        <v>-116574.02879477262</v>
      </c>
    </row>
    <row r="3306" spans="12:13" x14ac:dyDescent="0.2">
      <c r="L3306" s="4">
        <v>3300</v>
      </c>
      <c r="M3306" s="21">
        <v>-380965.69929708994</v>
      </c>
    </row>
    <row r="3307" spans="12:13" x14ac:dyDescent="0.2">
      <c r="L3307" s="4">
        <v>3301</v>
      </c>
      <c r="M3307" s="21">
        <v>353704.18022401311</v>
      </c>
    </row>
    <row r="3308" spans="12:13" x14ac:dyDescent="0.2">
      <c r="L3308" s="4">
        <v>3302</v>
      </c>
      <c r="M3308" s="21">
        <v>85182.064467994875</v>
      </c>
    </row>
    <row r="3309" spans="12:13" x14ac:dyDescent="0.2">
      <c r="L3309" s="4">
        <v>3303</v>
      </c>
      <c r="M3309" s="21">
        <v>72621.873882267188</v>
      </c>
    </row>
    <row r="3310" spans="12:13" x14ac:dyDescent="0.2">
      <c r="L3310" s="4">
        <v>3304</v>
      </c>
      <c r="M3310" s="21">
        <v>-221845.54013453328</v>
      </c>
    </row>
    <row r="3311" spans="12:13" x14ac:dyDescent="0.2">
      <c r="L3311" s="4">
        <v>3305</v>
      </c>
      <c r="M3311" s="21">
        <v>192089.02113214915</v>
      </c>
    </row>
    <row r="3312" spans="12:13" x14ac:dyDescent="0.2">
      <c r="L3312" s="4">
        <v>3306</v>
      </c>
      <c r="M3312" s="21">
        <v>28900.673710263189</v>
      </c>
    </row>
    <row r="3313" spans="12:13" x14ac:dyDescent="0.2">
      <c r="L3313" s="4">
        <v>3307</v>
      </c>
      <c r="M3313" s="21">
        <v>-15786.185320863529</v>
      </c>
    </row>
    <row r="3314" spans="12:13" x14ac:dyDescent="0.2">
      <c r="L3314" s="4">
        <v>3308</v>
      </c>
      <c r="M3314" s="21">
        <v>199287.57692767921</v>
      </c>
    </row>
    <row r="3315" spans="12:13" x14ac:dyDescent="0.2">
      <c r="L3315" s="4">
        <v>3309</v>
      </c>
      <c r="M3315" s="21">
        <v>-140222.27240671578</v>
      </c>
    </row>
    <row r="3316" spans="12:13" x14ac:dyDescent="0.2">
      <c r="L3316" s="4">
        <v>3310</v>
      </c>
      <c r="M3316" s="21">
        <v>-28310.654148276168</v>
      </c>
    </row>
    <row r="3317" spans="12:13" x14ac:dyDescent="0.2">
      <c r="L3317" s="4">
        <v>3311</v>
      </c>
      <c r="M3317" s="21">
        <v>-230910.89040064625</v>
      </c>
    </row>
    <row r="3318" spans="12:13" x14ac:dyDescent="0.2">
      <c r="L3318" s="4">
        <v>3312</v>
      </c>
      <c r="M3318" s="21">
        <v>-38359.892918888407</v>
      </c>
    </row>
    <row r="3319" spans="12:13" x14ac:dyDescent="0.2">
      <c r="L3319" s="4">
        <v>3313</v>
      </c>
      <c r="M3319" s="21">
        <v>300189.31341357203</v>
      </c>
    </row>
    <row r="3320" spans="12:13" x14ac:dyDescent="0.2">
      <c r="L3320" s="4">
        <v>3314</v>
      </c>
      <c r="M3320" s="21">
        <v>55485.968389624992</v>
      </c>
    </row>
    <row r="3321" spans="12:13" x14ac:dyDescent="0.2">
      <c r="L3321" s="4">
        <v>3315</v>
      </c>
      <c r="M3321" s="21">
        <v>330762.74020560854</v>
      </c>
    </row>
    <row r="3322" spans="12:13" x14ac:dyDescent="0.2">
      <c r="L3322" s="4">
        <v>3316</v>
      </c>
      <c r="M3322" s="21">
        <v>144472.18414979</v>
      </c>
    </row>
    <row r="3323" spans="12:13" x14ac:dyDescent="0.2">
      <c r="L3323" s="4">
        <v>3317</v>
      </c>
      <c r="M3323" s="21">
        <v>-62457.805834886894</v>
      </c>
    </row>
    <row r="3324" spans="12:13" x14ac:dyDescent="0.2">
      <c r="L3324" s="4">
        <v>3318</v>
      </c>
      <c r="M3324" s="21">
        <v>-403204.76568004553</v>
      </c>
    </row>
    <row r="3325" spans="12:13" x14ac:dyDescent="0.2">
      <c r="L3325" s="4">
        <v>3319</v>
      </c>
      <c r="M3325" s="21">
        <v>106575.39642870441</v>
      </c>
    </row>
    <row r="3326" spans="12:13" x14ac:dyDescent="0.2">
      <c r="L3326" s="4">
        <v>3320</v>
      </c>
      <c r="M3326" s="21">
        <v>-372026.27832047991</v>
      </c>
    </row>
    <row r="3327" spans="12:13" x14ac:dyDescent="0.2">
      <c r="L3327" s="4">
        <v>3321</v>
      </c>
      <c r="M3327" s="21">
        <v>203388.91429218344</v>
      </c>
    </row>
    <row r="3328" spans="12:13" x14ac:dyDescent="0.2">
      <c r="L3328" s="4">
        <v>3322</v>
      </c>
      <c r="M3328" s="21">
        <v>65087.289455384889</v>
      </c>
    </row>
    <row r="3329" spans="12:13" x14ac:dyDescent="0.2">
      <c r="L3329" s="4">
        <v>3323</v>
      </c>
      <c r="M3329" s="21">
        <v>169099.56805298445</v>
      </c>
    </row>
    <row r="3330" spans="12:13" x14ac:dyDescent="0.2">
      <c r="L3330" s="4">
        <v>3324</v>
      </c>
      <c r="M3330" s="21">
        <v>238056.17322275686</v>
      </c>
    </row>
    <row r="3331" spans="12:13" x14ac:dyDescent="0.2">
      <c r="L3331" s="4">
        <v>3325</v>
      </c>
      <c r="M3331" s="21">
        <v>113995.50514973109</v>
      </c>
    </row>
    <row r="3332" spans="12:13" x14ac:dyDescent="0.2">
      <c r="L3332" s="4">
        <v>3326</v>
      </c>
      <c r="M3332" s="21">
        <v>185535.30098867128</v>
      </c>
    </row>
    <row r="3333" spans="12:13" x14ac:dyDescent="0.2">
      <c r="L3333" s="4">
        <v>3327</v>
      </c>
      <c r="M3333" s="21">
        <v>-356905.14838863938</v>
      </c>
    </row>
    <row r="3334" spans="12:13" x14ac:dyDescent="0.2">
      <c r="L3334" s="4">
        <v>3328</v>
      </c>
      <c r="M3334" s="21">
        <v>-87435.330324851835</v>
      </c>
    </row>
    <row r="3335" spans="12:13" x14ac:dyDescent="0.2">
      <c r="L3335" s="4">
        <v>3329</v>
      </c>
      <c r="M3335" s="21">
        <v>151752.01219895668</v>
      </c>
    </row>
    <row r="3336" spans="12:13" x14ac:dyDescent="0.2">
      <c r="L3336" s="4">
        <v>3330</v>
      </c>
      <c r="M3336" s="21">
        <v>108756.21440404924</v>
      </c>
    </row>
    <row r="3337" spans="12:13" x14ac:dyDescent="0.2">
      <c r="L3337" s="4">
        <v>3331</v>
      </c>
      <c r="M3337" s="21">
        <v>-3867.5047810503311</v>
      </c>
    </row>
    <row r="3338" spans="12:13" x14ac:dyDescent="0.2">
      <c r="L3338" s="4">
        <v>3332</v>
      </c>
      <c r="M3338" s="21">
        <v>-101882.89937755818</v>
      </c>
    </row>
    <row r="3339" spans="12:13" x14ac:dyDescent="0.2">
      <c r="L3339" s="4">
        <v>3333</v>
      </c>
      <c r="M3339" s="21">
        <v>35279.745988527429</v>
      </c>
    </row>
    <row r="3340" spans="12:13" x14ac:dyDescent="0.2">
      <c r="L3340" s="4">
        <v>3334</v>
      </c>
      <c r="M3340" s="21">
        <v>376701.89129534643</v>
      </c>
    </row>
    <row r="3341" spans="12:13" x14ac:dyDescent="0.2">
      <c r="L3341" s="4">
        <v>3335</v>
      </c>
      <c r="M3341" s="21">
        <v>-179794.10568149289</v>
      </c>
    </row>
    <row r="3342" spans="12:13" x14ac:dyDescent="0.2">
      <c r="L3342" s="4">
        <v>3336</v>
      </c>
      <c r="M3342" s="21">
        <v>183664.43331200696</v>
      </c>
    </row>
    <row r="3343" spans="12:13" x14ac:dyDescent="0.2">
      <c r="L3343" s="4">
        <v>3337</v>
      </c>
      <c r="M3343" s="21">
        <v>131945.31582796559</v>
      </c>
    </row>
    <row r="3344" spans="12:13" x14ac:dyDescent="0.2">
      <c r="L3344" s="4">
        <v>3338</v>
      </c>
      <c r="M3344" s="21">
        <v>-131497.10548985994</v>
      </c>
    </row>
    <row r="3345" spans="12:13" x14ac:dyDescent="0.2">
      <c r="L3345" s="4">
        <v>3339</v>
      </c>
      <c r="M3345" s="21">
        <v>-279057.928885006</v>
      </c>
    </row>
    <row r="3346" spans="12:13" x14ac:dyDescent="0.2">
      <c r="L3346" s="4">
        <v>3340</v>
      </c>
      <c r="M3346" s="21">
        <v>212165.22100711946</v>
      </c>
    </row>
    <row r="3347" spans="12:13" x14ac:dyDescent="0.2">
      <c r="L3347" s="4">
        <v>3341</v>
      </c>
      <c r="M3347" s="21">
        <v>-79686.976609939913</v>
      </c>
    </row>
    <row r="3348" spans="12:13" x14ac:dyDescent="0.2">
      <c r="L3348" s="4">
        <v>3342</v>
      </c>
      <c r="M3348" s="21">
        <v>71919.248424352525</v>
      </c>
    </row>
    <row r="3349" spans="12:13" x14ac:dyDescent="0.2">
      <c r="L3349" s="4">
        <v>3343</v>
      </c>
      <c r="M3349" s="21">
        <v>-218063.76637343693</v>
      </c>
    </row>
    <row r="3350" spans="12:13" x14ac:dyDescent="0.2">
      <c r="L3350" s="4">
        <v>3344</v>
      </c>
      <c r="M3350" s="21">
        <v>90806.767269389384</v>
      </c>
    </row>
    <row r="3351" spans="12:13" x14ac:dyDescent="0.2">
      <c r="L3351" s="4">
        <v>3345</v>
      </c>
      <c r="M3351" s="21">
        <v>34809.010393494653</v>
      </c>
    </row>
    <row r="3352" spans="12:13" x14ac:dyDescent="0.2">
      <c r="L3352" s="4">
        <v>3346</v>
      </c>
      <c r="M3352" s="21">
        <v>105523.16093337446</v>
      </c>
    </row>
    <row r="3353" spans="12:13" x14ac:dyDescent="0.2">
      <c r="L3353" s="4">
        <v>3347</v>
      </c>
      <c r="M3353" s="21">
        <v>-158892.16183617187</v>
      </c>
    </row>
    <row r="3354" spans="12:13" x14ac:dyDescent="0.2">
      <c r="L3354" s="4">
        <v>3348</v>
      </c>
      <c r="M3354" s="21">
        <v>99941.921255141759</v>
      </c>
    </row>
    <row r="3355" spans="12:13" x14ac:dyDescent="0.2">
      <c r="L3355" s="4">
        <v>3349</v>
      </c>
      <c r="M3355" s="21">
        <v>62659.864281652466</v>
      </c>
    </row>
    <row r="3356" spans="12:13" x14ac:dyDescent="0.2">
      <c r="L3356" s="4">
        <v>3350</v>
      </c>
      <c r="M3356" s="21">
        <v>211243.80483655405</v>
      </c>
    </row>
    <row r="3357" spans="12:13" x14ac:dyDescent="0.2">
      <c r="L3357" s="4">
        <v>3351</v>
      </c>
      <c r="M3357" s="21">
        <v>-142480.68551432705</v>
      </c>
    </row>
    <row r="3358" spans="12:13" x14ac:dyDescent="0.2">
      <c r="L3358" s="4">
        <v>3352</v>
      </c>
      <c r="M3358" s="21">
        <v>-172672.1884913728</v>
      </c>
    </row>
    <row r="3359" spans="12:13" x14ac:dyDescent="0.2">
      <c r="L3359" s="4">
        <v>3353</v>
      </c>
      <c r="M3359" s="21">
        <v>-43738.831118893853</v>
      </c>
    </row>
    <row r="3360" spans="12:13" x14ac:dyDescent="0.2">
      <c r="L3360" s="4">
        <v>3354</v>
      </c>
      <c r="M3360" s="21">
        <v>127970.10388282966</v>
      </c>
    </row>
    <row r="3361" spans="12:13" x14ac:dyDescent="0.2">
      <c r="L3361" s="4">
        <v>3355</v>
      </c>
      <c r="M3361" s="21">
        <v>-49767.366921023844</v>
      </c>
    </row>
    <row r="3362" spans="12:13" x14ac:dyDescent="0.2">
      <c r="L3362" s="4">
        <v>3356</v>
      </c>
      <c r="M3362" s="21">
        <v>-113749.00670016422</v>
      </c>
    </row>
    <row r="3363" spans="12:13" x14ac:dyDescent="0.2">
      <c r="L3363" s="4">
        <v>3357</v>
      </c>
      <c r="M3363" s="21">
        <v>-130974.87785037028</v>
      </c>
    </row>
    <row r="3364" spans="12:13" x14ac:dyDescent="0.2">
      <c r="L3364" s="4">
        <v>3358</v>
      </c>
      <c r="M3364" s="21">
        <v>299315.50987130019</v>
      </c>
    </row>
    <row r="3365" spans="12:13" x14ac:dyDescent="0.2">
      <c r="L3365" s="4">
        <v>3359</v>
      </c>
      <c r="M3365" s="21">
        <v>150408.66821201207</v>
      </c>
    </row>
    <row r="3366" spans="12:13" x14ac:dyDescent="0.2">
      <c r="L3366" s="4">
        <v>3360</v>
      </c>
      <c r="M3366" s="21">
        <v>-121814.19400494271</v>
      </c>
    </row>
    <row r="3367" spans="12:13" x14ac:dyDescent="0.2">
      <c r="L3367" s="4">
        <v>3361</v>
      </c>
      <c r="M3367" s="21">
        <v>-163716.91040095434</v>
      </c>
    </row>
    <row r="3368" spans="12:13" x14ac:dyDescent="0.2">
      <c r="L3368" s="4">
        <v>3362</v>
      </c>
      <c r="M3368" s="21">
        <v>327647.42783791304</v>
      </c>
    </row>
    <row r="3369" spans="12:13" x14ac:dyDescent="0.2">
      <c r="L3369" s="4">
        <v>3363</v>
      </c>
      <c r="M3369" s="21">
        <v>-124132.83680295614</v>
      </c>
    </row>
    <row r="3370" spans="12:13" x14ac:dyDescent="0.2">
      <c r="L3370" s="4">
        <v>3364</v>
      </c>
      <c r="M3370" s="21">
        <v>96118.060753947706</v>
      </c>
    </row>
    <row r="3371" spans="12:13" x14ac:dyDescent="0.2">
      <c r="L3371" s="4">
        <v>3365</v>
      </c>
      <c r="M3371" s="21">
        <v>-10985.483213440937</v>
      </c>
    </row>
    <row r="3372" spans="12:13" x14ac:dyDescent="0.2">
      <c r="L3372" s="4">
        <v>3366</v>
      </c>
      <c r="M3372" s="21">
        <v>267642.9696342994</v>
      </c>
    </row>
    <row r="3373" spans="12:13" x14ac:dyDescent="0.2">
      <c r="L3373" s="4">
        <v>3367</v>
      </c>
      <c r="M3373" s="21">
        <v>-151005.20587099838</v>
      </c>
    </row>
    <row r="3374" spans="12:13" x14ac:dyDescent="0.2">
      <c r="L3374" s="4">
        <v>3368</v>
      </c>
      <c r="M3374" s="21">
        <v>244924.43960825028</v>
      </c>
    </row>
    <row r="3375" spans="12:13" x14ac:dyDescent="0.2">
      <c r="L3375" s="4">
        <v>3369</v>
      </c>
      <c r="M3375" s="21">
        <v>-59753.799811165038</v>
      </c>
    </row>
    <row r="3376" spans="12:13" x14ac:dyDescent="0.2">
      <c r="L3376" s="4">
        <v>3370</v>
      </c>
      <c r="M3376" s="21">
        <v>59162.738905370585</v>
      </c>
    </row>
    <row r="3377" spans="12:13" x14ac:dyDescent="0.2">
      <c r="L3377" s="4">
        <v>3371</v>
      </c>
      <c r="M3377" s="21">
        <v>344407.57535766368</v>
      </c>
    </row>
    <row r="3378" spans="12:13" x14ac:dyDescent="0.2">
      <c r="L3378" s="4">
        <v>3372</v>
      </c>
      <c r="M3378" s="21">
        <v>-160590.45205159584</v>
      </c>
    </row>
    <row r="3379" spans="12:13" x14ac:dyDescent="0.2">
      <c r="L3379" s="4">
        <v>3373</v>
      </c>
      <c r="M3379" s="21">
        <v>-50378.696680523979</v>
      </c>
    </row>
    <row r="3380" spans="12:13" x14ac:dyDescent="0.2">
      <c r="L3380" s="4">
        <v>3374</v>
      </c>
      <c r="M3380" s="21">
        <v>-166705.05984852032</v>
      </c>
    </row>
    <row r="3381" spans="12:13" x14ac:dyDescent="0.2">
      <c r="L3381" s="4">
        <v>3375</v>
      </c>
      <c r="M3381" s="21">
        <v>32470.49773141474</v>
      </c>
    </row>
    <row r="3382" spans="12:13" x14ac:dyDescent="0.2">
      <c r="L3382" s="4">
        <v>3376</v>
      </c>
      <c r="M3382" s="21">
        <v>-101364.74483632388</v>
      </c>
    </row>
    <row r="3383" spans="12:13" x14ac:dyDescent="0.2">
      <c r="L3383" s="4">
        <v>3377</v>
      </c>
      <c r="M3383" s="21">
        <v>-116440.77521179673</v>
      </c>
    </row>
    <row r="3384" spans="12:13" x14ac:dyDescent="0.2">
      <c r="L3384" s="4">
        <v>3378</v>
      </c>
      <c r="M3384" s="21">
        <v>-45134.672531694392</v>
      </c>
    </row>
    <row r="3385" spans="12:13" x14ac:dyDescent="0.2">
      <c r="L3385" s="4">
        <v>3379</v>
      </c>
      <c r="M3385" s="21">
        <v>86538.910869961692</v>
      </c>
    </row>
    <row r="3386" spans="12:13" x14ac:dyDescent="0.2">
      <c r="L3386" s="4">
        <v>3380</v>
      </c>
      <c r="M3386" s="21">
        <v>-47738.151126507903</v>
      </c>
    </row>
    <row r="3387" spans="12:13" x14ac:dyDescent="0.2">
      <c r="L3387" s="4">
        <v>3381</v>
      </c>
      <c r="M3387" s="21">
        <v>50441.134747983626</v>
      </c>
    </row>
    <row r="3388" spans="12:13" x14ac:dyDescent="0.2">
      <c r="L3388" s="4">
        <v>3382</v>
      </c>
      <c r="M3388" s="21">
        <v>313258.93947946408</v>
      </c>
    </row>
    <row r="3389" spans="12:13" x14ac:dyDescent="0.2">
      <c r="L3389" s="4">
        <v>3383</v>
      </c>
      <c r="M3389" s="21">
        <v>48716.447002775647</v>
      </c>
    </row>
    <row r="3390" spans="12:13" x14ac:dyDescent="0.2">
      <c r="L3390" s="4">
        <v>3384</v>
      </c>
      <c r="M3390" s="21">
        <v>93641.103740919061</v>
      </c>
    </row>
    <row r="3391" spans="12:13" x14ac:dyDescent="0.2">
      <c r="L3391" s="4">
        <v>3385</v>
      </c>
      <c r="M3391" s="21">
        <v>-385858.59541670838</v>
      </c>
    </row>
    <row r="3392" spans="12:13" x14ac:dyDescent="0.2">
      <c r="L3392" s="4">
        <v>3386</v>
      </c>
      <c r="M3392" s="21">
        <v>10252.252066099813</v>
      </c>
    </row>
    <row r="3393" spans="12:13" x14ac:dyDescent="0.2">
      <c r="L3393" s="4">
        <v>3387</v>
      </c>
      <c r="M3393" s="21">
        <v>2284.6645450895012</v>
      </c>
    </row>
    <row r="3394" spans="12:13" x14ac:dyDescent="0.2">
      <c r="L3394" s="4">
        <v>3388</v>
      </c>
      <c r="M3394" s="21">
        <v>-99573.788018821564</v>
      </c>
    </row>
    <row r="3395" spans="12:13" x14ac:dyDescent="0.2">
      <c r="L3395" s="4">
        <v>3389</v>
      </c>
      <c r="M3395" s="21">
        <v>49102.539069308608</v>
      </c>
    </row>
    <row r="3396" spans="12:13" x14ac:dyDescent="0.2">
      <c r="L3396" s="4">
        <v>3390</v>
      </c>
      <c r="M3396" s="21">
        <v>61397.038960589154</v>
      </c>
    </row>
    <row r="3397" spans="12:13" x14ac:dyDescent="0.2">
      <c r="L3397" s="4">
        <v>3391</v>
      </c>
      <c r="M3397" s="21">
        <v>279724.61074796459</v>
      </c>
    </row>
    <row r="3398" spans="12:13" x14ac:dyDescent="0.2">
      <c r="L3398" s="4">
        <v>3392</v>
      </c>
      <c r="M3398" s="21">
        <v>-92781.593224194308</v>
      </c>
    </row>
    <row r="3399" spans="12:13" x14ac:dyDescent="0.2">
      <c r="L3399" s="4">
        <v>3393</v>
      </c>
      <c r="M3399" s="21">
        <v>140452.12396828586</v>
      </c>
    </row>
    <row r="3400" spans="12:13" x14ac:dyDescent="0.2">
      <c r="L3400" s="4">
        <v>3394</v>
      </c>
      <c r="M3400" s="21">
        <v>-650452.32102477388</v>
      </c>
    </row>
    <row r="3401" spans="12:13" x14ac:dyDescent="0.2">
      <c r="L3401" s="4">
        <v>3395</v>
      </c>
      <c r="M3401" s="21">
        <v>379565.23728027928</v>
      </c>
    </row>
    <row r="3402" spans="12:13" x14ac:dyDescent="0.2">
      <c r="L3402" s="4">
        <v>3396</v>
      </c>
      <c r="M3402" s="21">
        <v>-365023.46355970338</v>
      </c>
    </row>
    <row r="3403" spans="12:13" x14ac:dyDescent="0.2">
      <c r="L3403" s="4">
        <v>3397</v>
      </c>
      <c r="M3403" s="21">
        <v>400224.35589764203</v>
      </c>
    </row>
    <row r="3404" spans="12:13" x14ac:dyDescent="0.2">
      <c r="L3404" s="4">
        <v>3398</v>
      </c>
      <c r="M3404" s="21">
        <v>67799.324504299351</v>
      </c>
    </row>
    <row r="3405" spans="12:13" x14ac:dyDescent="0.2">
      <c r="L3405" s="4">
        <v>3399</v>
      </c>
      <c r="M3405" s="21">
        <v>-314201.4279965951</v>
      </c>
    </row>
    <row r="3406" spans="12:13" x14ac:dyDescent="0.2">
      <c r="L3406" s="4">
        <v>3400</v>
      </c>
      <c r="M3406" s="21">
        <v>67815.778312521405</v>
      </c>
    </row>
    <row r="3407" spans="12:13" x14ac:dyDescent="0.2">
      <c r="L3407" s="4">
        <v>3401</v>
      </c>
      <c r="M3407" s="21">
        <v>367159.26779857092</v>
      </c>
    </row>
    <row r="3408" spans="12:13" x14ac:dyDescent="0.2">
      <c r="L3408" s="4">
        <v>3402</v>
      </c>
      <c r="M3408" s="21">
        <v>-204411.3277569795</v>
      </c>
    </row>
    <row r="3409" spans="12:13" x14ac:dyDescent="0.2">
      <c r="L3409" s="4">
        <v>3403</v>
      </c>
      <c r="M3409" s="21">
        <v>-71301.304081554568</v>
      </c>
    </row>
    <row r="3410" spans="12:13" x14ac:dyDescent="0.2">
      <c r="L3410" s="4">
        <v>3404</v>
      </c>
      <c r="M3410" s="21">
        <v>89361.380397951725</v>
      </c>
    </row>
    <row r="3411" spans="12:13" x14ac:dyDescent="0.2">
      <c r="L3411" s="4">
        <v>3405</v>
      </c>
      <c r="M3411" s="21">
        <v>-245245.91584591093</v>
      </c>
    </row>
    <row r="3412" spans="12:13" x14ac:dyDescent="0.2">
      <c r="L3412" s="4">
        <v>3406</v>
      </c>
      <c r="M3412" s="21">
        <v>49482.958761117945</v>
      </c>
    </row>
    <row r="3413" spans="12:13" x14ac:dyDescent="0.2">
      <c r="L3413" s="4">
        <v>3407</v>
      </c>
      <c r="M3413" s="21">
        <v>448155.74268690078</v>
      </c>
    </row>
    <row r="3414" spans="12:13" x14ac:dyDescent="0.2">
      <c r="L3414" s="4">
        <v>3408</v>
      </c>
      <c r="M3414" s="21">
        <v>-188606.68757506454</v>
      </c>
    </row>
    <row r="3415" spans="12:13" x14ac:dyDescent="0.2">
      <c r="L3415" s="4">
        <v>3409</v>
      </c>
      <c r="M3415" s="21">
        <v>131648.48077985359</v>
      </c>
    </row>
    <row r="3416" spans="12:13" x14ac:dyDescent="0.2">
      <c r="L3416" s="4">
        <v>3410</v>
      </c>
      <c r="M3416" s="21">
        <v>-314727.63364957564</v>
      </c>
    </row>
    <row r="3417" spans="12:13" x14ac:dyDescent="0.2">
      <c r="L3417" s="4">
        <v>3411</v>
      </c>
      <c r="M3417" s="21">
        <v>-109914.84673411424</v>
      </c>
    </row>
    <row r="3418" spans="12:13" x14ac:dyDescent="0.2">
      <c r="L3418" s="4">
        <v>3412</v>
      </c>
      <c r="M3418" s="21">
        <v>91527.843300149165</v>
      </c>
    </row>
    <row r="3419" spans="12:13" x14ac:dyDescent="0.2">
      <c r="L3419" s="4">
        <v>3413</v>
      </c>
      <c r="M3419" s="21">
        <v>126172.48719920163</v>
      </c>
    </row>
    <row r="3420" spans="12:13" x14ac:dyDescent="0.2">
      <c r="L3420" s="4">
        <v>3414</v>
      </c>
      <c r="M3420" s="21">
        <v>-54319.873271714139</v>
      </c>
    </row>
    <row r="3421" spans="12:13" x14ac:dyDescent="0.2">
      <c r="L3421" s="4">
        <v>3415</v>
      </c>
      <c r="M3421" s="21">
        <v>-296299.91144749289</v>
      </c>
    </row>
    <row r="3422" spans="12:13" x14ac:dyDescent="0.2">
      <c r="L3422" s="4">
        <v>3416</v>
      </c>
      <c r="M3422" s="21">
        <v>104523.88509284696</v>
      </c>
    </row>
    <row r="3423" spans="12:13" x14ac:dyDescent="0.2">
      <c r="L3423" s="4">
        <v>3417</v>
      </c>
      <c r="M3423" s="21">
        <v>-1790.7573057589616</v>
      </c>
    </row>
    <row r="3424" spans="12:13" x14ac:dyDescent="0.2">
      <c r="L3424" s="4">
        <v>3418</v>
      </c>
      <c r="M3424" s="21">
        <v>2475.1386677473201</v>
      </c>
    </row>
    <row r="3425" spans="12:13" x14ac:dyDescent="0.2">
      <c r="L3425" s="4">
        <v>3419</v>
      </c>
      <c r="M3425" s="21">
        <v>107541.29407824099</v>
      </c>
    </row>
    <row r="3426" spans="12:13" x14ac:dyDescent="0.2">
      <c r="L3426" s="4">
        <v>3420</v>
      </c>
      <c r="M3426" s="21">
        <v>-157519.94962615642</v>
      </c>
    </row>
    <row r="3427" spans="12:13" x14ac:dyDescent="0.2">
      <c r="L3427" s="4">
        <v>3421</v>
      </c>
      <c r="M3427" s="21">
        <v>315150.27080745163</v>
      </c>
    </row>
    <row r="3428" spans="12:13" x14ac:dyDescent="0.2">
      <c r="L3428" s="4">
        <v>3422</v>
      </c>
      <c r="M3428" s="21">
        <v>-146676.896347398</v>
      </c>
    </row>
    <row r="3429" spans="12:13" x14ac:dyDescent="0.2">
      <c r="L3429" s="4">
        <v>3423</v>
      </c>
      <c r="M3429" s="21">
        <v>68023.726838447357</v>
      </c>
    </row>
    <row r="3430" spans="12:13" x14ac:dyDescent="0.2">
      <c r="L3430" s="4">
        <v>3424</v>
      </c>
      <c r="M3430" s="21">
        <v>73472.286450504704</v>
      </c>
    </row>
    <row r="3431" spans="12:13" x14ac:dyDescent="0.2">
      <c r="L3431" s="4">
        <v>3425</v>
      </c>
      <c r="M3431" s="21">
        <v>184009.41289494906</v>
      </c>
    </row>
    <row r="3432" spans="12:13" x14ac:dyDescent="0.2">
      <c r="L3432" s="4">
        <v>3426</v>
      </c>
      <c r="M3432" s="21">
        <v>35897.004097754398</v>
      </c>
    </row>
    <row r="3433" spans="12:13" x14ac:dyDescent="0.2">
      <c r="L3433" s="4">
        <v>3427</v>
      </c>
      <c r="M3433" s="21">
        <v>189556.61325515469</v>
      </c>
    </row>
    <row r="3434" spans="12:13" x14ac:dyDescent="0.2">
      <c r="L3434" s="4">
        <v>3428</v>
      </c>
      <c r="M3434" s="21">
        <v>407260.89499300055</v>
      </c>
    </row>
    <row r="3435" spans="12:13" x14ac:dyDescent="0.2">
      <c r="L3435" s="4">
        <v>3429</v>
      </c>
      <c r="M3435" s="21">
        <v>-92862.407470536709</v>
      </c>
    </row>
    <row r="3436" spans="12:13" x14ac:dyDescent="0.2">
      <c r="L3436" s="4">
        <v>3430</v>
      </c>
      <c r="M3436" s="21">
        <v>590517.47346386744</v>
      </c>
    </row>
    <row r="3437" spans="12:13" x14ac:dyDescent="0.2">
      <c r="L3437" s="4">
        <v>3431</v>
      </c>
      <c r="M3437" s="21">
        <v>25682.729893776675</v>
      </c>
    </row>
    <row r="3438" spans="12:13" x14ac:dyDescent="0.2">
      <c r="L3438" s="4">
        <v>3432</v>
      </c>
      <c r="M3438" s="21">
        <v>106994.06459021385</v>
      </c>
    </row>
    <row r="3439" spans="12:13" x14ac:dyDescent="0.2">
      <c r="L3439" s="4">
        <v>3433</v>
      </c>
      <c r="M3439" s="21">
        <v>-73323.274141537535</v>
      </c>
    </row>
    <row r="3440" spans="12:13" x14ac:dyDescent="0.2">
      <c r="L3440" s="4">
        <v>3434</v>
      </c>
      <c r="M3440" s="21">
        <v>38831.167391013092</v>
      </c>
    </row>
    <row r="3441" spans="12:13" x14ac:dyDescent="0.2">
      <c r="L3441" s="4">
        <v>3435</v>
      </c>
      <c r="M3441" s="21">
        <v>31582.354899040482</v>
      </c>
    </row>
    <row r="3442" spans="12:13" x14ac:dyDescent="0.2">
      <c r="L3442" s="4">
        <v>3436</v>
      </c>
      <c r="M3442" s="21">
        <v>-55025.837678586657</v>
      </c>
    </row>
    <row r="3443" spans="12:13" x14ac:dyDescent="0.2">
      <c r="L3443" s="4">
        <v>3437</v>
      </c>
      <c r="M3443" s="21">
        <v>-258988.04032298317</v>
      </c>
    </row>
    <row r="3444" spans="12:13" x14ac:dyDescent="0.2">
      <c r="L3444" s="4">
        <v>3438</v>
      </c>
      <c r="M3444" s="21">
        <v>-18116.229380369477</v>
      </c>
    </row>
    <row r="3445" spans="12:13" x14ac:dyDescent="0.2">
      <c r="L3445" s="4">
        <v>3439</v>
      </c>
      <c r="M3445" s="21">
        <v>97393.27240151458</v>
      </c>
    </row>
    <row r="3446" spans="12:13" x14ac:dyDescent="0.2">
      <c r="L3446" s="4">
        <v>3440</v>
      </c>
      <c r="M3446" s="21">
        <v>-548582.06062022829</v>
      </c>
    </row>
    <row r="3447" spans="12:13" x14ac:dyDescent="0.2">
      <c r="L3447" s="4">
        <v>3441</v>
      </c>
      <c r="M3447" s="21">
        <v>148698.71364745367</v>
      </c>
    </row>
    <row r="3448" spans="12:13" x14ac:dyDescent="0.2">
      <c r="L3448" s="4">
        <v>3442</v>
      </c>
      <c r="M3448" s="21">
        <v>103736.91828020362</v>
      </c>
    </row>
    <row r="3449" spans="12:13" x14ac:dyDescent="0.2">
      <c r="L3449" s="4">
        <v>3443</v>
      </c>
      <c r="M3449" s="21">
        <v>480867.34592839819</v>
      </c>
    </row>
    <row r="3450" spans="12:13" x14ac:dyDescent="0.2">
      <c r="L3450" s="4">
        <v>3444</v>
      </c>
      <c r="M3450" s="21">
        <v>-230556.88923850295</v>
      </c>
    </row>
    <row r="3451" spans="12:13" x14ac:dyDescent="0.2">
      <c r="L3451" s="4">
        <v>3445</v>
      </c>
      <c r="M3451" s="21">
        <v>-57451.673339596775</v>
      </c>
    </row>
    <row r="3452" spans="12:13" x14ac:dyDescent="0.2">
      <c r="L3452" s="4">
        <v>3446</v>
      </c>
      <c r="M3452" s="21">
        <v>202174.81831189356</v>
      </c>
    </row>
    <row r="3453" spans="12:13" x14ac:dyDescent="0.2">
      <c r="L3453" s="4">
        <v>3447</v>
      </c>
      <c r="M3453" s="21">
        <v>139908.12488193414</v>
      </c>
    </row>
    <row r="3454" spans="12:13" x14ac:dyDescent="0.2">
      <c r="L3454" s="4">
        <v>3448</v>
      </c>
      <c r="M3454" s="21">
        <v>316484.07773007936</v>
      </c>
    </row>
    <row r="3455" spans="12:13" x14ac:dyDescent="0.2">
      <c r="L3455" s="4">
        <v>3449</v>
      </c>
      <c r="M3455" s="21">
        <v>-166490.61016805185</v>
      </c>
    </row>
    <row r="3456" spans="12:13" x14ac:dyDescent="0.2">
      <c r="L3456" s="4">
        <v>3450</v>
      </c>
      <c r="M3456" s="21">
        <v>-204410.59163899644</v>
      </c>
    </row>
    <row r="3457" spans="12:13" x14ac:dyDescent="0.2">
      <c r="L3457" s="4">
        <v>3451</v>
      </c>
      <c r="M3457" s="21">
        <v>-29486.122694444261</v>
      </c>
    </row>
    <row r="3458" spans="12:13" x14ac:dyDescent="0.2">
      <c r="L3458" s="4">
        <v>3452</v>
      </c>
      <c r="M3458" s="21">
        <v>95973.831244122557</v>
      </c>
    </row>
    <row r="3459" spans="12:13" x14ac:dyDescent="0.2">
      <c r="L3459" s="4">
        <v>3453</v>
      </c>
      <c r="M3459" s="21">
        <v>-63295.548004533048</v>
      </c>
    </row>
    <row r="3460" spans="12:13" x14ac:dyDescent="0.2">
      <c r="L3460" s="4">
        <v>3454</v>
      </c>
      <c r="M3460" s="21">
        <v>71022.351985041227</v>
      </c>
    </row>
    <row r="3461" spans="12:13" x14ac:dyDescent="0.2">
      <c r="L3461" s="4">
        <v>3455</v>
      </c>
      <c r="M3461" s="21">
        <v>-28945.098411805069</v>
      </c>
    </row>
    <row r="3462" spans="12:13" x14ac:dyDescent="0.2">
      <c r="L3462" s="4">
        <v>3456</v>
      </c>
      <c r="M3462" s="21">
        <v>307546.54412800015</v>
      </c>
    </row>
    <row r="3463" spans="12:13" x14ac:dyDescent="0.2">
      <c r="L3463" s="4">
        <v>3457</v>
      </c>
      <c r="M3463" s="21">
        <v>-33411.298289222352</v>
      </c>
    </row>
    <row r="3464" spans="12:13" x14ac:dyDescent="0.2">
      <c r="L3464" s="4">
        <v>3458</v>
      </c>
      <c r="M3464" s="21">
        <v>603627.47207945632</v>
      </c>
    </row>
    <row r="3465" spans="12:13" x14ac:dyDescent="0.2">
      <c r="L3465" s="4">
        <v>3459</v>
      </c>
      <c r="M3465" s="21">
        <v>-196442.40214013797</v>
      </c>
    </row>
    <row r="3466" spans="12:13" x14ac:dyDescent="0.2">
      <c r="L3466" s="4">
        <v>3460</v>
      </c>
      <c r="M3466" s="21">
        <v>-58095.290918668994</v>
      </c>
    </row>
    <row r="3467" spans="12:13" x14ac:dyDescent="0.2">
      <c r="L3467" s="4">
        <v>3461</v>
      </c>
      <c r="M3467" s="21">
        <v>89602.675964459893</v>
      </c>
    </row>
    <row r="3468" spans="12:13" x14ac:dyDescent="0.2">
      <c r="L3468" s="4">
        <v>3462</v>
      </c>
      <c r="M3468" s="21">
        <v>-13763.881037091895</v>
      </c>
    </row>
    <row r="3469" spans="12:13" x14ac:dyDescent="0.2">
      <c r="L3469" s="4">
        <v>3463</v>
      </c>
      <c r="M3469" s="21">
        <v>250715.55947590631</v>
      </c>
    </row>
    <row r="3470" spans="12:13" x14ac:dyDescent="0.2">
      <c r="L3470" s="4">
        <v>3464</v>
      </c>
      <c r="M3470" s="21">
        <v>155745.31196277562</v>
      </c>
    </row>
    <row r="3471" spans="12:13" x14ac:dyDescent="0.2">
      <c r="L3471" s="4">
        <v>3465</v>
      </c>
      <c r="M3471" s="21">
        <v>290510.08256186533</v>
      </c>
    </row>
    <row r="3472" spans="12:13" x14ac:dyDescent="0.2">
      <c r="L3472" s="4">
        <v>3466</v>
      </c>
      <c r="M3472" s="21">
        <v>-385888.1104359678</v>
      </c>
    </row>
    <row r="3473" spans="12:13" x14ac:dyDescent="0.2">
      <c r="L3473" s="4">
        <v>3467</v>
      </c>
      <c r="M3473" s="21">
        <v>-215347.9639075803</v>
      </c>
    </row>
    <row r="3474" spans="12:13" x14ac:dyDescent="0.2">
      <c r="L3474" s="4">
        <v>3468</v>
      </c>
      <c r="M3474" s="21">
        <v>150489.37242440938</v>
      </c>
    </row>
    <row r="3475" spans="12:13" x14ac:dyDescent="0.2">
      <c r="L3475" s="4">
        <v>3469</v>
      </c>
      <c r="M3475" s="21">
        <v>-264915.37579240935</v>
      </c>
    </row>
    <row r="3476" spans="12:13" x14ac:dyDescent="0.2">
      <c r="L3476" s="4">
        <v>3470</v>
      </c>
      <c r="M3476" s="21">
        <v>292238.22955850977</v>
      </c>
    </row>
    <row r="3477" spans="12:13" x14ac:dyDescent="0.2">
      <c r="L3477" s="4">
        <v>3471</v>
      </c>
      <c r="M3477" s="21">
        <v>20001.824754992849</v>
      </c>
    </row>
    <row r="3478" spans="12:13" x14ac:dyDescent="0.2">
      <c r="L3478" s="4">
        <v>3472</v>
      </c>
      <c r="M3478" s="21">
        <v>-336687.58525159641</v>
      </c>
    </row>
    <row r="3479" spans="12:13" x14ac:dyDescent="0.2">
      <c r="L3479" s="4">
        <v>3473</v>
      </c>
      <c r="M3479" s="21">
        <v>-72064.252863233487</v>
      </c>
    </row>
    <row r="3480" spans="12:13" x14ac:dyDescent="0.2">
      <c r="L3480" s="4">
        <v>3474</v>
      </c>
      <c r="M3480" s="21">
        <v>12573.956575451128</v>
      </c>
    </row>
    <row r="3481" spans="12:13" x14ac:dyDescent="0.2">
      <c r="L3481" s="4">
        <v>3475</v>
      </c>
      <c r="M3481" s="21">
        <v>-11548.892193752879</v>
      </c>
    </row>
    <row r="3482" spans="12:13" x14ac:dyDescent="0.2">
      <c r="L3482" s="4">
        <v>3476</v>
      </c>
      <c r="M3482" s="21">
        <v>249511.1279623796</v>
      </c>
    </row>
    <row r="3483" spans="12:13" x14ac:dyDescent="0.2">
      <c r="L3483" s="4">
        <v>3477</v>
      </c>
      <c r="M3483" s="21">
        <v>39526.735174986738</v>
      </c>
    </row>
    <row r="3484" spans="12:13" x14ac:dyDescent="0.2">
      <c r="L3484" s="4">
        <v>3478</v>
      </c>
      <c r="M3484" s="21">
        <v>93829.638269117684</v>
      </c>
    </row>
    <row r="3485" spans="12:13" x14ac:dyDescent="0.2">
      <c r="L3485" s="4">
        <v>3479</v>
      </c>
      <c r="M3485" s="21">
        <v>164345.72937243266</v>
      </c>
    </row>
    <row r="3486" spans="12:13" x14ac:dyDescent="0.2">
      <c r="L3486" s="4">
        <v>3480</v>
      </c>
      <c r="M3486" s="21">
        <v>-50365.340175030098</v>
      </c>
    </row>
    <row r="3487" spans="12:13" x14ac:dyDescent="0.2">
      <c r="L3487" s="4">
        <v>3481</v>
      </c>
      <c r="M3487" s="21">
        <v>718764.83682553552</v>
      </c>
    </row>
    <row r="3488" spans="12:13" x14ac:dyDescent="0.2">
      <c r="L3488" s="4">
        <v>3482</v>
      </c>
      <c r="M3488" s="21">
        <v>-238560.9060998311</v>
      </c>
    </row>
    <row r="3489" spans="12:13" x14ac:dyDescent="0.2">
      <c r="L3489" s="4">
        <v>3483</v>
      </c>
      <c r="M3489" s="21">
        <v>326566.32043550635</v>
      </c>
    </row>
    <row r="3490" spans="12:13" x14ac:dyDescent="0.2">
      <c r="L3490" s="4">
        <v>3484</v>
      </c>
      <c r="M3490" s="21">
        <v>122506.53857625162</v>
      </c>
    </row>
    <row r="3491" spans="12:13" x14ac:dyDescent="0.2">
      <c r="L3491" s="4">
        <v>3485</v>
      </c>
      <c r="M3491" s="21">
        <v>100572.36317073461</v>
      </c>
    </row>
    <row r="3492" spans="12:13" x14ac:dyDescent="0.2">
      <c r="L3492" s="4">
        <v>3486</v>
      </c>
      <c r="M3492" s="21">
        <v>385021.03926960391</v>
      </c>
    </row>
    <row r="3493" spans="12:13" x14ac:dyDescent="0.2">
      <c r="L3493" s="4">
        <v>3487</v>
      </c>
      <c r="M3493" s="21">
        <v>-414345.34095107421</v>
      </c>
    </row>
    <row r="3494" spans="12:13" x14ac:dyDescent="0.2">
      <c r="L3494" s="4">
        <v>3488</v>
      </c>
      <c r="M3494" s="21">
        <v>-99469.143174439479</v>
      </c>
    </row>
    <row r="3495" spans="12:13" x14ac:dyDescent="0.2">
      <c r="L3495" s="4">
        <v>3489</v>
      </c>
      <c r="M3495" s="21">
        <v>102192.9008408456</v>
      </c>
    </row>
    <row r="3496" spans="12:13" x14ac:dyDescent="0.2">
      <c r="L3496" s="4">
        <v>3490</v>
      </c>
      <c r="M3496" s="21">
        <v>-377481.09370514838</v>
      </c>
    </row>
    <row r="3497" spans="12:13" x14ac:dyDescent="0.2">
      <c r="L3497" s="4">
        <v>3491</v>
      </c>
      <c r="M3497" s="21">
        <v>101358.98952946821</v>
      </c>
    </row>
    <row r="3498" spans="12:13" x14ac:dyDescent="0.2">
      <c r="L3498" s="4">
        <v>3492</v>
      </c>
      <c r="M3498" s="21">
        <v>-7137.1606027491653</v>
      </c>
    </row>
    <row r="3499" spans="12:13" x14ac:dyDescent="0.2">
      <c r="L3499" s="4">
        <v>3493</v>
      </c>
      <c r="M3499" s="21">
        <v>-169987.43230263374</v>
      </c>
    </row>
    <row r="3500" spans="12:13" x14ac:dyDescent="0.2">
      <c r="L3500" s="4">
        <v>3494</v>
      </c>
      <c r="M3500" s="21">
        <v>-301864.51367222285</v>
      </c>
    </row>
    <row r="3501" spans="12:13" x14ac:dyDescent="0.2">
      <c r="L3501" s="4">
        <v>3495</v>
      </c>
      <c r="M3501" s="21">
        <v>280269.42769215966</v>
      </c>
    </row>
    <row r="3502" spans="12:13" x14ac:dyDescent="0.2">
      <c r="L3502" s="4">
        <v>3496</v>
      </c>
      <c r="M3502" s="21">
        <v>115050.32846443332</v>
      </c>
    </row>
    <row r="3503" spans="12:13" x14ac:dyDescent="0.2">
      <c r="L3503" s="4">
        <v>3497</v>
      </c>
      <c r="M3503" s="21">
        <v>-69881.369621384234</v>
      </c>
    </row>
    <row r="3504" spans="12:13" x14ac:dyDescent="0.2">
      <c r="L3504" s="4">
        <v>3498</v>
      </c>
      <c r="M3504" s="21">
        <v>-346212.59773340914</v>
      </c>
    </row>
    <row r="3505" spans="12:13" x14ac:dyDescent="0.2">
      <c r="L3505" s="4">
        <v>3499</v>
      </c>
      <c r="M3505" s="21">
        <v>-99146.50371177122</v>
      </c>
    </row>
    <row r="3506" spans="12:13" x14ac:dyDescent="0.2">
      <c r="L3506" s="4">
        <v>3500</v>
      </c>
      <c r="M3506" s="21">
        <v>-53012.12369346997</v>
      </c>
    </row>
    <row r="3507" spans="12:13" x14ac:dyDescent="0.2">
      <c r="L3507" s="4">
        <v>3501</v>
      </c>
      <c r="M3507" s="21">
        <v>298600.93643902603</v>
      </c>
    </row>
    <row r="3508" spans="12:13" x14ac:dyDescent="0.2">
      <c r="L3508" s="4">
        <v>3502</v>
      </c>
      <c r="M3508" s="21">
        <v>-82645.287920856237</v>
      </c>
    </row>
    <row r="3509" spans="12:13" x14ac:dyDescent="0.2">
      <c r="L3509" s="4">
        <v>3503</v>
      </c>
      <c r="M3509" s="21">
        <v>-55301.243723392996</v>
      </c>
    </row>
    <row r="3510" spans="12:13" x14ac:dyDescent="0.2">
      <c r="L3510" s="4">
        <v>3504</v>
      </c>
      <c r="M3510" s="21">
        <v>278218.55049211188</v>
      </c>
    </row>
    <row r="3511" spans="12:13" x14ac:dyDescent="0.2">
      <c r="L3511" s="4">
        <v>3505</v>
      </c>
      <c r="M3511" s="21">
        <v>124652.77567484527</v>
      </c>
    </row>
    <row r="3512" spans="12:13" x14ac:dyDescent="0.2">
      <c r="L3512" s="4">
        <v>3506</v>
      </c>
      <c r="M3512" s="21">
        <v>198214.75378937481</v>
      </c>
    </row>
    <row r="3513" spans="12:13" x14ac:dyDescent="0.2">
      <c r="L3513" s="4">
        <v>3507</v>
      </c>
      <c r="M3513" s="21">
        <v>286807.7511087585</v>
      </c>
    </row>
    <row r="3514" spans="12:13" x14ac:dyDescent="0.2">
      <c r="L3514" s="4">
        <v>3508</v>
      </c>
      <c r="M3514" s="21">
        <v>217707.8291866596</v>
      </c>
    </row>
    <row r="3515" spans="12:13" x14ac:dyDescent="0.2">
      <c r="L3515" s="4">
        <v>3509</v>
      </c>
      <c r="M3515" s="21">
        <v>-164166.16714752628</v>
      </c>
    </row>
    <row r="3516" spans="12:13" x14ac:dyDescent="0.2">
      <c r="L3516" s="4">
        <v>3510</v>
      </c>
      <c r="M3516" s="21">
        <v>-111506.79084802851</v>
      </c>
    </row>
    <row r="3517" spans="12:13" x14ac:dyDescent="0.2">
      <c r="L3517" s="4">
        <v>3511</v>
      </c>
      <c r="M3517" s="21">
        <v>192457.86016408252</v>
      </c>
    </row>
    <row r="3518" spans="12:13" x14ac:dyDescent="0.2">
      <c r="L3518" s="4">
        <v>3512</v>
      </c>
      <c r="M3518" s="21">
        <v>667149.82729324303</v>
      </c>
    </row>
    <row r="3519" spans="12:13" x14ac:dyDescent="0.2">
      <c r="L3519" s="4">
        <v>3513</v>
      </c>
      <c r="M3519" s="21">
        <v>183833.970985644</v>
      </c>
    </row>
    <row r="3520" spans="12:13" x14ac:dyDescent="0.2">
      <c r="L3520" s="4">
        <v>3514</v>
      </c>
      <c r="M3520" s="21">
        <v>-64784.799383588484</v>
      </c>
    </row>
    <row r="3521" spans="12:13" x14ac:dyDescent="0.2">
      <c r="L3521" s="4">
        <v>3515</v>
      </c>
      <c r="M3521" s="21">
        <v>-176061.76616833682</v>
      </c>
    </row>
    <row r="3522" spans="12:13" x14ac:dyDescent="0.2">
      <c r="L3522" s="4">
        <v>3516</v>
      </c>
      <c r="M3522" s="21">
        <v>76837.841038876504</v>
      </c>
    </row>
    <row r="3523" spans="12:13" x14ac:dyDescent="0.2">
      <c r="L3523" s="4">
        <v>3517</v>
      </c>
      <c r="M3523" s="21">
        <v>509497.25487266819</v>
      </c>
    </row>
    <row r="3524" spans="12:13" x14ac:dyDescent="0.2">
      <c r="L3524" s="4">
        <v>3518</v>
      </c>
      <c r="M3524" s="21">
        <v>-336191.73626002</v>
      </c>
    </row>
    <row r="3525" spans="12:13" x14ac:dyDescent="0.2">
      <c r="L3525" s="4">
        <v>3519</v>
      </c>
      <c r="M3525" s="21">
        <v>-197028.56296591525</v>
      </c>
    </row>
    <row r="3526" spans="12:13" x14ac:dyDescent="0.2">
      <c r="L3526" s="4">
        <v>3520</v>
      </c>
      <c r="M3526" s="21">
        <v>-95490.255481937042</v>
      </c>
    </row>
    <row r="3527" spans="12:13" x14ac:dyDescent="0.2">
      <c r="L3527" s="4">
        <v>3521</v>
      </c>
      <c r="M3527" s="21">
        <v>-19894.607850723056</v>
      </c>
    </row>
    <row r="3528" spans="12:13" x14ac:dyDescent="0.2">
      <c r="L3528" s="4">
        <v>3522</v>
      </c>
      <c r="M3528" s="21">
        <v>-101520.43615696777</v>
      </c>
    </row>
    <row r="3529" spans="12:13" x14ac:dyDescent="0.2">
      <c r="L3529" s="4">
        <v>3523</v>
      </c>
      <c r="M3529" s="21">
        <v>326676.60543894093</v>
      </c>
    </row>
    <row r="3530" spans="12:13" x14ac:dyDescent="0.2">
      <c r="L3530" s="4">
        <v>3524</v>
      </c>
      <c r="M3530" s="21">
        <v>155192.10902062143</v>
      </c>
    </row>
    <row r="3531" spans="12:13" x14ac:dyDescent="0.2">
      <c r="L3531" s="4">
        <v>3525</v>
      </c>
      <c r="M3531" s="21">
        <v>-112559.68960164936</v>
      </c>
    </row>
    <row r="3532" spans="12:13" x14ac:dyDescent="0.2">
      <c r="L3532" s="4">
        <v>3526</v>
      </c>
      <c r="M3532" s="21">
        <v>-221791.20727868428</v>
      </c>
    </row>
    <row r="3533" spans="12:13" x14ac:dyDescent="0.2">
      <c r="L3533" s="4">
        <v>3527</v>
      </c>
      <c r="M3533" s="21">
        <v>-1624.5766240805096</v>
      </c>
    </row>
    <row r="3534" spans="12:13" x14ac:dyDescent="0.2">
      <c r="L3534" s="4">
        <v>3528</v>
      </c>
      <c r="M3534" s="21">
        <v>275104.9372879857</v>
      </c>
    </row>
    <row r="3535" spans="12:13" x14ac:dyDescent="0.2">
      <c r="L3535" s="4">
        <v>3529</v>
      </c>
      <c r="M3535" s="21">
        <v>-82547.081201676454</v>
      </c>
    </row>
    <row r="3536" spans="12:13" x14ac:dyDescent="0.2">
      <c r="L3536" s="4">
        <v>3530</v>
      </c>
      <c r="M3536" s="21">
        <v>218993.56189904633</v>
      </c>
    </row>
    <row r="3537" spans="12:13" x14ac:dyDescent="0.2">
      <c r="L3537" s="4">
        <v>3531</v>
      </c>
      <c r="M3537" s="21">
        <v>168565.28267970507</v>
      </c>
    </row>
    <row r="3538" spans="12:13" x14ac:dyDescent="0.2">
      <c r="L3538" s="4">
        <v>3532</v>
      </c>
      <c r="M3538" s="21">
        <v>36641.504974330252</v>
      </c>
    </row>
    <row r="3539" spans="12:13" x14ac:dyDescent="0.2">
      <c r="L3539" s="4">
        <v>3533</v>
      </c>
      <c r="M3539" s="21">
        <v>-89035.946678970096</v>
      </c>
    </row>
    <row r="3540" spans="12:13" x14ac:dyDescent="0.2">
      <c r="L3540" s="4">
        <v>3534</v>
      </c>
      <c r="M3540" s="21">
        <v>22620.456847960042</v>
      </c>
    </row>
    <row r="3541" spans="12:13" x14ac:dyDescent="0.2">
      <c r="L3541" s="4">
        <v>3535</v>
      </c>
      <c r="M3541" s="21">
        <v>413563.57778767531</v>
      </c>
    </row>
    <row r="3542" spans="12:13" x14ac:dyDescent="0.2">
      <c r="L3542" s="4">
        <v>3536</v>
      </c>
      <c r="M3542" s="21">
        <v>-37920.37738704514</v>
      </c>
    </row>
    <row r="3543" spans="12:13" x14ac:dyDescent="0.2">
      <c r="L3543" s="4">
        <v>3537</v>
      </c>
      <c r="M3543" s="21">
        <v>312762.12233743502</v>
      </c>
    </row>
    <row r="3544" spans="12:13" x14ac:dyDescent="0.2">
      <c r="L3544" s="4">
        <v>3538</v>
      </c>
      <c r="M3544" s="21">
        <v>-314983.86231638689</v>
      </c>
    </row>
    <row r="3545" spans="12:13" x14ac:dyDescent="0.2">
      <c r="L3545" s="4">
        <v>3539</v>
      </c>
      <c r="M3545" s="21">
        <v>253023.35219810001</v>
      </c>
    </row>
    <row r="3546" spans="12:13" x14ac:dyDescent="0.2">
      <c r="L3546" s="4">
        <v>3540</v>
      </c>
      <c r="M3546" s="21">
        <v>145928.6355598853</v>
      </c>
    </row>
    <row r="3547" spans="12:13" x14ac:dyDescent="0.2">
      <c r="L3547" s="4">
        <v>3541</v>
      </c>
      <c r="M3547" s="21">
        <v>-260047.80336333008</v>
      </c>
    </row>
    <row r="3548" spans="12:13" x14ac:dyDescent="0.2">
      <c r="L3548" s="4">
        <v>3542</v>
      </c>
      <c r="M3548" s="21">
        <v>-94198.377735011018</v>
      </c>
    </row>
    <row r="3549" spans="12:13" x14ac:dyDescent="0.2">
      <c r="L3549" s="4">
        <v>3543</v>
      </c>
      <c r="M3549" s="21">
        <v>274893.78997536073</v>
      </c>
    </row>
    <row r="3550" spans="12:13" x14ac:dyDescent="0.2">
      <c r="L3550" s="4">
        <v>3544</v>
      </c>
      <c r="M3550" s="21">
        <v>88663.189900385332</v>
      </c>
    </row>
    <row r="3551" spans="12:13" x14ac:dyDescent="0.2">
      <c r="L3551" s="4">
        <v>3545</v>
      </c>
      <c r="M3551" s="21">
        <v>-72603.575072782172</v>
      </c>
    </row>
    <row r="3552" spans="12:13" x14ac:dyDescent="0.2">
      <c r="L3552" s="4">
        <v>3546</v>
      </c>
      <c r="M3552" s="21">
        <v>-8060.7909149207408</v>
      </c>
    </row>
    <row r="3553" spans="12:13" x14ac:dyDescent="0.2">
      <c r="L3553" s="4">
        <v>3547</v>
      </c>
      <c r="M3553" s="21">
        <v>9557.4329703164694</v>
      </c>
    </row>
    <row r="3554" spans="12:13" x14ac:dyDescent="0.2">
      <c r="L3554" s="4">
        <v>3548</v>
      </c>
      <c r="M3554" s="21">
        <v>70811.187180056062</v>
      </c>
    </row>
    <row r="3555" spans="12:13" x14ac:dyDescent="0.2">
      <c r="L3555" s="4">
        <v>3549</v>
      </c>
      <c r="M3555" s="21">
        <v>-135353.63688529696</v>
      </c>
    </row>
    <row r="3556" spans="12:13" x14ac:dyDescent="0.2">
      <c r="L3556" s="4">
        <v>3550</v>
      </c>
      <c r="M3556" s="21">
        <v>281952.652060144</v>
      </c>
    </row>
    <row r="3557" spans="12:13" x14ac:dyDescent="0.2">
      <c r="L3557" s="4">
        <v>3551</v>
      </c>
      <c r="M3557" s="21">
        <v>138243.88448988454</v>
      </c>
    </row>
    <row r="3558" spans="12:13" x14ac:dyDescent="0.2">
      <c r="L3558" s="4">
        <v>3552</v>
      </c>
      <c r="M3558" s="21">
        <v>-38365.542866911361</v>
      </c>
    </row>
    <row r="3559" spans="12:13" x14ac:dyDescent="0.2">
      <c r="L3559" s="4">
        <v>3553</v>
      </c>
      <c r="M3559" s="21">
        <v>-25843.321855183996</v>
      </c>
    </row>
    <row r="3560" spans="12:13" x14ac:dyDescent="0.2">
      <c r="L3560" s="4">
        <v>3554</v>
      </c>
      <c r="M3560" s="21">
        <v>437217.67537609296</v>
      </c>
    </row>
    <row r="3561" spans="12:13" x14ac:dyDescent="0.2">
      <c r="L3561" s="4">
        <v>3555</v>
      </c>
      <c r="M3561" s="21">
        <v>159165.93166992298</v>
      </c>
    </row>
    <row r="3562" spans="12:13" x14ac:dyDescent="0.2">
      <c r="L3562" s="4">
        <v>3556</v>
      </c>
      <c r="M3562" s="21">
        <v>-139827.94916713372</v>
      </c>
    </row>
    <row r="3563" spans="12:13" x14ac:dyDescent="0.2">
      <c r="L3563" s="4">
        <v>3557</v>
      </c>
      <c r="M3563" s="21">
        <v>328077.34538947296</v>
      </c>
    </row>
    <row r="3564" spans="12:13" x14ac:dyDescent="0.2">
      <c r="L3564" s="4">
        <v>3558</v>
      </c>
      <c r="M3564" s="21">
        <v>223564.60232070633</v>
      </c>
    </row>
    <row r="3565" spans="12:13" x14ac:dyDescent="0.2">
      <c r="L3565" s="4">
        <v>3559</v>
      </c>
      <c r="M3565" s="21">
        <v>39436.175252979127</v>
      </c>
    </row>
    <row r="3566" spans="12:13" x14ac:dyDescent="0.2">
      <c r="L3566" s="4">
        <v>3560</v>
      </c>
      <c r="M3566" s="21">
        <v>-117686.73576014343</v>
      </c>
    </row>
    <row r="3567" spans="12:13" x14ac:dyDescent="0.2">
      <c r="L3567" s="4">
        <v>3561</v>
      </c>
      <c r="M3567" s="21">
        <v>147428.98879898814</v>
      </c>
    </row>
    <row r="3568" spans="12:13" x14ac:dyDescent="0.2">
      <c r="L3568" s="4">
        <v>3562</v>
      </c>
      <c r="M3568" s="21">
        <v>110248.79641626705</v>
      </c>
    </row>
    <row r="3569" spans="12:13" x14ac:dyDescent="0.2">
      <c r="L3569" s="4">
        <v>3563</v>
      </c>
      <c r="M3569" s="21">
        <v>-207785.1410276898</v>
      </c>
    </row>
    <row r="3570" spans="12:13" x14ac:dyDescent="0.2">
      <c r="L3570" s="4">
        <v>3564</v>
      </c>
      <c r="M3570" s="21">
        <v>-48392.208471657214</v>
      </c>
    </row>
    <row r="3571" spans="12:13" x14ac:dyDescent="0.2">
      <c r="L3571" s="4">
        <v>3565</v>
      </c>
      <c r="M3571" s="21">
        <v>107307.61438263248</v>
      </c>
    </row>
    <row r="3572" spans="12:13" x14ac:dyDescent="0.2">
      <c r="L3572" s="4">
        <v>3566</v>
      </c>
      <c r="M3572" s="21">
        <v>121015.30390131232</v>
      </c>
    </row>
    <row r="3573" spans="12:13" x14ac:dyDescent="0.2">
      <c r="L3573" s="4">
        <v>3567</v>
      </c>
      <c r="M3573" s="21">
        <v>309540.40845010569</v>
      </c>
    </row>
    <row r="3574" spans="12:13" x14ac:dyDescent="0.2">
      <c r="L3574" s="4">
        <v>3568</v>
      </c>
      <c r="M3574" s="21">
        <v>-40109.571996474027</v>
      </c>
    </row>
    <row r="3575" spans="12:13" x14ac:dyDescent="0.2">
      <c r="L3575" s="4">
        <v>3569</v>
      </c>
      <c r="M3575" s="21">
        <v>-279247.75578798563</v>
      </c>
    </row>
    <row r="3576" spans="12:13" x14ac:dyDescent="0.2">
      <c r="L3576" s="4">
        <v>3570</v>
      </c>
      <c r="M3576" s="21">
        <v>-91135.219480222338</v>
      </c>
    </row>
    <row r="3577" spans="12:13" x14ac:dyDescent="0.2">
      <c r="L3577" s="4">
        <v>3571</v>
      </c>
      <c r="M3577" s="21">
        <v>5492.8958971252723</v>
      </c>
    </row>
    <row r="3578" spans="12:13" x14ac:dyDescent="0.2">
      <c r="L3578" s="4">
        <v>3572</v>
      </c>
      <c r="M3578" s="21">
        <v>-377156.3993668005</v>
      </c>
    </row>
    <row r="3579" spans="12:13" x14ac:dyDescent="0.2">
      <c r="L3579" s="4">
        <v>3573</v>
      </c>
      <c r="M3579" s="21">
        <v>52274.648593098624</v>
      </c>
    </row>
    <row r="3580" spans="12:13" x14ac:dyDescent="0.2">
      <c r="L3580" s="4">
        <v>3574</v>
      </c>
      <c r="M3580" s="21">
        <v>-63387.763687010243</v>
      </c>
    </row>
    <row r="3581" spans="12:13" x14ac:dyDescent="0.2">
      <c r="L3581" s="4">
        <v>3575</v>
      </c>
      <c r="M3581" s="21">
        <v>-32455.474832731183</v>
      </c>
    </row>
    <row r="3582" spans="12:13" x14ac:dyDescent="0.2">
      <c r="L3582" s="4">
        <v>3576</v>
      </c>
      <c r="M3582" s="21">
        <v>-336728.51257572195</v>
      </c>
    </row>
    <row r="3583" spans="12:13" x14ac:dyDescent="0.2">
      <c r="L3583" s="4">
        <v>3577</v>
      </c>
      <c r="M3583" s="21">
        <v>-271509.35197333712</v>
      </c>
    </row>
    <row r="3584" spans="12:13" x14ac:dyDescent="0.2">
      <c r="L3584" s="4">
        <v>3578</v>
      </c>
      <c r="M3584" s="21">
        <v>-54148.975260005609</v>
      </c>
    </row>
    <row r="3585" spans="12:13" x14ac:dyDescent="0.2">
      <c r="L3585" s="4">
        <v>3579</v>
      </c>
      <c r="M3585" s="21">
        <v>119235.61803406253</v>
      </c>
    </row>
    <row r="3586" spans="12:13" x14ac:dyDescent="0.2">
      <c r="L3586" s="4">
        <v>3580</v>
      </c>
      <c r="M3586" s="21">
        <v>16729.924120923126</v>
      </c>
    </row>
    <row r="3587" spans="12:13" x14ac:dyDescent="0.2">
      <c r="L3587" s="4">
        <v>3581</v>
      </c>
      <c r="M3587" s="21">
        <v>237438.26819920586</v>
      </c>
    </row>
    <row r="3588" spans="12:13" x14ac:dyDescent="0.2">
      <c r="L3588" s="4">
        <v>3582</v>
      </c>
      <c r="M3588" s="21">
        <v>124338.68514019452</v>
      </c>
    </row>
    <row r="3589" spans="12:13" x14ac:dyDescent="0.2">
      <c r="L3589" s="4">
        <v>3583</v>
      </c>
      <c r="M3589" s="21">
        <v>-58047.215928555423</v>
      </c>
    </row>
    <row r="3590" spans="12:13" x14ac:dyDescent="0.2">
      <c r="L3590" s="4">
        <v>3584</v>
      </c>
      <c r="M3590" s="21">
        <v>527282.52207789035</v>
      </c>
    </row>
    <row r="3591" spans="12:13" x14ac:dyDescent="0.2">
      <c r="L3591" s="4">
        <v>3585</v>
      </c>
      <c r="M3591" s="21">
        <v>440498.62945279718</v>
      </c>
    </row>
    <row r="3592" spans="12:13" x14ac:dyDescent="0.2">
      <c r="L3592" s="4">
        <v>3586</v>
      </c>
      <c r="M3592" s="21">
        <v>-195407.10246077902</v>
      </c>
    </row>
    <row r="3593" spans="12:13" x14ac:dyDescent="0.2">
      <c r="L3593" s="4">
        <v>3587</v>
      </c>
      <c r="M3593" s="21">
        <v>307834.37877025403</v>
      </c>
    </row>
    <row r="3594" spans="12:13" x14ac:dyDescent="0.2">
      <c r="L3594" s="4">
        <v>3588</v>
      </c>
      <c r="M3594" s="21">
        <v>-143068.2768209296</v>
      </c>
    </row>
    <row r="3595" spans="12:13" x14ac:dyDescent="0.2">
      <c r="L3595" s="4">
        <v>3589</v>
      </c>
      <c r="M3595" s="21">
        <v>5347.0687200779794</v>
      </c>
    </row>
    <row r="3596" spans="12:13" x14ac:dyDescent="0.2">
      <c r="L3596" s="4">
        <v>3590</v>
      </c>
      <c r="M3596" s="21">
        <v>8096.4570564667811</v>
      </c>
    </row>
    <row r="3597" spans="12:13" x14ac:dyDescent="0.2">
      <c r="L3597" s="4">
        <v>3591</v>
      </c>
      <c r="M3597" s="21">
        <v>127597.80348890301</v>
      </c>
    </row>
    <row r="3598" spans="12:13" x14ac:dyDescent="0.2">
      <c r="L3598" s="4">
        <v>3592</v>
      </c>
      <c r="M3598" s="21">
        <v>68213.280163600401</v>
      </c>
    </row>
    <row r="3599" spans="12:13" x14ac:dyDescent="0.2">
      <c r="L3599" s="4">
        <v>3593</v>
      </c>
      <c r="M3599" s="21">
        <v>-24354.143512971074</v>
      </c>
    </row>
    <row r="3600" spans="12:13" x14ac:dyDescent="0.2">
      <c r="L3600" s="4">
        <v>3594</v>
      </c>
      <c r="M3600" s="21">
        <v>-274401.24957955</v>
      </c>
    </row>
    <row r="3601" spans="12:13" x14ac:dyDescent="0.2">
      <c r="L3601" s="4">
        <v>3595</v>
      </c>
      <c r="M3601" s="21">
        <v>185935.65743744711</v>
      </c>
    </row>
    <row r="3602" spans="12:13" x14ac:dyDescent="0.2">
      <c r="L3602" s="4">
        <v>3596</v>
      </c>
      <c r="M3602" s="21">
        <v>211547.29307402772</v>
      </c>
    </row>
    <row r="3603" spans="12:13" x14ac:dyDescent="0.2">
      <c r="L3603" s="4">
        <v>3597</v>
      </c>
      <c r="M3603" s="21">
        <v>174479.96739884981</v>
      </c>
    </row>
    <row r="3604" spans="12:13" x14ac:dyDescent="0.2">
      <c r="L3604" s="4">
        <v>3598</v>
      </c>
      <c r="M3604" s="21">
        <v>230186.14384693449</v>
      </c>
    </row>
    <row r="3605" spans="12:13" x14ac:dyDescent="0.2">
      <c r="L3605" s="4">
        <v>3599</v>
      </c>
      <c r="M3605" s="21">
        <v>323168.68574921496</v>
      </c>
    </row>
    <row r="3606" spans="12:13" x14ac:dyDescent="0.2">
      <c r="L3606" s="4">
        <v>3600</v>
      </c>
      <c r="M3606" s="21">
        <v>140968.62713981353</v>
      </c>
    </row>
    <row r="3607" spans="12:13" x14ac:dyDescent="0.2">
      <c r="L3607" s="4">
        <v>3601</v>
      </c>
      <c r="M3607" s="21">
        <v>143103.43686580064</v>
      </c>
    </row>
    <row r="3608" spans="12:13" x14ac:dyDescent="0.2">
      <c r="L3608" s="4">
        <v>3602</v>
      </c>
      <c r="M3608" s="21">
        <v>85255.318481907772</v>
      </c>
    </row>
    <row r="3609" spans="12:13" x14ac:dyDescent="0.2">
      <c r="L3609" s="4">
        <v>3603</v>
      </c>
      <c r="M3609" s="21">
        <v>-173457.35549564217</v>
      </c>
    </row>
    <row r="3610" spans="12:13" x14ac:dyDescent="0.2">
      <c r="L3610" s="4">
        <v>3604</v>
      </c>
      <c r="M3610" s="21">
        <v>16071.474530468491</v>
      </c>
    </row>
    <row r="3611" spans="12:13" x14ac:dyDescent="0.2">
      <c r="L3611" s="4">
        <v>3605</v>
      </c>
      <c r="M3611" s="21">
        <v>-198062.17142334007</v>
      </c>
    </row>
    <row r="3612" spans="12:13" x14ac:dyDescent="0.2">
      <c r="L3612" s="4">
        <v>3606</v>
      </c>
      <c r="M3612" s="21">
        <v>138323.46713882711</v>
      </c>
    </row>
    <row r="3613" spans="12:13" x14ac:dyDescent="0.2">
      <c r="L3613" s="4">
        <v>3607</v>
      </c>
      <c r="M3613" s="21">
        <v>-137140.17180214365</v>
      </c>
    </row>
    <row r="3614" spans="12:13" x14ac:dyDescent="0.2">
      <c r="L3614" s="4">
        <v>3608</v>
      </c>
      <c r="M3614" s="21">
        <v>159220.88324548435</v>
      </c>
    </row>
    <row r="3615" spans="12:13" x14ac:dyDescent="0.2">
      <c r="L3615" s="4">
        <v>3609</v>
      </c>
      <c r="M3615" s="21">
        <v>-267275.63874920184</v>
      </c>
    </row>
    <row r="3616" spans="12:13" x14ac:dyDescent="0.2">
      <c r="L3616" s="4">
        <v>3610</v>
      </c>
      <c r="M3616" s="21">
        <v>241185.58434223928</v>
      </c>
    </row>
    <row r="3617" spans="12:13" x14ac:dyDescent="0.2">
      <c r="L3617" s="4">
        <v>3611</v>
      </c>
      <c r="M3617" s="21">
        <v>76596.133134413016</v>
      </c>
    </row>
    <row r="3618" spans="12:13" x14ac:dyDescent="0.2">
      <c r="L3618" s="4">
        <v>3612</v>
      </c>
      <c r="M3618" s="21">
        <v>27930.309967956535</v>
      </c>
    </row>
    <row r="3619" spans="12:13" x14ac:dyDescent="0.2">
      <c r="L3619" s="4">
        <v>3613</v>
      </c>
      <c r="M3619" s="21">
        <v>20975.858629909344</v>
      </c>
    </row>
    <row r="3620" spans="12:13" x14ac:dyDescent="0.2">
      <c r="L3620" s="4">
        <v>3614</v>
      </c>
      <c r="M3620" s="21">
        <v>217802.81095144435</v>
      </c>
    </row>
    <row r="3621" spans="12:13" x14ac:dyDescent="0.2">
      <c r="L3621" s="4">
        <v>3615</v>
      </c>
      <c r="M3621" s="21">
        <v>299329.90847154066</v>
      </c>
    </row>
    <row r="3622" spans="12:13" x14ac:dyDescent="0.2">
      <c r="L3622" s="4">
        <v>3616</v>
      </c>
      <c r="M3622" s="21">
        <v>-44920.880954923734</v>
      </c>
    </row>
    <row r="3623" spans="12:13" x14ac:dyDescent="0.2">
      <c r="L3623" s="4">
        <v>3617</v>
      </c>
      <c r="M3623" s="21">
        <v>234520.10580842182</v>
      </c>
    </row>
    <row r="3624" spans="12:13" x14ac:dyDescent="0.2">
      <c r="L3624" s="4">
        <v>3618</v>
      </c>
      <c r="M3624" s="21">
        <v>312388.85916282365</v>
      </c>
    </row>
    <row r="3625" spans="12:13" x14ac:dyDescent="0.2">
      <c r="L3625" s="4">
        <v>3619</v>
      </c>
      <c r="M3625" s="21">
        <v>75916.643909797916</v>
      </c>
    </row>
    <row r="3626" spans="12:13" x14ac:dyDescent="0.2">
      <c r="L3626" s="4">
        <v>3620</v>
      </c>
      <c r="M3626" s="21">
        <v>-419229.32469211664</v>
      </c>
    </row>
    <row r="3627" spans="12:13" x14ac:dyDescent="0.2">
      <c r="L3627" s="4">
        <v>3621</v>
      </c>
      <c r="M3627" s="21">
        <v>121020.68801928643</v>
      </c>
    </row>
    <row r="3628" spans="12:13" x14ac:dyDescent="0.2">
      <c r="L3628" s="4">
        <v>3622</v>
      </c>
      <c r="M3628" s="21">
        <v>435970.96925670782</v>
      </c>
    </row>
    <row r="3629" spans="12:13" x14ac:dyDescent="0.2">
      <c r="L3629" s="4">
        <v>3623</v>
      </c>
      <c r="M3629" s="21">
        <v>79932.480096798594</v>
      </c>
    </row>
    <row r="3630" spans="12:13" x14ac:dyDescent="0.2">
      <c r="L3630" s="4">
        <v>3624</v>
      </c>
      <c r="M3630" s="21">
        <v>21972.283284825564</v>
      </c>
    </row>
    <row r="3631" spans="12:13" x14ac:dyDescent="0.2">
      <c r="L3631" s="4">
        <v>3625</v>
      </c>
      <c r="M3631" s="21">
        <v>358112.87034127535</v>
      </c>
    </row>
    <row r="3632" spans="12:13" x14ac:dyDescent="0.2">
      <c r="L3632" s="4">
        <v>3626</v>
      </c>
      <c r="M3632" s="21">
        <v>-376420.65706811694</v>
      </c>
    </row>
    <row r="3633" spans="12:13" x14ac:dyDescent="0.2">
      <c r="L3633" s="4">
        <v>3627</v>
      </c>
      <c r="M3633" s="21">
        <v>110898.19353154162</v>
      </c>
    </row>
    <row r="3634" spans="12:13" x14ac:dyDescent="0.2">
      <c r="L3634" s="4">
        <v>3628</v>
      </c>
      <c r="M3634" s="21">
        <v>-88953.422954947004</v>
      </c>
    </row>
    <row r="3635" spans="12:13" x14ac:dyDescent="0.2">
      <c r="L3635" s="4">
        <v>3629</v>
      </c>
      <c r="M3635" s="21">
        <v>-9461.2202552657691</v>
      </c>
    </row>
    <row r="3636" spans="12:13" x14ac:dyDescent="0.2">
      <c r="L3636" s="4">
        <v>3630</v>
      </c>
      <c r="M3636" s="21">
        <v>300010.64892551256</v>
      </c>
    </row>
    <row r="3637" spans="12:13" x14ac:dyDescent="0.2">
      <c r="L3637" s="4">
        <v>3631</v>
      </c>
      <c r="M3637" s="21">
        <v>-219663.13948382979</v>
      </c>
    </row>
    <row r="3638" spans="12:13" x14ac:dyDescent="0.2">
      <c r="L3638" s="4">
        <v>3632</v>
      </c>
      <c r="M3638" s="21">
        <v>-34122.16021736087</v>
      </c>
    </row>
    <row r="3639" spans="12:13" x14ac:dyDescent="0.2">
      <c r="L3639" s="4">
        <v>3633</v>
      </c>
      <c r="M3639" s="21">
        <v>-100730.96307232097</v>
      </c>
    </row>
    <row r="3640" spans="12:13" x14ac:dyDescent="0.2">
      <c r="L3640" s="4">
        <v>3634</v>
      </c>
      <c r="M3640" s="21">
        <v>-54725.40916658756</v>
      </c>
    </row>
    <row r="3641" spans="12:13" x14ac:dyDescent="0.2">
      <c r="L3641" s="4">
        <v>3635</v>
      </c>
      <c r="M3641" s="21">
        <v>4675.3108141883567</v>
      </c>
    </row>
    <row r="3642" spans="12:13" x14ac:dyDescent="0.2">
      <c r="L3642" s="4">
        <v>3636</v>
      </c>
      <c r="M3642" s="21">
        <v>153884.98818806256</v>
      </c>
    </row>
    <row r="3643" spans="12:13" x14ac:dyDescent="0.2">
      <c r="L3643" s="4">
        <v>3637</v>
      </c>
      <c r="M3643" s="21">
        <v>-158150.99091682414</v>
      </c>
    </row>
    <row r="3644" spans="12:13" x14ac:dyDescent="0.2">
      <c r="L3644" s="4">
        <v>3638</v>
      </c>
      <c r="M3644" s="21">
        <v>-81173.289599801283</v>
      </c>
    </row>
    <row r="3645" spans="12:13" x14ac:dyDescent="0.2">
      <c r="L3645" s="4">
        <v>3639</v>
      </c>
      <c r="M3645" s="21">
        <v>-117142.68554848513</v>
      </c>
    </row>
    <row r="3646" spans="12:13" x14ac:dyDescent="0.2">
      <c r="L3646" s="4">
        <v>3640</v>
      </c>
      <c r="M3646" s="21">
        <v>96261.957706108165</v>
      </c>
    </row>
    <row r="3647" spans="12:13" x14ac:dyDescent="0.2">
      <c r="L3647" s="4">
        <v>3641</v>
      </c>
      <c r="M3647" s="21">
        <v>-77573.150655512029</v>
      </c>
    </row>
    <row r="3648" spans="12:13" x14ac:dyDescent="0.2">
      <c r="L3648" s="4">
        <v>3642</v>
      </c>
      <c r="M3648" s="21">
        <v>105927.21941675284</v>
      </c>
    </row>
    <row r="3649" spans="12:13" x14ac:dyDescent="0.2">
      <c r="L3649" s="4">
        <v>3643</v>
      </c>
      <c r="M3649" s="21">
        <v>68531.813693605654</v>
      </c>
    </row>
    <row r="3650" spans="12:13" x14ac:dyDescent="0.2">
      <c r="L3650" s="4">
        <v>3644</v>
      </c>
      <c r="M3650" s="21">
        <v>-196297.14287308487</v>
      </c>
    </row>
    <row r="3651" spans="12:13" x14ac:dyDescent="0.2">
      <c r="L3651" s="4">
        <v>3645</v>
      </c>
      <c r="M3651" s="21">
        <v>109916.86032809733</v>
      </c>
    </row>
    <row r="3652" spans="12:13" x14ac:dyDescent="0.2">
      <c r="L3652" s="4">
        <v>3646</v>
      </c>
      <c r="M3652" s="21">
        <v>-168416.40891729467</v>
      </c>
    </row>
    <row r="3653" spans="12:13" x14ac:dyDescent="0.2">
      <c r="L3653" s="4">
        <v>3647</v>
      </c>
      <c r="M3653" s="21">
        <v>193588.19492476273</v>
      </c>
    </row>
    <row r="3654" spans="12:13" x14ac:dyDescent="0.2">
      <c r="L3654" s="4">
        <v>3648</v>
      </c>
      <c r="M3654" s="21">
        <v>423651.01309983584</v>
      </c>
    </row>
    <row r="3655" spans="12:13" x14ac:dyDescent="0.2">
      <c r="L3655" s="4">
        <v>3649</v>
      </c>
      <c r="M3655" s="21">
        <v>44605.160124018177</v>
      </c>
    </row>
    <row r="3656" spans="12:13" x14ac:dyDescent="0.2">
      <c r="L3656" s="4">
        <v>3650</v>
      </c>
      <c r="M3656" s="21">
        <v>31913.623203459312</v>
      </c>
    </row>
    <row r="3657" spans="12:13" x14ac:dyDescent="0.2">
      <c r="L3657" s="4">
        <v>3651</v>
      </c>
      <c r="M3657" s="21">
        <v>-154371.64050196236</v>
      </c>
    </row>
    <row r="3658" spans="12:13" x14ac:dyDescent="0.2">
      <c r="L3658" s="4">
        <v>3652</v>
      </c>
      <c r="M3658" s="21">
        <v>-363915.5034961818</v>
      </c>
    </row>
    <row r="3659" spans="12:13" x14ac:dyDescent="0.2">
      <c r="L3659" s="4">
        <v>3653</v>
      </c>
      <c r="M3659" s="21">
        <v>-33743.72517347688</v>
      </c>
    </row>
    <row r="3660" spans="12:13" x14ac:dyDescent="0.2">
      <c r="L3660" s="4">
        <v>3654</v>
      </c>
      <c r="M3660" s="21">
        <v>309906.51641182427</v>
      </c>
    </row>
    <row r="3661" spans="12:13" x14ac:dyDescent="0.2">
      <c r="L3661" s="4">
        <v>3655</v>
      </c>
      <c r="M3661" s="21">
        <v>317599.82409824221</v>
      </c>
    </row>
    <row r="3662" spans="12:13" x14ac:dyDescent="0.2">
      <c r="L3662" s="4">
        <v>3656</v>
      </c>
      <c r="M3662" s="21">
        <v>7519.9111891654029</v>
      </c>
    </row>
    <row r="3663" spans="12:13" x14ac:dyDescent="0.2">
      <c r="L3663" s="4">
        <v>3657</v>
      </c>
      <c r="M3663" s="21">
        <v>-229550.81812321401</v>
      </c>
    </row>
    <row r="3664" spans="12:13" x14ac:dyDescent="0.2">
      <c r="L3664" s="4">
        <v>3658</v>
      </c>
      <c r="M3664" s="21">
        <v>-39897.695875167774</v>
      </c>
    </row>
    <row r="3665" spans="12:13" x14ac:dyDescent="0.2">
      <c r="L3665" s="4">
        <v>3659</v>
      </c>
      <c r="M3665" s="21">
        <v>-103640.65767016336</v>
      </c>
    </row>
    <row r="3666" spans="12:13" x14ac:dyDescent="0.2">
      <c r="L3666" s="4">
        <v>3660</v>
      </c>
      <c r="M3666" s="21">
        <v>433640.04110513371</v>
      </c>
    </row>
    <row r="3667" spans="12:13" x14ac:dyDescent="0.2">
      <c r="L3667" s="4">
        <v>3661</v>
      </c>
      <c r="M3667" s="21">
        <v>-191851.01634368888</v>
      </c>
    </row>
    <row r="3668" spans="12:13" x14ac:dyDescent="0.2">
      <c r="L3668" s="4">
        <v>3662</v>
      </c>
      <c r="M3668" s="21">
        <v>-220008.42861451764</v>
      </c>
    </row>
    <row r="3669" spans="12:13" x14ac:dyDescent="0.2">
      <c r="L3669" s="4">
        <v>3663</v>
      </c>
      <c r="M3669" s="21">
        <v>-100612.11489609447</v>
      </c>
    </row>
    <row r="3670" spans="12:13" x14ac:dyDescent="0.2">
      <c r="L3670" s="4">
        <v>3664</v>
      </c>
      <c r="M3670" s="21">
        <v>136457.87178758896</v>
      </c>
    </row>
    <row r="3671" spans="12:13" x14ac:dyDescent="0.2">
      <c r="L3671" s="4">
        <v>3665</v>
      </c>
      <c r="M3671" s="21">
        <v>-99246.60333132575</v>
      </c>
    </row>
    <row r="3672" spans="12:13" x14ac:dyDescent="0.2">
      <c r="L3672" s="4">
        <v>3666</v>
      </c>
      <c r="M3672" s="21">
        <v>-4564.9663354111253</v>
      </c>
    </row>
    <row r="3673" spans="12:13" x14ac:dyDescent="0.2">
      <c r="L3673" s="4">
        <v>3667</v>
      </c>
      <c r="M3673" s="21">
        <v>-732.72253291599918</v>
      </c>
    </row>
    <row r="3674" spans="12:13" x14ac:dyDescent="0.2">
      <c r="L3674" s="4">
        <v>3668</v>
      </c>
      <c r="M3674" s="21">
        <v>-23991.039942703108</v>
      </c>
    </row>
    <row r="3675" spans="12:13" x14ac:dyDescent="0.2">
      <c r="L3675" s="4">
        <v>3669</v>
      </c>
      <c r="M3675" s="21">
        <v>-253520.39472838756</v>
      </c>
    </row>
    <row r="3676" spans="12:13" x14ac:dyDescent="0.2">
      <c r="L3676" s="4">
        <v>3670</v>
      </c>
      <c r="M3676" s="21">
        <v>31012.084145526576</v>
      </c>
    </row>
    <row r="3677" spans="12:13" x14ac:dyDescent="0.2">
      <c r="L3677" s="4">
        <v>3671</v>
      </c>
      <c r="M3677" s="21">
        <v>-43118.520826286345</v>
      </c>
    </row>
    <row r="3678" spans="12:13" x14ac:dyDescent="0.2">
      <c r="L3678" s="4">
        <v>3672</v>
      </c>
      <c r="M3678" s="21">
        <v>166194.71209897945</v>
      </c>
    </row>
    <row r="3679" spans="12:13" x14ac:dyDescent="0.2">
      <c r="L3679" s="4">
        <v>3673</v>
      </c>
      <c r="M3679" s="21">
        <v>-107132.96915075509</v>
      </c>
    </row>
    <row r="3680" spans="12:13" x14ac:dyDescent="0.2">
      <c r="L3680" s="4">
        <v>3674</v>
      </c>
      <c r="M3680" s="21">
        <v>233268.44825527078</v>
      </c>
    </row>
    <row r="3681" spans="12:13" x14ac:dyDescent="0.2">
      <c r="L3681" s="4">
        <v>3675</v>
      </c>
      <c r="M3681" s="21">
        <v>222340.1484779836</v>
      </c>
    </row>
    <row r="3682" spans="12:13" x14ac:dyDescent="0.2">
      <c r="L3682" s="4">
        <v>3676</v>
      </c>
      <c r="M3682" s="21">
        <v>402811.63938086183</v>
      </c>
    </row>
    <row r="3683" spans="12:13" x14ac:dyDescent="0.2">
      <c r="L3683" s="4">
        <v>3677</v>
      </c>
      <c r="M3683" s="21">
        <v>375778.87867643032</v>
      </c>
    </row>
    <row r="3684" spans="12:13" x14ac:dyDescent="0.2">
      <c r="L3684" s="4">
        <v>3678</v>
      </c>
      <c r="M3684" s="21">
        <v>86632.928490786464</v>
      </c>
    </row>
    <row r="3685" spans="12:13" x14ac:dyDescent="0.2">
      <c r="L3685" s="4">
        <v>3679</v>
      </c>
      <c r="M3685" s="21">
        <v>-42493.675515055424</v>
      </c>
    </row>
    <row r="3686" spans="12:13" x14ac:dyDescent="0.2">
      <c r="L3686" s="4">
        <v>3680</v>
      </c>
      <c r="M3686" s="21">
        <v>242247.89262162769</v>
      </c>
    </row>
    <row r="3687" spans="12:13" x14ac:dyDescent="0.2">
      <c r="L3687" s="4">
        <v>3681</v>
      </c>
      <c r="M3687" s="21">
        <v>148155.09925258646</v>
      </c>
    </row>
    <row r="3688" spans="12:13" x14ac:dyDescent="0.2">
      <c r="L3688" s="4">
        <v>3682</v>
      </c>
      <c r="M3688" s="21">
        <v>363151.66939535784</v>
      </c>
    </row>
    <row r="3689" spans="12:13" x14ac:dyDescent="0.2">
      <c r="L3689" s="4">
        <v>3683</v>
      </c>
      <c r="M3689" s="21">
        <v>-263667.98628102092</v>
      </c>
    </row>
    <row r="3690" spans="12:13" x14ac:dyDescent="0.2">
      <c r="L3690" s="4">
        <v>3684</v>
      </c>
      <c r="M3690" s="21">
        <v>-293528.11908294557</v>
      </c>
    </row>
    <row r="3691" spans="12:13" x14ac:dyDescent="0.2">
      <c r="L3691" s="4">
        <v>3685</v>
      </c>
      <c r="M3691" s="21">
        <v>-69321.862792199041</v>
      </c>
    </row>
    <row r="3692" spans="12:13" x14ac:dyDescent="0.2">
      <c r="L3692" s="4">
        <v>3686</v>
      </c>
      <c r="M3692" s="21">
        <v>410328.98290469649</v>
      </c>
    </row>
    <row r="3693" spans="12:13" x14ac:dyDescent="0.2">
      <c r="L3693" s="4">
        <v>3687</v>
      </c>
      <c r="M3693" s="21">
        <v>-159659.58403122472</v>
      </c>
    </row>
    <row r="3694" spans="12:13" x14ac:dyDescent="0.2">
      <c r="L3694" s="4">
        <v>3688</v>
      </c>
      <c r="M3694" s="21">
        <v>-82819.683566359745</v>
      </c>
    </row>
    <row r="3695" spans="12:13" x14ac:dyDescent="0.2">
      <c r="L3695" s="4">
        <v>3689</v>
      </c>
      <c r="M3695" s="21">
        <v>13856.744838659419</v>
      </c>
    </row>
    <row r="3696" spans="12:13" x14ac:dyDescent="0.2">
      <c r="L3696" s="4">
        <v>3690</v>
      </c>
      <c r="M3696" s="21">
        <v>17768.776599980833</v>
      </c>
    </row>
    <row r="3697" spans="12:13" x14ac:dyDescent="0.2">
      <c r="L3697" s="4">
        <v>3691</v>
      </c>
      <c r="M3697" s="21">
        <v>369493.61637231807</v>
      </c>
    </row>
    <row r="3698" spans="12:13" x14ac:dyDescent="0.2">
      <c r="L3698" s="4">
        <v>3692</v>
      </c>
      <c r="M3698" s="21">
        <v>-52969.704222313885</v>
      </c>
    </row>
    <row r="3699" spans="12:13" x14ac:dyDescent="0.2">
      <c r="L3699" s="4">
        <v>3693</v>
      </c>
      <c r="M3699" s="21">
        <v>208764.92968762363</v>
      </c>
    </row>
    <row r="3700" spans="12:13" x14ac:dyDescent="0.2">
      <c r="L3700" s="4">
        <v>3694</v>
      </c>
      <c r="M3700" s="21">
        <v>122656.22368102268</v>
      </c>
    </row>
    <row r="3701" spans="12:13" x14ac:dyDescent="0.2">
      <c r="L3701" s="4">
        <v>3695</v>
      </c>
      <c r="M3701" s="21">
        <v>94847.632609721244</v>
      </c>
    </row>
    <row r="3702" spans="12:13" x14ac:dyDescent="0.2">
      <c r="L3702" s="4">
        <v>3696</v>
      </c>
      <c r="M3702" s="21">
        <v>-81950.11529024817</v>
      </c>
    </row>
    <row r="3703" spans="12:13" x14ac:dyDescent="0.2">
      <c r="L3703" s="4">
        <v>3697</v>
      </c>
      <c r="M3703" s="21">
        <v>6675.4139024232281</v>
      </c>
    </row>
    <row r="3704" spans="12:13" x14ac:dyDescent="0.2">
      <c r="L3704" s="4">
        <v>3698</v>
      </c>
      <c r="M3704" s="21">
        <v>5954.7264289979939</v>
      </c>
    </row>
    <row r="3705" spans="12:13" x14ac:dyDescent="0.2">
      <c r="L3705" s="4">
        <v>3699</v>
      </c>
      <c r="M3705" s="21">
        <v>47121.955973057629</v>
      </c>
    </row>
    <row r="3706" spans="12:13" x14ac:dyDescent="0.2">
      <c r="L3706" s="4">
        <v>3700</v>
      </c>
      <c r="M3706" s="21">
        <v>79657.322634760727</v>
      </c>
    </row>
    <row r="3707" spans="12:13" x14ac:dyDescent="0.2">
      <c r="L3707" s="4">
        <v>3701</v>
      </c>
      <c r="M3707" s="21">
        <v>144482.3441905113</v>
      </c>
    </row>
    <row r="3708" spans="12:13" x14ac:dyDescent="0.2">
      <c r="L3708" s="4">
        <v>3702</v>
      </c>
      <c r="M3708" s="21">
        <v>133532.35867867779</v>
      </c>
    </row>
    <row r="3709" spans="12:13" x14ac:dyDescent="0.2">
      <c r="L3709" s="4">
        <v>3703</v>
      </c>
      <c r="M3709" s="21">
        <v>227473.3850704057</v>
      </c>
    </row>
    <row r="3710" spans="12:13" x14ac:dyDescent="0.2">
      <c r="L3710" s="4">
        <v>3704</v>
      </c>
      <c r="M3710" s="21">
        <v>-220239.29719436757</v>
      </c>
    </row>
    <row r="3711" spans="12:13" x14ac:dyDescent="0.2">
      <c r="L3711" s="4">
        <v>3705</v>
      </c>
      <c r="M3711" s="21">
        <v>-176166.91087859648</v>
      </c>
    </row>
    <row r="3712" spans="12:13" x14ac:dyDescent="0.2">
      <c r="L3712" s="4">
        <v>3706</v>
      </c>
      <c r="M3712" s="21">
        <v>16606.399196243758</v>
      </c>
    </row>
    <row r="3713" spans="12:13" x14ac:dyDescent="0.2">
      <c r="L3713" s="4">
        <v>3707</v>
      </c>
      <c r="M3713" s="21">
        <v>166284.15993320761</v>
      </c>
    </row>
    <row r="3714" spans="12:13" x14ac:dyDescent="0.2">
      <c r="L3714" s="4">
        <v>3708</v>
      </c>
      <c r="M3714" s="21">
        <v>-8811.6180769727944</v>
      </c>
    </row>
    <row r="3715" spans="12:13" x14ac:dyDescent="0.2">
      <c r="L3715" s="4">
        <v>3709</v>
      </c>
      <c r="M3715" s="21">
        <v>-21321.545397558424</v>
      </c>
    </row>
    <row r="3716" spans="12:13" x14ac:dyDescent="0.2">
      <c r="L3716" s="4">
        <v>3710</v>
      </c>
      <c r="M3716" s="21">
        <v>438371.40242758283</v>
      </c>
    </row>
    <row r="3717" spans="12:13" x14ac:dyDescent="0.2">
      <c r="L3717" s="4">
        <v>3711</v>
      </c>
      <c r="M3717" s="21">
        <v>187320.01077062168</v>
      </c>
    </row>
    <row r="3718" spans="12:13" x14ac:dyDescent="0.2">
      <c r="L3718" s="4">
        <v>3712</v>
      </c>
      <c r="M3718" s="21">
        <v>228092.14920885782</v>
      </c>
    </row>
    <row r="3719" spans="12:13" x14ac:dyDescent="0.2">
      <c r="L3719" s="4">
        <v>3713</v>
      </c>
      <c r="M3719" s="21">
        <v>-230913.05629667174</v>
      </c>
    </row>
    <row r="3720" spans="12:13" x14ac:dyDescent="0.2">
      <c r="L3720" s="4">
        <v>3714</v>
      </c>
      <c r="M3720" s="21">
        <v>158416.75794217538</v>
      </c>
    </row>
    <row r="3721" spans="12:13" x14ac:dyDescent="0.2">
      <c r="L3721" s="4">
        <v>3715</v>
      </c>
      <c r="M3721" s="21">
        <v>268645.93802215415</v>
      </c>
    </row>
    <row r="3722" spans="12:13" x14ac:dyDescent="0.2">
      <c r="L3722" s="4">
        <v>3716</v>
      </c>
      <c r="M3722" s="21">
        <v>-297446.50144303171</v>
      </c>
    </row>
    <row r="3723" spans="12:13" x14ac:dyDescent="0.2">
      <c r="L3723" s="4">
        <v>3717</v>
      </c>
      <c r="M3723" s="21">
        <v>92861.694619357877</v>
      </c>
    </row>
    <row r="3724" spans="12:13" x14ac:dyDescent="0.2">
      <c r="L3724" s="4">
        <v>3718</v>
      </c>
      <c r="M3724" s="21">
        <v>53245.870301990944</v>
      </c>
    </row>
    <row r="3725" spans="12:13" x14ac:dyDescent="0.2">
      <c r="L3725" s="4">
        <v>3719</v>
      </c>
      <c r="M3725" s="21">
        <v>268956.2215234203</v>
      </c>
    </row>
    <row r="3726" spans="12:13" x14ac:dyDescent="0.2">
      <c r="L3726" s="4">
        <v>3720</v>
      </c>
      <c r="M3726" s="21">
        <v>-154256.10073517938</v>
      </c>
    </row>
    <row r="3727" spans="12:13" x14ac:dyDescent="0.2">
      <c r="L3727" s="4">
        <v>3721</v>
      </c>
      <c r="M3727" s="21">
        <v>-2782.8122065580683</v>
      </c>
    </row>
    <row r="3728" spans="12:13" x14ac:dyDescent="0.2">
      <c r="L3728" s="4">
        <v>3722</v>
      </c>
      <c r="M3728" s="21">
        <v>259928.51387347016</v>
      </c>
    </row>
    <row r="3729" spans="12:13" x14ac:dyDescent="0.2">
      <c r="L3729" s="4">
        <v>3723</v>
      </c>
      <c r="M3729" s="21">
        <v>-324849.50600392197</v>
      </c>
    </row>
    <row r="3730" spans="12:13" x14ac:dyDescent="0.2">
      <c r="L3730" s="4">
        <v>3724</v>
      </c>
      <c r="M3730" s="21">
        <v>-144336.45988259788</v>
      </c>
    </row>
    <row r="3731" spans="12:13" x14ac:dyDescent="0.2">
      <c r="L3731" s="4">
        <v>3725</v>
      </c>
      <c r="M3731" s="21">
        <v>-216313.37438714318</v>
      </c>
    </row>
    <row r="3732" spans="12:13" x14ac:dyDescent="0.2">
      <c r="L3732" s="4">
        <v>3726</v>
      </c>
      <c r="M3732" s="21">
        <v>-356010.31156738295</v>
      </c>
    </row>
    <row r="3733" spans="12:13" x14ac:dyDescent="0.2">
      <c r="L3733" s="4">
        <v>3727</v>
      </c>
      <c r="M3733" s="21">
        <v>-330363.61495671934</v>
      </c>
    </row>
    <row r="3734" spans="12:13" x14ac:dyDescent="0.2">
      <c r="L3734" s="4">
        <v>3728</v>
      </c>
      <c r="M3734" s="21">
        <v>165319.90088657994</v>
      </c>
    </row>
    <row r="3735" spans="12:13" x14ac:dyDescent="0.2">
      <c r="L3735" s="4">
        <v>3729</v>
      </c>
      <c r="M3735" s="21">
        <v>108823.98799698765</v>
      </c>
    </row>
    <row r="3736" spans="12:13" x14ac:dyDescent="0.2">
      <c r="L3736" s="4">
        <v>3730</v>
      </c>
      <c r="M3736" s="21">
        <v>-82487.709368295677</v>
      </c>
    </row>
    <row r="3737" spans="12:13" x14ac:dyDescent="0.2">
      <c r="L3737" s="4">
        <v>3731</v>
      </c>
      <c r="M3737" s="21">
        <v>-72472.138897526384</v>
      </c>
    </row>
    <row r="3738" spans="12:13" x14ac:dyDescent="0.2">
      <c r="L3738" s="4">
        <v>3732</v>
      </c>
      <c r="M3738" s="21">
        <v>29561.543384979886</v>
      </c>
    </row>
    <row r="3739" spans="12:13" x14ac:dyDescent="0.2">
      <c r="L3739" s="4">
        <v>3733</v>
      </c>
      <c r="M3739" s="21">
        <v>321362.44077396987</v>
      </c>
    </row>
    <row r="3740" spans="12:13" x14ac:dyDescent="0.2">
      <c r="L3740" s="4">
        <v>3734</v>
      </c>
      <c r="M3740" s="21">
        <v>199673.71873053396</v>
      </c>
    </row>
    <row r="3741" spans="12:13" x14ac:dyDescent="0.2">
      <c r="L3741" s="4">
        <v>3735</v>
      </c>
      <c r="M3741" s="21">
        <v>239341.29851716096</v>
      </c>
    </row>
    <row r="3742" spans="12:13" x14ac:dyDescent="0.2">
      <c r="L3742" s="4">
        <v>3736</v>
      </c>
      <c r="M3742" s="21">
        <v>-165179.98755334073</v>
      </c>
    </row>
    <row r="3743" spans="12:13" x14ac:dyDescent="0.2">
      <c r="L3743" s="4">
        <v>3737</v>
      </c>
      <c r="M3743" s="21">
        <v>-21456.664111253282</v>
      </c>
    </row>
    <row r="3744" spans="12:13" x14ac:dyDescent="0.2">
      <c r="L3744" s="4">
        <v>3738</v>
      </c>
      <c r="M3744" s="21">
        <v>-118490.09179186684</v>
      </c>
    </row>
    <row r="3745" spans="12:13" x14ac:dyDescent="0.2">
      <c r="L3745" s="4">
        <v>3739</v>
      </c>
      <c r="M3745" s="21">
        <v>-340667.4257056996</v>
      </c>
    </row>
    <row r="3746" spans="12:13" x14ac:dyDescent="0.2">
      <c r="L3746" s="4">
        <v>3740</v>
      </c>
      <c r="M3746" s="21">
        <v>-121509.08136896873</v>
      </c>
    </row>
    <row r="3747" spans="12:13" x14ac:dyDescent="0.2">
      <c r="L3747" s="4">
        <v>3741</v>
      </c>
      <c r="M3747" s="21">
        <v>99740.952236598096</v>
      </c>
    </row>
    <row r="3748" spans="12:13" x14ac:dyDescent="0.2">
      <c r="L3748" s="4">
        <v>3742</v>
      </c>
      <c r="M3748" s="21">
        <v>-10214.859597489936</v>
      </c>
    </row>
    <row r="3749" spans="12:13" x14ac:dyDescent="0.2">
      <c r="L3749" s="4">
        <v>3743</v>
      </c>
      <c r="M3749" s="21">
        <v>680453.43851020373</v>
      </c>
    </row>
    <row r="3750" spans="12:13" x14ac:dyDescent="0.2">
      <c r="L3750" s="4">
        <v>3744</v>
      </c>
      <c r="M3750" s="21">
        <v>-261814.52163921663</v>
      </c>
    </row>
    <row r="3751" spans="12:13" x14ac:dyDescent="0.2">
      <c r="L3751" s="4">
        <v>3745</v>
      </c>
      <c r="M3751" s="21">
        <v>511205.53415489721</v>
      </c>
    </row>
    <row r="3752" spans="12:13" x14ac:dyDescent="0.2">
      <c r="L3752" s="4">
        <v>3746</v>
      </c>
      <c r="M3752" s="21">
        <v>489286.46826242527</v>
      </c>
    </row>
    <row r="3753" spans="12:13" x14ac:dyDescent="0.2">
      <c r="L3753" s="4">
        <v>3747</v>
      </c>
      <c r="M3753" s="21">
        <v>-36888.458136092944</v>
      </c>
    </row>
    <row r="3754" spans="12:13" x14ac:dyDescent="0.2">
      <c r="L3754" s="4">
        <v>3748</v>
      </c>
      <c r="M3754" s="21">
        <v>-47566.22252610841</v>
      </c>
    </row>
    <row r="3755" spans="12:13" x14ac:dyDescent="0.2">
      <c r="L3755" s="4">
        <v>3749</v>
      </c>
      <c r="M3755" s="21">
        <v>-7942.4574193371955</v>
      </c>
    </row>
    <row r="3756" spans="12:13" x14ac:dyDescent="0.2">
      <c r="L3756" s="4">
        <v>3750</v>
      </c>
      <c r="M3756" s="21">
        <v>-65590.748460339571</v>
      </c>
    </row>
    <row r="3757" spans="12:13" x14ac:dyDescent="0.2">
      <c r="L3757" s="4">
        <v>3751</v>
      </c>
      <c r="M3757" s="21">
        <v>176942.53470528952</v>
      </c>
    </row>
    <row r="3758" spans="12:13" x14ac:dyDescent="0.2">
      <c r="L3758" s="4">
        <v>3752</v>
      </c>
      <c r="M3758" s="21">
        <v>52575.71942500287</v>
      </c>
    </row>
    <row r="3759" spans="12:13" x14ac:dyDescent="0.2">
      <c r="L3759" s="4">
        <v>3753</v>
      </c>
      <c r="M3759" s="21">
        <v>398804.92296649847</v>
      </c>
    </row>
    <row r="3760" spans="12:13" x14ac:dyDescent="0.2">
      <c r="L3760" s="4">
        <v>3754</v>
      </c>
      <c r="M3760" s="21">
        <v>-202144.1902151829</v>
      </c>
    </row>
    <row r="3761" spans="12:13" x14ac:dyDescent="0.2">
      <c r="L3761" s="4">
        <v>3755</v>
      </c>
      <c r="M3761" s="21">
        <v>53805.527386319649</v>
      </c>
    </row>
    <row r="3762" spans="12:13" x14ac:dyDescent="0.2">
      <c r="L3762" s="4">
        <v>3756</v>
      </c>
      <c r="M3762" s="21">
        <v>104980.58762312168</v>
      </c>
    </row>
    <row r="3763" spans="12:13" x14ac:dyDescent="0.2">
      <c r="L3763" s="4">
        <v>3757</v>
      </c>
      <c r="M3763" s="21">
        <v>140488.73271314253</v>
      </c>
    </row>
    <row r="3764" spans="12:13" x14ac:dyDescent="0.2">
      <c r="L3764" s="4">
        <v>3758</v>
      </c>
      <c r="M3764" s="21">
        <v>-101905.98883001748</v>
      </c>
    </row>
    <row r="3765" spans="12:13" x14ac:dyDescent="0.2">
      <c r="L3765" s="4">
        <v>3759</v>
      </c>
      <c r="M3765" s="21">
        <v>181482.28116546187</v>
      </c>
    </row>
    <row r="3766" spans="12:13" x14ac:dyDescent="0.2">
      <c r="L3766" s="4">
        <v>3760</v>
      </c>
      <c r="M3766" s="21">
        <v>144928.06632169915</v>
      </c>
    </row>
    <row r="3767" spans="12:13" x14ac:dyDescent="0.2">
      <c r="L3767" s="4">
        <v>3761</v>
      </c>
      <c r="M3767" s="21">
        <v>223443.69147889808</v>
      </c>
    </row>
    <row r="3768" spans="12:13" x14ac:dyDescent="0.2">
      <c r="L3768" s="4">
        <v>3762</v>
      </c>
      <c r="M3768" s="21">
        <v>237851.50565950913</v>
      </c>
    </row>
    <row r="3769" spans="12:13" x14ac:dyDescent="0.2">
      <c r="L3769" s="4">
        <v>3763</v>
      </c>
      <c r="M3769" s="21">
        <v>177346.17852079609</v>
      </c>
    </row>
    <row r="3770" spans="12:13" x14ac:dyDescent="0.2">
      <c r="L3770" s="4">
        <v>3764</v>
      </c>
      <c r="M3770" s="21">
        <v>282876.18020802806</v>
      </c>
    </row>
    <row r="3771" spans="12:13" x14ac:dyDescent="0.2">
      <c r="L3771" s="4">
        <v>3765</v>
      </c>
      <c r="M3771" s="21">
        <v>-256889.19729667678</v>
      </c>
    </row>
    <row r="3772" spans="12:13" x14ac:dyDescent="0.2">
      <c r="L3772" s="4">
        <v>3766</v>
      </c>
      <c r="M3772" s="21">
        <v>42689.394151698478</v>
      </c>
    </row>
    <row r="3773" spans="12:13" x14ac:dyDescent="0.2">
      <c r="L3773" s="4">
        <v>3767</v>
      </c>
      <c r="M3773" s="21">
        <v>23475.042137506913</v>
      </c>
    </row>
    <row r="3774" spans="12:13" x14ac:dyDescent="0.2">
      <c r="L3774" s="4">
        <v>3768</v>
      </c>
      <c r="M3774" s="21">
        <v>710412.86876349838</v>
      </c>
    </row>
    <row r="3775" spans="12:13" x14ac:dyDescent="0.2">
      <c r="L3775" s="4">
        <v>3769</v>
      </c>
      <c r="M3775" s="21">
        <v>153902.92849995289</v>
      </c>
    </row>
    <row r="3776" spans="12:13" x14ac:dyDescent="0.2">
      <c r="L3776" s="4">
        <v>3770</v>
      </c>
      <c r="M3776" s="21">
        <v>357801.23453846935</v>
      </c>
    </row>
    <row r="3777" spans="12:13" x14ac:dyDescent="0.2">
      <c r="L3777" s="4">
        <v>3771</v>
      </c>
      <c r="M3777" s="21">
        <v>-167563.00212491635</v>
      </c>
    </row>
    <row r="3778" spans="12:13" x14ac:dyDescent="0.2">
      <c r="L3778" s="4">
        <v>3772</v>
      </c>
      <c r="M3778" s="21">
        <v>-17497.680139581978</v>
      </c>
    </row>
    <row r="3779" spans="12:13" x14ac:dyDescent="0.2">
      <c r="L3779" s="4">
        <v>3773</v>
      </c>
      <c r="M3779" s="21">
        <v>67308.072180921416</v>
      </c>
    </row>
    <row r="3780" spans="12:13" x14ac:dyDescent="0.2">
      <c r="L3780" s="4">
        <v>3774</v>
      </c>
      <c r="M3780" s="21">
        <v>246540.46303183562</v>
      </c>
    </row>
    <row r="3781" spans="12:13" x14ac:dyDescent="0.2">
      <c r="L3781" s="4">
        <v>3775</v>
      </c>
      <c r="M3781" s="21">
        <v>34840.879264792427</v>
      </c>
    </row>
    <row r="3782" spans="12:13" x14ac:dyDescent="0.2">
      <c r="L3782" s="4">
        <v>3776</v>
      </c>
      <c r="M3782" s="21">
        <v>246166.92999549679</v>
      </c>
    </row>
    <row r="3783" spans="12:13" x14ac:dyDescent="0.2">
      <c r="L3783" s="4">
        <v>3777</v>
      </c>
      <c r="M3783" s="21">
        <v>-332421.6511669918</v>
      </c>
    </row>
    <row r="3784" spans="12:13" x14ac:dyDescent="0.2">
      <c r="L3784" s="4">
        <v>3778</v>
      </c>
      <c r="M3784" s="21">
        <v>-3684.8719146143558</v>
      </c>
    </row>
    <row r="3785" spans="12:13" x14ac:dyDescent="0.2">
      <c r="L3785" s="4">
        <v>3779</v>
      </c>
      <c r="M3785" s="21">
        <v>-230112.90862804628</v>
      </c>
    </row>
    <row r="3786" spans="12:13" x14ac:dyDescent="0.2">
      <c r="L3786" s="4">
        <v>3780</v>
      </c>
      <c r="M3786" s="21">
        <v>-30662.387308223726</v>
      </c>
    </row>
    <row r="3787" spans="12:13" x14ac:dyDescent="0.2">
      <c r="L3787" s="4">
        <v>3781</v>
      </c>
      <c r="M3787" s="21">
        <v>299818.33608908422</v>
      </c>
    </row>
    <row r="3788" spans="12:13" x14ac:dyDescent="0.2">
      <c r="L3788" s="4">
        <v>3782</v>
      </c>
      <c r="M3788" s="21">
        <v>132211.78489746447</v>
      </c>
    </row>
    <row r="3789" spans="12:13" x14ac:dyDescent="0.2">
      <c r="L3789" s="4">
        <v>3783</v>
      </c>
      <c r="M3789" s="21">
        <v>159147.81845386807</v>
      </c>
    </row>
    <row r="3790" spans="12:13" x14ac:dyDescent="0.2">
      <c r="L3790" s="4">
        <v>3784</v>
      </c>
      <c r="M3790" s="21">
        <v>97634.469393553067</v>
      </c>
    </row>
    <row r="3791" spans="12:13" x14ac:dyDescent="0.2">
      <c r="L3791" s="4">
        <v>3785</v>
      </c>
      <c r="M3791" s="21">
        <v>151602.40048565087</v>
      </c>
    </row>
    <row r="3792" spans="12:13" x14ac:dyDescent="0.2">
      <c r="L3792" s="4">
        <v>3786</v>
      </c>
      <c r="M3792" s="21">
        <v>-58597.593536961911</v>
      </c>
    </row>
    <row r="3793" spans="12:13" x14ac:dyDescent="0.2">
      <c r="L3793" s="4">
        <v>3787</v>
      </c>
      <c r="M3793" s="21">
        <v>149395.21528397914</v>
      </c>
    </row>
    <row r="3794" spans="12:13" x14ac:dyDescent="0.2">
      <c r="L3794" s="4">
        <v>3788</v>
      </c>
      <c r="M3794" s="21">
        <v>-284512.91207683599</v>
      </c>
    </row>
    <row r="3795" spans="12:13" x14ac:dyDescent="0.2">
      <c r="L3795" s="4">
        <v>3789</v>
      </c>
      <c r="M3795" s="21">
        <v>165845.11420790799</v>
      </c>
    </row>
    <row r="3796" spans="12:13" x14ac:dyDescent="0.2">
      <c r="L3796" s="4">
        <v>3790</v>
      </c>
      <c r="M3796" s="21">
        <v>-343480.13672826171</v>
      </c>
    </row>
    <row r="3797" spans="12:13" x14ac:dyDescent="0.2">
      <c r="L3797" s="4">
        <v>3791</v>
      </c>
      <c r="M3797" s="21">
        <v>-72855.940786695573</v>
      </c>
    </row>
    <row r="3798" spans="12:13" x14ac:dyDescent="0.2">
      <c r="L3798" s="4">
        <v>3792</v>
      </c>
      <c r="M3798" s="21">
        <v>-220530.24761690598</v>
      </c>
    </row>
    <row r="3799" spans="12:13" x14ac:dyDescent="0.2">
      <c r="L3799" s="4">
        <v>3793</v>
      </c>
      <c r="M3799" s="21">
        <v>246431.47990574548</v>
      </c>
    </row>
    <row r="3800" spans="12:13" x14ac:dyDescent="0.2">
      <c r="L3800" s="4">
        <v>3794</v>
      </c>
      <c r="M3800" s="21">
        <v>-1639.9952715400723</v>
      </c>
    </row>
    <row r="3801" spans="12:13" x14ac:dyDescent="0.2">
      <c r="L3801" s="4">
        <v>3795</v>
      </c>
      <c r="M3801" s="21">
        <v>-51092.338385403884</v>
      </c>
    </row>
    <row r="3802" spans="12:13" x14ac:dyDescent="0.2">
      <c r="L3802" s="4">
        <v>3796</v>
      </c>
      <c r="M3802" s="21">
        <v>97144.871260585438</v>
      </c>
    </row>
    <row r="3803" spans="12:13" x14ac:dyDescent="0.2">
      <c r="L3803" s="4">
        <v>3797</v>
      </c>
      <c r="M3803" s="21">
        <v>111021.18386482002</v>
      </c>
    </row>
    <row r="3804" spans="12:13" x14ac:dyDescent="0.2">
      <c r="L3804" s="4">
        <v>3798</v>
      </c>
      <c r="M3804" s="21">
        <v>-160919.26206602561</v>
      </c>
    </row>
    <row r="3805" spans="12:13" x14ac:dyDescent="0.2">
      <c r="L3805" s="4">
        <v>3799</v>
      </c>
      <c r="M3805" s="21">
        <v>23047.528894642805</v>
      </c>
    </row>
    <row r="3806" spans="12:13" x14ac:dyDescent="0.2">
      <c r="L3806" s="4">
        <v>3800</v>
      </c>
      <c r="M3806" s="21">
        <v>-11072.115714019033</v>
      </c>
    </row>
    <row r="3807" spans="12:13" x14ac:dyDescent="0.2">
      <c r="L3807" s="4">
        <v>3801</v>
      </c>
      <c r="M3807" s="21">
        <v>116751.04017600682</v>
      </c>
    </row>
    <row r="3808" spans="12:13" x14ac:dyDescent="0.2">
      <c r="L3808" s="4">
        <v>3802</v>
      </c>
      <c r="M3808" s="21">
        <v>-159562.57333474187</v>
      </c>
    </row>
    <row r="3809" spans="12:13" x14ac:dyDescent="0.2">
      <c r="L3809" s="4">
        <v>3803</v>
      </c>
      <c r="M3809" s="21">
        <v>-49187.011100339208</v>
      </c>
    </row>
    <row r="3810" spans="12:13" x14ac:dyDescent="0.2">
      <c r="L3810" s="4">
        <v>3804</v>
      </c>
      <c r="M3810" s="21">
        <v>-204007.85449957568</v>
      </c>
    </row>
    <row r="3811" spans="12:13" x14ac:dyDescent="0.2">
      <c r="L3811" s="4">
        <v>3805</v>
      </c>
      <c r="M3811" s="21">
        <v>-51610.926670042216</v>
      </c>
    </row>
    <row r="3812" spans="12:13" x14ac:dyDescent="0.2">
      <c r="L3812" s="4">
        <v>3806</v>
      </c>
      <c r="M3812" s="21">
        <v>52771.275168043183</v>
      </c>
    </row>
    <row r="3813" spans="12:13" x14ac:dyDescent="0.2">
      <c r="L3813" s="4">
        <v>3807</v>
      </c>
      <c r="M3813" s="21">
        <v>18288.849445610947</v>
      </c>
    </row>
    <row r="3814" spans="12:13" x14ac:dyDescent="0.2">
      <c r="L3814" s="4">
        <v>3808</v>
      </c>
      <c r="M3814" s="21">
        <v>81262.376852448127</v>
      </c>
    </row>
    <row r="3815" spans="12:13" x14ac:dyDescent="0.2">
      <c r="L3815" s="4">
        <v>3809</v>
      </c>
      <c r="M3815" s="21">
        <v>249237.48697057416</v>
      </c>
    </row>
    <row r="3816" spans="12:13" x14ac:dyDescent="0.2">
      <c r="L3816" s="4">
        <v>3810</v>
      </c>
      <c r="M3816" s="21">
        <v>-167686.13256020026</v>
      </c>
    </row>
    <row r="3817" spans="12:13" x14ac:dyDescent="0.2">
      <c r="L3817" s="4">
        <v>3811</v>
      </c>
      <c r="M3817" s="21">
        <v>-115888.57168206916</v>
      </c>
    </row>
    <row r="3818" spans="12:13" x14ac:dyDescent="0.2">
      <c r="L3818" s="4">
        <v>3812</v>
      </c>
      <c r="M3818" s="21">
        <v>-184351.6933008903</v>
      </c>
    </row>
    <row r="3819" spans="12:13" x14ac:dyDescent="0.2">
      <c r="L3819" s="4">
        <v>3813</v>
      </c>
      <c r="M3819" s="21">
        <v>218683.02515814774</v>
      </c>
    </row>
    <row r="3820" spans="12:13" x14ac:dyDescent="0.2">
      <c r="L3820" s="4">
        <v>3814</v>
      </c>
      <c r="M3820" s="21">
        <v>52681.64161066938</v>
      </c>
    </row>
    <row r="3821" spans="12:13" x14ac:dyDescent="0.2">
      <c r="L3821" s="4">
        <v>3815</v>
      </c>
      <c r="M3821" s="21">
        <v>270961.39679457119</v>
      </c>
    </row>
    <row r="3822" spans="12:13" x14ac:dyDescent="0.2">
      <c r="L3822" s="4">
        <v>3816</v>
      </c>
      <c r="M3822" s="21">
        <v>342917.2902060122</v>
      </c>
    </row>
    <row r="3823" spans="12:13" x14ac:dyDescent="0.2">
      <c r="L3823" s="4">
        <v>3817</v>
      </c>
      <c r="M3823" s="21">
        <v>89695.302244359191</v>
      </c>
    </row>
    <row r="3824" spans="12:13" x14ac:dyDescent="0.2">
      <c r="L3824" s="4">
        <v>3818</v>
      </c>
      <c r="M3824" s="21">
        <v>-231359.43362020166</v>
      </c>
    </row>
    <row r="3825" spans="12:13" x14ac:dyDescent="0.2">
      <c r="L3825" s="4">
        <v>3819</v>
      </c>
      <c r="M3825" s="21">
        <v>-304475.2512041587</v>
      </c>
    </row>
    <row r="3826" spans="12:13" x14ac:dyDescent="0.2">
      <c r="L3826" s="4">
        <v>3820</v>
      </c>
      <c r="M3826" s="21">
        <v>102830.39738656359</v>
      </c>
    </row>
    <row r="3827" spans="12:13" x14ac:dyDescent="0.2">
      <c r="L3827" s="4">
        <v>3821</v>
      </c>
      <c r="M3827" s="21">
        <v>-55476.325099974885</v>
      </c>
    </row>
    <row r="3828" spans="12:13" x14ac:dyDescent="0.2">
      <c r="L3828" s="4">
        <v>3822</v>
      </c>
      <c r="M3828" s="21">
        <v>-7980.8458625990752</v>
      </c>
    </row>
    <row r="3829" spans="12:13" x14ac:dyDescent="0.2">
      <c r="L3829" s="4">
        <v>3823</v>
      </c>
      <c r="M3829" s="21">
        <v>-49488.834347663462</v>
      </c>
    </row>
    <row r="3830" spans="12:13" x14ac:dyDescent="0.2">
      <c r="L3830" s="4">
        <v>3824</v>
      </c>
      <c r="M3830" s="21">
        <v>333009.94357455359</v>
      </c>
    </row>
    <row r="3831" spans="12:13" x14ac:dyDescent="0.2">
      <c r="L3831" s="4">
        <v>3825</v>
      </c>
      <c r="M3831" s="21">
        <v>450976.8312037721</v>
      </c>
    </row>
    <row r="3832" spans="12:13" x14ac:dyDescent="0.2">
      <c r="L3832" s="4">
        <v>3826</v>
      </c>
      <c r="M3832" s="21">
        <v>-123898.18345890862</v>
      </c>
    </row>
    <row r="3833" spans="12:13" x14ac:dyDescent="0.2">
      <c r="L3833" s="4">
        <v>3827</v>
      </c>
      <c r="M3833" s="21">
        <v>339647.44939567632</v>
      </c>
    </row>
    <row r="3834" spans="12:13" x14ac:dyDescent="0.2">
      <c r="L3834" s="4">
        <v>3828</v>
      </c>
      <c r="M3834" s="21">
        <v>62472.384876238997</v>
      </c>
    </row>
    <row r="3835" spans="12:13" x14ac:dyDescent="0.2">
      <c r="L3835" s="4">
        <v>3829</v>
      </c>
      <c r="M3835" s="21">
        <v>-172174.25237747174</v>
      </c>
    </row>
    <row r="3836" spans="12:13" x14ac:dyDescent="0.2">
      <c r="L3836" s="4">
        <v>3830</v>
      </c>
      <c r="M3836" s="21">
        <v>1445.5104409084888</v>
      </c>
    </row>
    <row r="3837" spans="12:13" x14ac:dyDescent="0.2">
      <c r="L3837" s="4">
        <v>3831</v>
      </c>
      <c r="M3837" s="21">
        <v>88807.943098355987</v>
      </c>
    </row>
    <row r="3838" spans="12:13" x14ac:dyDescent="0.2">
      <c r="L3838" s="4">
        <v>3832</v>
      </c>
      <c r="M3838" s="21">
        <v>-147141.05337711569</v>
      </c>
    </row>
    <row r="3839" spans="12:13" x14ac:dyDescent="0.2">
      <c r="L3839" s="4">
        <v>3833</v>
      </c>
      <c r="M3839" s="21">
        <v>-97178.216404381412</v>
      </c>
    </row>
    <row r="3840" spans="12:13" x14ac:dyDescent="0.2">
      <c r="L3840" s="4">
        <v>3834</v>
      </c>
      <c r="M3840" s="21">
        <v>115728.62739182223</v>
      </c>
    </row>
    <row r="3841" spans="12:13" x14ac:dyDescent="0.2">
      <c r="L3841" s="4">
        <v>3835</v>
      </c>
      <c r="M3841" s="21">
        <v>243080.16146411645</v>
      </c>
    </row>
    <row r="3842" spans="12:13" x14ac:dyDescent="0.2">
      <c r="L3842" s="4">
        <v>3836</v>
      </c>
      <c r="M3842" s="21">
        <v>1146.020071192208</v>
      </c>
    </row>
    <row r="3843" spans="12:13" x14ac:dyDescent="0.2">
      <c r="L3843" s="4">
        <v>3837</v>
      </c>
      <c r="M3843" s="21">
        <v>118249.13558436598</v>
      </c>
    </row>
    <row r="3844" spans="12:13" x14ac:dyDescent="0.2">
      <c r="L3844" s="4">
        <v>3838</v>
      </c>
      <c r="M3844" s="21">
        <v>-205941.27366117848</v>
      </c>
    </row>
    <row r="3845" spans="12:13" x14ac:dyDescent="0.2">
      <c r="L3845" s="4">
        <v>3839</v>
      </c>
      <c r="M3845" s="21">
        <v>381822.15754015988</v>
      </c>
    </row>
    <row r="3846" spans="12:13" x14ac:dyDescent="0.2">
      <c r="L3846" s="4">
        <v>3840</v>
      </c>
      <c r="M3846" s="21">
        <v>6120.5324469323677</v>
      </c>
    </row>
    <row r="3847" spans="12:13" x14ac:dyDescent="0.2">
      <c r="L3847" s="4">
        <v>3841</v>
      </c>
      <c r="M3847" s="21">
        <v>277198.34860029881</v>
      </c>
    </row>
    <row r="3848" spans="12:13" x14ac:dyDescent="0.2">
      <c r="L3848" s="4">
        <v>3842</v>
      </c>
      <c r="M3848" s="21">
        <v>-400907.55374130351</v>
      </c>
    </row>
    <row r="3849" spans="12:13" x14ac:dyDescent="0.2">
      <c r="L3849" s="4">
        <v>3843</v>
      </c>
      <c r="M3849" s="21">
        <v>118110.90138119273</v>
      </c>
    </row>
    <row r="3850" spans="12:13" x14ac:dyDescent="0.2">
      <c r="L3850" s="4">
        <v>3844</v>
      </c>
      <c r="M3850" s="21">
        <v>426893.86925493856</v>
      </c>
    </row>
    <row r="3851" spans="12:13" x14ac:dyDescent="0.2">
      <c r="L3851" s="4">
        <v>3845</v>
      </c>
      <c r="M3851" s="21">
        <v>48962.244135815272</v>
      </c>
    </row>
    <row r="3852" spans="12:13" x14ac:dyDescent="0.2">
      <c r="L3852" s="4">
        <v>3846</v>
      </c>
      <c r="M3852" s="21">
        <v>220477.30718521669</v>
      </c>
    </row>
    <row r="3853" spans="12:13" x14ac:dyDescent="0.2">
      <c r="L3853" s="4">
        <v>3847</v>
      </c>
      <c r="M3853" s="21">
        <v>129628.60065020798</v>
      </c>
    </row>
    <row r="3854" spans="12:13" x14ac:dyDescent="0.2">
      <c r="L3854" s="4">
        <v>3848</v>
      </c>
      <c r="M3854" s="21">
        <v>316775.8240212528</v>
      </c>
    </row>
    <row r="3855" spans="12:13" x14ac:dyDescent="0.2">
      <c r="L3855" s="4">
        <v>3849</v>
      </c>
      <c r="M3855" s="21">
        <v>-51079.076602578964</v>
      </c>
    </row>
    <row r="3856" spans="12:13" x14ac:dyDescent="0.2">
      <c r="L3856" s="4">
        <v>3850</v>
      </c>
      <c r="M3856" s="21">
        <v>256132.07442891391</v>
      </c>
    </row>
    <row r="3857" spans="12:13" x14ac:dyDescent="0.2">
      <c r="L3857" s="4">
        <v>3851</v>
      </c>
      <c r="M3857" s="21">
        <v>55576.227688727406</v>
      </c>
    </row>
    <row r="3858" spans="12:13" x14ac:dyDescent="0.2">
      <c r="L3858" s="4">
        <v>3852</v>
      </c>
      <c r="M3858" s="21">
        <v>183570.38163805055</v>
      </c>
    </row>
    <row r="3859" spans="12:13" x14ac:dyDescent="0.2">
      <c r="L3859" s="4">
        <v>3853</v>
      </c>
      <c r="M3859" s="21">
        <v>198478.82956702827</v>
      </c>
    </row>
    <row r="3860" spans="12:13" x14ac:dyDescent="0.2">
      <c r="L3860" s="4">
        <v>3854</v>
      </c>
      <c r="M3860" s="21">
        <v>221522.3521787565</v>
      </c>
    </row>
    <row r="3861" spans="12:13" x14ac:dyDescent="0.2">
      <c r="L3861" s="4">
        <v>3855</v>
      </c>
      <c r="M3861" s="21">
        <v>-133328.36838091668</v>
      </c>
    </row>
    <row r="3862" spans="12:13" x14ac:dyDescent="0.2">
      <c r="L3862" s="4">
        <v>3856</v>
      </c>
      <c r="M3862" s="21">
        <v>59222.999250405061</v>
      </c>
    </row>
    <row r="3863" spans="12:13" x14ac:dyDescent="0.2">
      <c r="L3863" s="4">
        <v>3857</v>
      </c>
      <c r="M3863" s="21">
        <v>238717.79541290214</v>
      </c>
    </row>
    <row r="3864" spans="12:13" x14ac:dyDescent="0.2">
      <c r="L3864" s="4">
        <v>3858</v>
      </c>
      <c r="M3864" s="21">
        <v>-251319.48224972829</v>
      </c>
    </row>
    <row r="3865" spans="12:13" x14ac:dyDescent="0.2">
      <c r="L3865" s="4">
        <v>3859</v>
      </c>
      <c r="M3865" s="21">
        <v>208178.54086976577</v>
      </c>
    </row>
    <row r="3866" spans="12:13" x14ac:dyDescent="0.2">
      <c r="L3866" s="4">
        <v>3860</v>
      </c>
      <c r="M3866" s="21">
        <v>135444.15837471603</v>
      </c>
    </row>
    <row r="3867" spans="12:13" x14ac:dyDescent="0.2">
      <c r="L3867" s="4">
        <v>3861</v>
      </c>
      <c r="M3867" s="21">
        <v>-112129.44501974943</v>
      </c>
    </row>
    <row r="3868" spans="12:13" x14ac:dyDescent="0.2">
      <c r="L3868" s="4">
        <v>3862</v>
      </c>
      <c r="M3868" s="21">
        <v>293320.47274711297</v>
      </c>
    </row>
    <row r="3869" spans="12:13" x14ac:dyDescent="0.2">
      <c r="L3869" s="4">
        <v>3863</v>
      </c>
      <c r="M3869" s="21">
        <v>70114.51317792607</v>
      </c>
    </row>
    <row r="3870" spans="12:13" x14ac:dyDescent="0.2">
      <c r="L3870" s="4">
        <v>3864</v>
      </c>
      <c r="M3870" s="21">
        <v>25430.082984799577</v>
      </c>
    </row>
    <row r="3871" spans="12:13" x14ac:dyDescent="0.2">
      <c r="L3871" s="4">
        <v>3865</v>
      </c>
      <c r="M3871" s="21">
        <v>-90717.9804987924</v>
      </c>
    </row>
    <row r="3872" spans="12:13" x14ac:dyDescent="0.2">
      <c r="L3872" s="4">
        <v>3866</v>
      </c>
      <c r="M3872" s="21">
        <v>-6845.7223424304684</v>
      </c>
    </row>
    <row r="3873" spans="12:13" x14ac:dyDescent="0.2">
      <c r="L3873" s="4">
        <v>3867</v>
      </c>
      <c r="M3873" s="21">
        <v>-172244.84979659587</v>
      </c>
    </row>
    <row r="3874" spans="12:13" x14ac:dyDescent="0.2">
      <c r="L3874" s="4">
        <v>3868</v>
      </c>
      <c r="M3874" s="21">
        <v>-63510.495094520607</v>
      </c>
    </row>
    <row r="3875" spans="12:13" x14ac:dyDescent="0.2">
      <c r="L3875" s="4">
        <v>3869</v>
      </c>
      <c r="M3875" s="21">
        <v>124082.94799014859</v>
      </c>
    </row>
    <row r="3876" spans="12:13" x14ac:dyDescent="0.2">
      <c r="L3876" s="4">
        <v>3870</v>
      </c>
      <c r="M3876" s="21">
        <v>256390.47205839065</v>
      </c>
    </row>
    <row r="3877" spans="12:13" x14ac:dyDescent="0.2">
      <c r="L3877" s="4">
        <v>3871</v>
      </c>
      <c r="M3877" s="21">
        <v>104194.5938232294</v>
      </c>
    </row>
    <row r="3878" spans="12:13" x14ac:dyDescent="0.2">
      <c r="L3878" s="4">
        <v>3872</v>
      </c>
      <c r="M3878" s="21">
        <v>57414.759172962658</v>
      </c>
    </row>
    <row r="3879" spans="12:13" x14ac:dyDescent="0.2">
      <c r="L3879" s="4">
        <v>3873</v>
      </c>
      <c r="M3879" s="21">
        <v>297826.2069774355</v>
      </c>
    </row>
    <row r="3880" spans="12:13" x14ac:dyDescent="0.2">
      <c r="L3880" s="4">
        <v>3874</v>
      </c>
      <c r="M3880" s="21">
        <v>-42388.857430410149</v>
      </c>
    </row>
    <row r="3881" spans="12:13" x14ac:dyDescent="0.2">
      <c r="L3881" s="4">
        <v>3875</v>
      </c>
      <c r="M3881" s="21">
        <v>-36104.924706352176</v>
      </c>
    </row>
    <row r="3882" spans="12:13" x14ac:dyDescent="0.2">
      <c r="L3882" s="4">
        <v>3876</v>
      </c>
      <c r="M3882" s="21">
        <v>16468.016411462799</v>
      </c>
    </row>
    <row r="3883" spans="12:13" x14ac:dyDescent="0.2">
      <c r="L3883" s="4">
        <v>3877</v>
      </c>
      <c r="M3883" s="21">
        <v>259631.21407406998</v>
      </c>
    </row>
    <row r="3884" spans="12:13" x14ac:dyDescent="0.2">
      <c r="L3884" s="4">
        <v>3878</v>
      </c>
      <c r="M3884" s="21">
        <v>161896.92966093379</v>
      </c>
    </row>
    <row r="3885" spans="12:13" x14ac:dyDescent="0.2">
      <c r="L3885" s="4">
        <v>3879</v>
      </c>
      <c r="M3885" s="21">
        <v>63439.988644295663</v>
      </c>
    </row>
    <row r="3886" spans="12:13" x14ac:dyDescent="0.2">
      <c r="L3886" s="4">
        <v>3880</v>
      </c>
      <c r="M3886" s="21">
        <v>-120894.90993618604</v>
      </c>
    </row>
    <row r="3887" spans="12:13" x14ac:dyDescent="0.2">
      <c r="L3887" s="4">
        <v>3881</v>
      </c>
      <c r="M3887" s="21">
        <v>9444.494857710728</v>
      </c>
    </row>
    <row r="3888" spans="12:13" x14ac:dyDescent="0.2">
      <c r="L3888" s="4">
        <v>3882</v>
      </c>
      <c r="M3888" s="21">
        <v>-221051.38046367071</v>
      </c>
    </row>
    <row r="3889" spans="12:13" x14ac:dyDescent="0.2">
      <c r="L3889" s="4">
        <v>3883</v>
      </c>
      <c r="M3889" s="21">
        <v>-24053.1145678553</v>
      </c>
    </row>
    <row r="3890" spans="12:13" x14ac:dyDescent="0.2">
      <c r="L3890" s="4">
        <v>3884</v>
      </c>
      <c r="M3890" s="21">
        <v>-128279.8717921561</v>
      </c>
    </row>
    <row r="3891" spans="12:13" x14ac:dyDescent="0.2">
      <c r="L3891" s="4">
        <v>3885</v>
      </c>
      <c r="M3891" s="21">
        <v>-37530.848513652454</v>
      </c>
    </row>
    <row r="3892" spans="12:13" x14ac:dyDescent="0.2">
      <c r="L3892" s="4">
        <v>3886</v>
      </c>
      <c r="M3892" s="21">
        <v>-28354.776717397675</v>
      </c>
    </row>
    <row r="3893" spans="12:13" x14ac:dyDescent="0.2">
      <c r="L3893" s="4">
        <v>3887</v>
      </c>
      <c r="M3893" s="21">
        <v>-109835.58636905548</v>
      </c>
    </row>
    <row r="3894" spans="12:13" x14ac:dyDescent="0.2">
      <c r="L3894" s="4">
        <v>3888</v>
      </c>
      <c r="M3894" s="21">
        <v>175563.16844743228</v>
      </c>
    </row>
    <row r="3895" spans="12:13" x14ac:dyDescent="0.2">
      <c r="L3895" s="4">
        <v>3889</v>
      </c>
      <c r="M3895" s="21">
        <v>117248.8944186536</v>
      </c>
    </row>
    <row r="3896" spans="12:13" x14ac:dyDescent="0.2">
      <c r="L3896" s="4">
        <v>3890</v>
      </c>
      <c r="M3896" s="21">
        <v>-94219.111682597621</v>
      </c>
    </row>
    <row r="3897" spans="12:13" x14ac:dyDescent="0.2">
      <c r="L3897" s="4">
        <v>3891</v>
      </c>
      <c r="M3897" s="21">
        <v>274483.17761525488</v>
      </c>
    </row>
    <row r="3898" spans="12:13" x14ac:dyDescent="0.2">
      <c r="L3898" s="4">
        <v>3892</v>
      </c>
      <c r="M3898" s="21">
        <v>270627.62553269387</v>
      </c>
    </row>
    <row r="3899" spans="12:13" x14ac:dyDescent="0.2">
      <c r="L3899" s="4">
        <v>3893</v>
      </c>
      <c r="M3899" s="21">
        <v>-245322.21790745409</v>
      </c>
    </row>
    <row r="3900" spans="12:13" x14ac:dyDescent="0.2">
      <c r="L3900" s="4">
        <v>3894</v>
      </c>
      <c r="M3900" s="21">
        <v>-38937.191170431994</v>
      </c>
    </row>
    <row r="3901" spans="12:13" x14ac:dyDescent="0.2">
      <c r="L3901" s="4">
        <v>3895</v>
      </c>
      <c r="M3901" s="21">
        <v>387669.83739190432</v>
      </c>
    </row>
    <row r="3902" spans="12:13" x14ac:dyDescent="0.2">
      <c r="L3902" s="4">
        <v>3896</v>
      </c>
      <c r="M3902" s="21">
        <v>157958.17007494558</v>
      </c>
    </row>
    <row r="3903" spans="12:13" x14ac:dyDescent="0.2">
      <c r="L3903" s="4">
        <v>3897</v>
      </c>
      <c r="M3903" s="21">
        <v>135370.70853701615</v>
      </c>
    </row>
    <row r="3904" spans="12:13" x14ac:dyDescent="0.2">
      <c r="L3904" s="4">
        <v>3898</v>
      </c>
      <c r="M3904" s="21">
        <v>-173622.1215672628</v>
      </c>
    </row>
    <row r="3905" spans="12:13" x14ac:dyDescent="0.2">
      <c r="L3905" s="4">
        <v>3899</v>
      </c>
      <c r="M3905" s="21">
        <v>-27730.700780634157</v>
      </c>
    </row>
    <row r="3906" spans="12:13" x14ac:dyDescent="0.2">
      <c r="L3906" s="4">
        <v>3900</v>
      </c>
      <c r="M3906" s="21">
        <v>-183542.77444983402</v>
      </c>
    </row>
    <row r="3907" spans="12:13" x14ac:dyDescent="0.2">
      <c r="L3907" s="4">
        <v>3901</v>
      </c>
      <c r="M3907" s="21">
        <v>552751.92809566134</v>
      </c>
    </row>
    <row r="3908" spans="12:13" x14ac:dyDescent="0.2">
      <c r="L3908" s="4">
        <v>3902</v>
      </c>
      <c r="M3908" s="21">
        <v>-15367.278798389263</v>
      </c>
    </row>
    <row r="3909" spans="12:13" x14ac:dyDescent="0.2">
      <c r="L3909" s="4">
        <v>3903</v>
      </c>
      <c r="M3909" s="21">
        <v>528252.10569545894</v>
      </c>
    </row>
    <row r="3910" spans="12:13" x14ac:dyDescent="0.2">
      <c r="L3910" s="4">
        <v>3904</v>
      </c>
      <c r="M3910" s="21">
        <v>189193.03921633764</v>
      </c>
    </row>
    <row r="3911" spans="12:13" x14ac:dyDescent="0.2">
      <c r="L3911" s="4">
        <v>3905</v>
      </c>
      <c r="M3911" s="21">
        <v>-149719.37366760013</v>
      </c>
    </row>
    <row r="3912" spans="12:13" x14ac:dyDescent="0.2">
      <c r="L3912" s="4">
        <v>3906</v>
      </c>
      <c r="M3912" s="21">
        <v>92120.652932237805</v>
      </c>
    </row>
    <row r="3913" spans="12:13" x14ac:dyDescent="0.2">
      <c r="L3913" s="4">
        <v>3907</v>
      </c>
      <c r="M3913" s="21">
        <v>396565.76378700777</v>
      </c>
    </row>
    <row r="3914" spans="12:13" x14ac:dyDescent="0.2">
      <c r="L3914" s="4">
        <v>3908</v>
      </c>
      <c r="M3914" s="21">
        <v>-63174.627350920768</v>
      </c>
    </row>
    <row r="3915" spans="12:13" x14ac:dyDescent="0.2">
      <c r="L3915" s="4">
        <v>3909</v>
      </c>
      <c r="M3915" s="21">
        <v>-298940.54494829534</v>
      </c>
    </row>
    <row r="3916" spans="12:13" x14ac:dyDescent="0.2">
      <c r="L3916" s="4">
        <v>3910</v>
      </c>
      <c r="M3916" s="21">
        <v>288436.88148160803</v>
      </c>
    </row>
    <row r="3917" spans="12:13" x14ac:dyDescent="0.2">
      <c r="L3917" s="4">
        <v>3911</v>
      </c>
      <c r="M3917" s="21">
        <v>327598.2540489987</v>
      </c>
    </row>
    <row r="3918" spans="12:13" x14ac:dyDescent="0.2">
      <c r="L3918" s="4">
        <v>3912</v>
      </c>
      <c r="M3918" s="21">
        <v>252229.58684682153</v>
      </c>
    </row>
    <row r="3919" spans="12:13" x14ac:dyDescent="0.2">
      <c r="L3919" s="4">
        <v>3913</v>
      </c>
      <c r="M3919" s="21">
        <v>-15819.560242388907</v>
      </c>
    </row>
    <row r="3920" spans="12:13" x14ac:dyDescent="0.2">
      <c r="L3920" s="4">
        <v>3914</v>
      </c>
      <c r="M3920" s="21">
        <v>71284.410455823352</v>
      </c>
    </row>
    <row r="3921" spans="12:13" x14ac:dyDescent="0.2">
      <c r="L3921" s="4">
        <v>3915</v>
      </c>
      <c r="M3921" s="21">
        <v>-249624.96826742985</v>
      </c>
    </row>
    <row r="3922" spans="12:13" x14ac:dyDescent="0.2">
      <c r="L3922" s="4">
        <v>3916</v>
      </c>
      <c r="M3922" s="21">
        <v>207647.59732372625</v>
      </c>
    </row>
    <row r="3923" spans="12:13" x14ac:dyDescent="0.2">
      <c r="L3923" s="4">
        <v>3917</v>
      </c>
      <c r="M3923" s="21">
        <v>262380.81377577654</v>
      </c>
    </row>
    <row r="3924" spans="12:13" x14ac:dyDescent="0.2">
      <c r="L3924" s="4">
        <v>3918</v>
      </c>
      <c r="M3924" s="21">
        <v>-112373.22877351755</v>
      </c>
    </row>
    <row r="3925" spans="12:13" x14ac:dyDescent="0.2">
      <c r="L3925" s="4">
        <v>3919</v>
      </c>
      <c r="M3925" s="21">
        <v>-296054.26580283599</v>
      </c>
    </row>
    <row r="3926" spans="12:13" x14ac:dyDescent="0.2">
      <c r="L3926" s="4">
        <v>3920</v>
      </c>
      <c r="M3926" s="21">
        <v>54003.412104832794</v>
      </c>
    </row>
    <row r="3927" spans="12:13" x14ac:dyDescent="0.2">
      <c r="L3927" s="4">
        <v>3921</v>
      </c>
      <c r="M3927" s="21">
        <v>76444.874264880404</v>
      </c>
    </row>
    <row r="3928" spans="12:13" x14ac:dyDescent="0.2">
      <c r="L3928" s="4">
        <v>3922</v>
      </c>
      <c r="M3928" s="21">
        <v>14958.376166821079</v>
      </c>
    </row>
    <row r="3929" spans="12:13" x14ac:dyDescent="0.2">
      <c r="L3929" s="4">
        <v>3923</v>
      </c>
      <c r="M3929" s="21">
        <v>189595.29636290582</v>
      </c>
    </row>
    <row r="3930" spans="12:13" x14ac:dyDescent="0.2">
      <c r="L3930" s="4">
        <v>3924</v>
      </c>
      <c r="M3930" s="21">
        <v>289535.96969490271</v>
      </c>
    </row>
    <row r="3931" spans="12:13" x14ac:dyDescent="0.2">
      <c r="L3931" s="4">
        <v>3925</v>
      </c>
      <c r="M3931" s="21">
        <v>-54478.924977809715</v>
      </c>
    </row>
    <row r="3932" spans="12:13" x14ac:dyDescent="0.2">
      <c r="L3932" s="4">
        <v>3926</v>
      </c>
      <c r="M3932" s="21">
        <v>-345950.20087605028</v>
      </c>
    </row>
    <row r="3933" spans="12:13" x14ac:dyDescent="0.2">
      <c r="L3933" s="4">
        <v>3927</v>
      </c>
      <c r="M3933" s="21">
        <v>-79303.814807314731</v>
      </c>
    </row>
    <row r="3934" spans="12:13" x14ac:dyDescent="0.2">
      <c r="L3934" s="4">
        <v>3928</v>
      </c>
      <c r="M3934" s="21">
        <v>-44108.857800809346</v>
      </c>
    </row>
    <row r="3935" spans="12:13" x14ac:dyDescent="0.2">
      <c r="L3935" s="4">
        <v>3929</v>
      </c>
      <c r="M3935" s="21">
        <v>-12968.592036842281</v>
      </c>
    </row>
    <row r="3936" spans="12:13" x14ac:dyDescent="0.2">
      <c r="L3936" s="4">
        <v>3930</v>
      </c>
      <c r="M3936" s="21">
        <v>53341.75685630794</v>
      </c>
    </row>
    <row r="3937" spans="12:13" x14ac:dyDescent="0.2">
      <c r="L3937" s="4">
        <v>3931</v>
      </c>
      <c r="M3937" s="21">
        <v>-218810.64017180068</v>
      </c>
    </row>
    <row r="3938" spans="12:13" x14ac:dyDescent="0.2">
      <c r="L3938" s="4">
        <v>3932</v>
      </c>
      <c r="M3938" s="21">
        <v>-55004.288285481642</v>
      </c>
    </row>
    <row r="3939" spans="12:13" x14ac:dyDescent="0.2">
      <c r="L3939" s="4">
        <v>3933</v>
      </c>
      <c r="M3939" s="21">
        <v>748152.84857732581</v>
      </c>
    </row>
    <row r="3940" spans="12:13" x14ac:dyDescent="0.2">
      <c r="L3940" s="4">
        <v>3934</v>
      </c>
      <c r="M3940" s="21">
        <v>-155934.91751448007</v>
      </c>
    </row>
    <row r="3941" spans="12:13" x14ac:dyDescent="0.2">
      <c r="L3941" s="4">
        <v>3935</v>
      </c>
      <c r="M3941" s="21">
        <v>114232.8660487211</v>
      </c>
    </row>
    <row r="3942" spans="12:13" x14ac:dyDescent="0.2">
      <c r="L3942" s="4">
        <v>3936</v>
      </c>
      <c r="M3942" s="21">
        <v>72919.734613568929</v>
      </c>
    </row>
    <row r="3943" spans="12:13" x14ac:dyDescent="0.2">
      <c r="L3943" s="4">
        <v>3937</v>
      </c>
      <c r="M3943" s="21">
        <v>73648.613059623487</v>
      </c>
    </row>
    <row r="3944" spans="12:13" x14ac:dyDescent="0.2">
      <c r="L3944" s="4">
        <v>3938</v>
      </c>
      <c r="M3944" s="21">
        <v>405502.61963322043</v>
      </c>
    </row>
    <row r="3945" spans="12:13" x14ac:dyDescent="0.2">
      <c r="L3945" s="4">
        <v>3939</v>
      </c>
      <c r="M3945" s="21">
        <v>-50573.645033625144</v>
      </c>
    </row>
    <row r="3946" spans="12:13" x14ac:dyDescent="0.2">
      <c r="L3946" s="4">
        <v>3940</v>
      </c>
      <c r="M3946" s="21">
        <v>-34973.768493861542</v>
      </c>
    </row>
    <row r="3947" spans="12:13" x14ac:dyDescent="0.2">
      <c r="L3947" s="4">
        <v>3941</v>
      </c>
      <c r="M3947" s="21">
        <v>136777.46200866354</v>
      </c>
    </row>
    <row r="3948" spans="12:13" x14ac:dyDescent="0.2">
      <c r="L3948" s="4">
        <v>3942</v>
      </c>
      <c r="M3948" s="21">
        <v>-357602.22053023078</v>
      </c>
    </row>
    <row r="3949" spans="12:13" x14ac:dyDescent="0.2">
      <c r="L3949" s="4">
        <v>3943</v>
      </c>
      <c r="M3949" s="21">
        <v>171023.27145424581</v>
      </c>
    </row>
    <row r="3950" spans="12:13" x14ac:dyDescent="0.2">
      <c r="L3950" s="4">
        <v>3944</v>
      </c>
      <c r="M3950" s="21">
        <v>-155657.74575123395</v>
      </c>
    </row>
    <row r="3951" spans="12:13" x14ac:dyDescent="0.2">
      <c r="L3951" s="4">
        <v>3945</v>
      </c>
      <c r="M3951" s="21">
        <v>-234069.59407591113</v>
      </c>
    </row>
    <row r="3952" spans="12:13" x14ac:dyDescent="0.2">
      <c r="L3952" s="4">
        <v>3946</v>
      </c>
      <c r="M3952" s="21">
        <v>334980.53009892663</v>
      </c>
    </row>
    <row r="3953" spans="12:13" x14ac:dyDescent="0.2">
      <c r="L3953" s="4">
        <v>3947</v>
      </c>
      <c r="M3953" s="21">
        <v>103282.49183842281</v>
      </c>
    </row>
    <row r="3954" spans="12:13" x14ac:dyDescent="0.2">
      <c r="L3954" s="4">
        <v>3948</v>
      </c>
      <c r="M3954" s="21">
        <v>-26886.835867389513</v>
      </c>
    </row>
    <row r="3955" spans="12:13" x14ac:dyDescent="0.2">
      <c r="L3955" s="4">
        <v>3949</v>
      </c>
      <c r="M3955" s="21">
        <v>-171516.43791673324</v>
      </c>
    </row>
    <row r="3956" spans="12:13" x14ac:dyDescent="0.2">
      <c r="L3956" s="4">
        <v>3950</v>
      </c>
      <c r="M3956" s="21">
        <v>486363.77947642922</v>
      </c>
    </row>
    <row r="3957" spans="12:13" x14ac:dyDescent="0.2">
      <c r="L3957" s="4">
        <v>3951</v>
      </c>
      <c r="M3957" s="21">
        <v>501693.34510036977</v>
      </c>
    </row>
    <row r="3958" spans="12:13" x14ac:dyDescent="0.2">
      <c r="L3958" s="4">
        <v>3952</v>
      </c>
      <c r="M3958" s="21">
        <v>227538.25405161307</v>
      </c>
    </row>
    <row r="3959" spans="12:13" x14ac:dyDescent="0.2">
      <c r="L3959" s="4">
        <v>3953</v>
      </c>
      <c r="M3959" s="21">
        <v>193580.80324667375</v>
      </c>
    </row>
    <row r="3960" spans="12:13" x14ac:dyDescent="0.2">
      <c r="L3960" s="4">
        <v>3954</v>
      </c>
      <c r="M3960" s="21">
        <v>118998.75634173487</v>
      </c>
    </row>
    <row r="3961" spans="12:13" x14ac:dyDescent="0.2">
      <c r="L3961" s="4">
        <v>3955</v>
      </c>
      <c r="M3961" s="21">
        <v>353838.45305624127</v>
      </c>
    </row>
    <row r="3962" spans="12:13" x14ac:dyDescent="0.2">
      <c r="L3962" s="4">
        <v>3956</v>
      </c>
      <c r="M3962" s="21">
        <v>53012.663903446461</v>
      </c>
    </row>
    <row r="3963" spans="12:13" x14ac:dyDescent="0.2">
      <c r="L3963" s="4">
        <v>3957</v>
      </c>
      <c r="M3963" s="21">
        <v>427723.05593587039</v>
      </c>
    </row>
    <row r="3964" spans="12:13" x14ac:dyDescent="0.2">
      <c r="L3964" s="4">
        <v>3958</v>
      </c>
      <c r="M3964" s="21">
        <v>-340182.01954040932</v>
      </c>
    </row>
    <row r="3965" spans="12:13" x14ac:dyDescent="0.2">
      <c r="L3965" s="4">
        <v>3959</v>
      </c>
      <c r="M3965" s="21">
        <v>160844.50328465775</v>
      </c>
    </row>
    <row r="3966" spans="12:13" x14ac:dyDescent="0.2">
      <c r="L3966" s="4">
        <v>3960</v>
      </c>
      <c r="M3966" s="21">
        <v>254930.55197077474</v>
      </c>
    </row>
    <row r="3967" spans="12:13" x14ac:dyDescent="0.2">
      <c r="L3967" s="4">
        <v>3961</v>
      </c>
      <c r="M3967" s="21">
        <v>-378524.26341113291</v>
      </c>
    </row>
    <row r="3968" spans="12:13" x14ac:dyDescent="0.2">
      <c r="L3968" s="4">
        <v>3962</v>
      </c>
      <c r="M3968" s="21">
        <v>-249250.44355372811</v>
      </c>
    </row>
    <row r="3969" spans="12:13" x14ac:dyDescent="0.2">
      <c r="L3969" s="4">
        <v>3963</v>
      </c>
      <c r="M3969" s="21">
        <v>81965.816744271579</v>
      </c>
    </row>
    <row r="3970" spans="12:13" x14ac:dyDescent="0.2">
      <c r="L3970" s="4">
        <v>3964</v>
      </c>
      <c r="M3970" s="21">
        <v>-269949.42065221013</v>
      </c>
    </row>
    <row r="3971" spans="12:13" x14ac:dyDescent="0.2">
      <c r="L3971" s="4">
        <v>3965</v>
      </c>
      <c r="M3971" s="21">
        <v>-812.54398941478576</v>
      </c>
    </row>
    <row r="3972" spans="12:13" x14ac:dyDescent="0.2">
      <c r="L3972" s="4">
        <v>3966</v>
      </c>
      <c r="M3972" s="21">
        <v>372227.31601150427</v>
      </c>
    </row>
    <row r="3973" spans="12:13" x14ac:dyDescent="0.2">
      <c r="L3973" s="4">
        <v>3967</v>
      </c>
      <c r="M3973" s="21">
        <v>-248804.09360243217</v>
      </c>
    </row>
    <row r="3974" spans="12:13" x14ac:dyDescent="0.2">
      <c r="L3974" s="4">
        <v>3968</v>
      </c>
      <c r="M3974" s="21">
        <v>336627.54826594086</v>
      </c>
    </row>
    <row r="3975" spans="12:13" x14ac:dyDescent="0.2">
      <c r="L3975" s="4">
        <v>3969</v>
      </c>
      <c r="M3975" s="21">
        <v>-285468.64713153575</v>
      </c>
    </row>
    <row r="3976" spans="12:13" x14ac:dyDescent="0.2">
      <c r="L3976" s="4">
        <v>3970</v>
      </c>
      <c r="M3976" s="21">
        <v>119973.8984079503</v>
      </c>
    </row>
    <row r="3977" spans="12:13" x14ac:dyDescent="0.2">
      <c r="L3977" s="4">
        <v>3971</v>
      </c>
      <c r="M3977" s="21">
        <v>61539.62281975802</v>
      </c>
    </row>
    <row r="3978" spans="12:13" x14ac:dyDescent="0.2">
      <c r="L3978" s="4">
        <v>3972</v>
      </c>
      <c r="M3978" s="21">
        <v>142292.08345832326</v>
      </c>
    </row>
    <row r="3979" spans="12:13" x14ac:dyDescent="0.2">
      <c r="L3979" s="4">
        <v>3973</v>
      </c>
      <c r="M3979" s="21">
        <v>-68762.489453717775</v>
      </c>
    </row>
    <row r="3980" spans="12:13" x14ac:dyDescent="0.2">
      <c r="L3980" s="4">
        <v>3974</v>
      </c>
      <c r="M3980" s="21">
        <v>-11269.029932745383</v>
      </c>
    </row>
    <row r="3981" spans="12:13" x14ac:dyDescent="0.2">
      <c r="L3981" s="4">
        <v>3975</v>
      </c>
      <c r="M3981" s="21">
        <v>-98188.316308264461</v>
      </c>
    </row>
    <row r="3982" spans="12:13" x14ac:dyDescent="0.2">
      <c r="L3982" s="4">
        <v>3976</v>
      </c>
      <c r="M3982" s="21">
        <v>65058.122771960072</v>
      </c>
    </row>
    <row r="3983" spans="12:13" x14ac:dyDescent="0.2">
      <c r="L3983" s="4">
        <v>3977</v>
      </c>
      <c r="M3983" s="21">
        <v>374495.80820666428</v>
      </c>
    </row>
    <row r="3984" spans="12:13" x14ac:dyDescent="0.2">
      <c r="L3984" s="4">
        <v>3978</v>
      </c>
      <c r="M3984" s="21">
        <v>11807.920684274344</v>
      </c>
    </row>
    <row r="3985" spans="12:13" x14ac:dyDescent="0.2">
      <c r="L3985" s="4">
        <v>3979</v>
      </c>
      <c r="M3985" s="21">
        <v>-504216.73276761989</v>
      </c>
    </row>
    <row r="3986" spans="12:13" x14ac:dyDescent="0.2">
      <c r="L3986" s="4">
        <v>3980</v>
      </c>
      <c r="M3986" s="21">
        <v>125692.07733296449</v>
      </c>
    </row>
    <row r="3987" spans="12:13" x14ac:dyDescent="0.2">
      <c r="L3987" s="4">
        <v>3981</v>
      </c>
      <c r="M3987" s="21">
        <v>-158152.24111125467</v>
      </c>
    </row>
    <row r="3988" spans="12:13" x14ac:dyDescent="0.2">
      <c r="L3988" s="4">
        <v>3982</v>
      </c>
      <c r="M3988" s="21">
        <v>16584.216590009775</v>
      </c>
    </row>
    <row r="3989" spans="12:13" x14ac:dyDescent="0.2">
      <c r="L3989" s="4">
        <v>3983</v>
      </c>
      <c r="M3989" s="21">
        <v>-50952.43850801808</v>
      </c>
    </row>
    <row r="3990" spans="12:13" x14ac:dyDescent="0.2">
      <c r="L3990" s="4">
        <v>3984</v>
      </c>
      <c r="M3990" s="21">
        <v>-13607.756200415461</v>
      </c>
    </row>
    <row r="3991" spans="12:13" x14ac:dyDescent="0.2">
      <c r="L3991" s="4">
        <v>3985</v>
      </c>
      <c r="M3991" s="21">
        <v>-169882.8570053454</v>
      </c>
    </row>
    <row r="3992" spans="12:13" x14ac:dyDescent="0.2">
      <c r="L3992" s="4">
        <v>3986</v>
      </c>
      <c r="M3992" s="21">
        <v>289800.52763824043</v>
      </c>
    </row>
    <row r="3993" spans="12:13" x14ac:dyDescent="0.2">
      <c r="L3993" s="4">
        <v>3987</v>
      </c>
      <c r="M3993" s="21">
        <v>6307.207387538685</v>
      </c>
    </row>
    <row r="3994" spans="12:13" x14ac:dyDescent="0.2">
      <c r="L3994" s="4">
        <v>3988</v>
      </c>
      <c r="M3994" s="21">
        <v>295667.87710692873</v>
      </c>
    </row>
    <row r="3995" spans="12:13" x14ac:dyDescent="0.2">
      <c r="L3995" s="4">
        <v>3989</v>
      </c>
      <c r="M3995" s="21">
        <v>-250712.84711937042</v>
      </c>
    </row>
    <row r="3996" spans="12:13" x14ac:dyDescent="0.2">
      <c r="L3996" s="4">
        <v>3990</v>
      </c>
      <c r="M3996" s="21">
        <v>36530.428003415815</v>
      </c>
    </row>
    <row r="3997" spans="12:13" x14ac:dyDescent="0.2">
      <c r="L3997" s="4">
        <v>3991</v>
      </c>
      <c r="M3997" s="21">
        <v>279686.51232457947</v>
      </c>
    </row>
    <row r="3998" spans="12:13" x14ac:dyDescent="0.2">
      <c r="L3998" s="4">
        <v>3992</v>
      </c>
      <c r="M3998" s="21">
        <v>111938.54904324244</v>
      </c>
    </row>
    <row r="3999" spans="12:13" x14ac:dyDescent="0.2">
      <c r="L3999" s="4">
        <v>3993</v>
      </c>
      <c r="M3999" s="21">
        <v>216513.82666406603</v>
      </c>
    </row>
    <row r="4000" spans="12:13" x14ac:dyDescent="0.2">
      <c r="L4000" s="4">
        <v>3994</v>
      </c>
      <c r="M4000" s="21">
        <v>35250.781623944233</v>
      </c>
    </row>
    <row r="4001" spans="12:13" x14ac:dyDescent="0.2">
      <c r="L4001" s="4">
        <v>3995</v>
      </c>
      <c r="M4001" s="21">
        <v>-322279.39305334206</v>
      </c>
    </row>
    <row r="4002" spans="12:13" x14ac:dyDescent="0.2">
      <c r="L4002" s="4">
        <v>3996</v>
      </c>
      <c r="M4002" s="21">
        <v>-55496.23326143359</v>
      </c>
    </row>
    <row r="4003" spans="12:13" x14ac:dyDescent="0.2">
      <c r="L4003" s="4">
        <v>3997</v>
      </c>
      <c r="M4003" s="21">
        <v>-20409.0912063422</v>
      </c>
    </row>
    <row r="4004" spans="12:13" x14ac:dyDescent="0.2">
      <c r="L4004" s="4">
        <v>3998</v>
      </c>
      <c r="M4004" s="21">
        <v>41689.420544170483</v>
      </c>
    </row>
    <row r="4005" spans="12:13" x14ac:dyDescent="0.2">
      <c r="L4005" s="4">
        <v>3999</v>
      </c>
      <c r="M4005" s="21">
        <v>186948.67948469482</v>
      </c>
    </row>
    <row r="4006" spans="12:13" x14ac:dyDescent="0.2">
      <c r="L4006" s="4">
        <v>4000</v>
      </c>
      <c r="M4006" s="21">
        <v>-79722.944151010015</v>
      </c>
    </row>
    <row r="4007" spans="12:13" x14ac:dyDescent="0.2">
      <c r="L4007" s="4">
        <v>4001</v>
      </c>
      <c r="M4007" s="21">
        <v>168254.04393908879</v>
      </c>
    </row>
    <row r="4008" spans="12:13" x14ac:dyDescent="0.2">
      <c r="L4008" s="4">
        <v>4002</v>
      </c>
      <c r="M4008" s="21">
        <v>160536.60381881226</v>
      </c>
    </row>
    <row r="4009" spans="12:13" x14ac:dyDescent="0.2">
      <c r="L4009" s="4">
        <v>4003</v>
      </c>
      <c r="M4009" s="21">
        <v>612986.02753005386</v>
      </c>
    </row>
    <row r="4010" spans="12:13" x14ac:dyDescent="0.2">
      <c r="L4010" s="4">
        <v>4004</v>
      </c>
      <c r="M4010" s="21">
        <v>79992.592890963366</v>
      </c>
    </row>
    <row r="4011" spans="12:13" x14ac:dyDescent="0.2">
      <c r="L4011" s="4">
        <v>4005</v>
      </c>
      <c r="M4011" s="21">
        <v>131891.60863601524</v>
      </c>
    </row>
    <row r="4012" spans="12:13" x14ac:dyDescent="0.2">
      <c r="L4012" s="4">
        <v>4006</v>
      </c>
      <c r="M4012" s="21">
        <v>401646.86537071626</v>
      </c>
    </row>
    <row r="4013" spans="12:13" x14ac:dyDescent="0.2">
      <c r="L4013" s="4">
        <v>4007</v>
      </c>
      <c r="M4013" s="21">
        <v>457986.17176083644</v>
      </c>
    </row>
    <row r="4014" spans="12:13" x14ac:dyDescent="0.2">
      <c r="L4014" s="4">
        <v>4008</v>
      </c>
      <c r="M4014" s="21">
        <v>-203654.38415527361</v>
      </c>
    </row>
    <row r="4015" spans="12:13" x14ac:dyDescent="0.2">
      <c r="L4015" s="4">
        <v>4009</v>
      </c>
      <c r="M4015" s="21">
        <v>116823.80418273906</v>
      </c>
    </row>
    <row r="4016" spans="12:13" x14ac:dyDescent="0.2">
      <c r="L4016" s="4">
        <v>4010</v>
      </c>
      <c r="M4016" s="21">
        <v>286967.90036535379</v>
      </c>
    </row>
    <row r="4017" spans="12:13" x14ac:dyDescent="0.2">
      <c r="L4017" s="4">
        <v>4011</v>
      </c>
      <c r="M4017" s="21">
        <v>65693.352577064594</v>
      </c>
    </row>
    <row r="4018" spans="12:13" x14ac:dyDescent="0.2">
      <c r="L4018" s="4">
        <v>4012</v>
      </c>
      <c r="M4018" s="21">
        <v>-86665.04957780597</v>
      </c>
    </row>
    <row r="4019" spans="12:13" x14ac:dyDescent="0.2">
      <c r="L4019" s="4">
        <v>4013</v>
      </c>
      <c r="M4019" s="21">
        <v>-173295.35043855742</v>
      </c>
    </row>
    <row r="4020" spans="12:13" x14ac:dyDescent="0.2">
      <c r="L4020" s="4">
        <v>4014</v>
      </c>
      <c r="M4020" s="21">
        <v>-191727.19662177461</v>
      </c>
    </row>
    <row r="4021" spans="12:13" x14ac:dyDescent="0.2">
      <c r="L4021" s="4">
        <v>4015</v>
      </c>
      <c r="M4021" s="21">
        <v>-191279.89039904729</v>
      </c>
    </row>
    <row r="4022" spans="12:13" x14ac:dyDescent="0.2">
      <c r="L4022" s="4">
        <v>4016</v>
      </c>
      <c r="M4022" s="21">
        <v>-180962.85541635245</v>
      </c>
    </row>
    <row r="4023" spans="12:13" x14ac:dyDescent="0.2">
      <c r="L4023" s="4">
        <v>4017</v>
      </c>
      <c r="M4023" s="21">
        <v>130301.61506901254</v>
      </c>
    </row>
    <row r="4024" spans="12:13" x14ac:dyDescent="0.2">
      <c r="L4024" s="4">
        <v>4018</v>
      </c>
      <c r="M4024" s="21">
        <v>-159477.9464102505</v>
      </c>
    </row>
    <row r="4025" spans="12:13" x14ac:dyDescent="0.2">
      <c r="L4025" s="4">
        <v>4019</v>
      </c>
      <c r="M4025" s="21">
        <v>197812.02323656352</v>
      </c>
    </row>
    <row r="4026" spans="12:13" x14ac:dyDescent="0.2">
      <c r="L4026" s="4">
        <v>4020</v>
      </c>
      <c r="M4026" s="21">
        <v>-30664.660201359191</v>
      </c>
    </row>
    <row r="4027" spans="12:13" x14ac:dyDescent="0.2">
      <c r="L4027" s="4">
        <v>4021</v>
      </c>
      <c r="M4027" s="21">
        <v>350387.87544152484</v>
      </c>
    </row>
    <row r="4028" spans="12:13" x14ac:dyDescent="0.2">
      <c r="L4028" s="4">
        <v>4022</v>
      </c>
      <c r="M4028" s="21">
        <v>618075.49595446454</v>
      </c>
    </row>
    <row r="4029" spans="12:13" x14ac:dyDescent="0.2">
      <c r="L4029" s="4">
        <v>4023</v>
      </c>
      <c r="M4029" s="21">
        <v>20532.982776350604</v>
      </c>
    </row>
    <row r="4030" spans="12:13" x14ac:dyDescent="0.2">
      <c r="L4030" s="4">
        <v>4024</v>
      </c>
      <c r="M4030" s="21">
        <v>10983.442497135606</v>
      </c>
    </row>
    <row r="4031" spans="12:13" x14ac:dyDescent="0.2">
      <c r="L4031" s="4">
        <v>4025</v>
      </c>
      <c r="M4031" s="21">
        <v>-352668.72049319744</v>
      </c>
    </row>
    <row r="4032" spans="12:13" x14ac:dyDescent="0.2">
      <c r="L4032" s="4">
        <v>4026</v>
      </c>
      <c r="M4032" s="21">
        <v>-21632.223142901494</v>
      </c>
    </row>
    <row r="4033" spans="12:13" x14ac:dyDescent="0.2">
      <c r="L4033" s="4">
        <v>4027</v>
      </c>
      <c r="M4033" s="21">
        <v>-364249.51046759833</v>
      </c>
    </row>
    <row r="4034" spans="12:13" x14ac:dyDescent="0.2">
      <c r="L4034" s="4">
        <v>4028</v>
      </c>
      <c r="M4034" s="21">
        <v>-220904.58480452176</v>
      </c>
    </row>
    <row r="4035" spans="12:13" x14ac:dyDescent="0.2">
      <c r="L4035" s="4">
        <v>4029</v>
      </c>
      <c r="M4035" s="21">
        <v>250281.33284420375</v>
      </c>
    </row>
    <row r="4036" spans="12:13" x14ac:dyDescent="0.2">
      <c r="L4036" s="4">
        <v>4030</v>
      </c>
      <c r="M4036" s="21">
        <v>-192677.5168025897</v>
      </c>
    </row>
    <row r="4037" spans="12:13" x14ac:dyDescent="0.2">
      <c r="L4037" s="4">
        <v>4031</v>
      </c>
      <c r="M4037" s="21">
        <v>-229459.36657522514</v>
      </c>
    </row>
    <row r="4038" spans="12:13" x14ac:dyDescent="0.2">
      <c r="L4038" s="4">
        <v>4032</v>
      </c>
      <c r="M4038" s="21">
        <v>218165.59278049844</v>
      </c>
    </row>
    <row r="4039" spans="12:13" x14ac:dyDescent="0.2">
      <c r="L4039" s="4">
        <v>4033</v>
      </c>
      <c r="M4039" s="21">
        <v>-166691.42027127001</v>
      </c>
    </row>
    <row r="4040" spans="12:13" x14ac:dyDescent="0.2">
      <c r="L4040" s="4">
        <v>4034</v>
      </c>
      <c r="M4040" s="21">
        <v>-293461.18508926255</v>
      </c>
    </row>
    <row r="4041" spans="12:13" x14ac:dyDescent="0.2">
      <c r="L4041" s="4">
        <v>4035</v>
      </c>
      <c r="M4041" s="21">
        <v>288721.00902747276</v>
      </c>
    </row>
    <row r="4042" spans="12:13" x14ac:dyDescent="0.2">
      <c r="L4042" s="4">
        <v>4036</v>
      </c>
      <c r="M4042" s="21">
        <v>252057.50652295069</v>
      </c>
    </row>
    <row r="4043" spans="12:13" x14ac:dyDescent="0.2">
      <c r="L4043" s="4">
        <v>4037</v>
      </c>
      <c r="M4043" s="21">
        <v>-54351.08180862751</v>
      </c>
    </row>
    <row r="4044" spans="12:13" x14ac:dyDescent="0.2">
      <c r="L4044" s="4">
        <v>4038</v>
      </c>
      <c r="M4044" s="21">
        <v>17844.85982271767</v>
      </c>
    </row>
    <row r="4045" spans="12:13" x14ac:dyDescent="0.2">
      <c r="L4045" s="4">
        <v>4039</v>
      </c>
      <c r="M4045" s="21">
        <v>240499.69854741191</v>
      </c>
    </row>
    <row r="4046" spans="12:13" x14ac:dyDescent="0.2">
      <c r="L4046" s="4">
        <v>4040</v>
      </c>
      <c r="M4046" s="21">
        <v>249889.14573796795</v>
      </c>
    </row>
    <row r="4047" spans="12:13" x14ac:dyDescent="0.2">
      <c r="L4047" s="4">
        <v>4041</v>
      </c>
      <c r="M4047" s="21">
        <v>80534.768938086927</v>
      </c>
    </row>
    <row r="4048" spans="12:13" x14ac:dyDescent="0.2">
      <c r="L4048" s="4">
        <v>4042</v>
      </c>
      <c r="M4048" s="21">
        <v>67003.793277946883</v>
      </c>
    </row>
    <row r="4049" spans="12:13" x14ac:dyDescent="0.2">
      <c r="L4049" s="4">
        <v>4043</v>
      </c>
      <c r="M4049" s="21">
        <v>36825.068783104944</v>
      </c>
    </row>
    <row r="4050" spans="12:13" x14ac:dyDescent="0.2">
      <c r="L4050" s="4">
        <v>4044</v>
      </c>
      <c r="M4050" s="21">
        <v>226398.25090100212</v>
      </c>
    </row>
    <row r="4051" spans="12:13" x14ac:dyDescent="0.2">
      <c r="L4051" s="4">
        <v>4045</v>
      </c>
      <c r="M4051" s="21">
        <v>356620.20508722984</v>
      </c>
    </row>
    <row r="4052" spans="12:13" x14ac:dyDescent="0.2">
      <c r="L4052" s="4">
        <v>4046</v>
      </c>
      <c r="M4052" s="21">
        <v>122934.1225519446</v>
      </c>
    </row>
    <row r="4053" spans="12:13" x14ac:dyDescent="0.2">
      <c r="L4053" s="4">
        <v>4047</v>
      </c>
      <c r="M4053" s="21">
        <v>541474.1445387617</v>
      </c>
    </row>
    <row r="4054" spans="12:13" x14ac:dyDescent="0.2">
      <c r="L4054" s="4">
        <v>4048</v>
      </c>
      <c r="M4054" s="21">
        <v>109792.1282134529</v>
      </c>
    </row>
    <row r="4055" spans="12:13" x14ac:dyDescent="0.2">
      <c r="L4055" s="4">
        <v>4049</v>
      </c>
      <c r="M4055" s="21">
        <v>-93195.990007220113</v>
      </c>
    </row>
    <row r="4056" spans="12:13" x14ac:dyDescent="0.2">
      <c r="L4056" s="4">
        <v>4050</v>
      </c>
      <c r="M4056" s="21">
        <v>-31465.568674905779</v>
      </c>
    </row>
    <row r="4057" spans="12:13" x14ac:dyDescent="0.2">
      <c r="L4057" s="4">
        <v>4051</v>
      </c>
      <c r="M4057" s="21">
        <v>128952.57334560124</v>
      </c>
    </row>
    <row r="4058" spans="12:13" x14ac:dyDescent="0.2">
      <c r="L4058" s="4">
        <v>4052</v>
      </c>
      <c r="M4058" s="21">
        <v>231678.18911566254</v>
      </c>
    </row>
    <row r="4059" spans="12:13" x14ac:dyDescent="0.2">
      <c r="L4059" s="4">
        <v>4053</v>
      </c>
      <c r="M4059" s="21">
        <v>-198918.44625765615</v>
      </c>
    </row>
    <row r="4060" spans="12:13" x14ac:dyDescent="0.2">
      <c r="L4060" s="4">
        <v>4054</v>
      </c>
      <c r="M4060" s="21">
        <v>-187234.7072281499</v>
      </c>
    </row>
    <row r="4061" spans="12:13" x14ac:dyDescent="0.2">
      <c r="L4061" s="4">
        <v>4055</v>
      </c>
      <c r="M4061" s="21">
        <v>253404.55173775335</v>
      </c>
    </row>
    <row r="4062" spans="12:13" x14ac:dyDescent="0.2">
      <c r="L4062" s="4">
        <v>4056</v>
      </c>
      <c r="M4062" s="21">
        <v>-77122.629040702595</v>
      </c>
    </row>
    <row r="4063" spans="12:13" x14ac:dyDescent="0.2">
      <c r="L4063" s="4">
        <v>4057</v>
      </c>
      <c r="M4063" s="21">
        <v>129817.94137731381</v>
      </c>
    </row>
    <row r="4064" spans="12:13" x14ac:dyDescent="0.2">
      <c r="L4064" s="4">
        <v>4058</v>
      </c>
      <c r="M4064" s="21">
        <v>-45460.496263550405</v>
      </c>
    </row>
    <row r="4065" spans="12:13" x14ac:dyDescent="0.2">
      <c r="L4065" s="4">
        <v>4059</v>
      </c>
      <c r="M4065" s="21">
        <v>-210017.49948529637</v>
      </c>
    </row>
    <row r="4066" spans="12:13" x14ac:dyDescent="0.2">
      <c r="L4066" s="4">
        <v>4060</v>
      </c>
      <c r="M4066" s="21">
        <v>-137820.142553413</v>
      </c>
    </row>
    <row r="4067" spans="12:13" x14ac:dyDescent="0.2">
      <c r="L4067" s="4">
        <v>4061</v>
      </c>
      <c r="M4067" s="21">
        <v>-282788.37803537241</v>
      </c>
    </row>
    <row r="4068" spans="12:13" x14ac:dyDescent="0.2">
      <c r="L4068" s="4">
        <v>4062</v>
      </c>
      <c r="M4068" s="21">
        <v>38867.863131844788</v>
      </c>
    </row>
    <row r="4069" spans="12:13" x14ac:dyDescent="0.2">
      <c r="L4069" s="4">
        <v>4063</v>
      </c>
      <c r="M4069" s="21">
        <v>198413.70345889972</v>
      </c>
    </row>
    <row r="4070" spans="12:13" x14ac:dyDescent="0.2">
      <c r="L4070" s="4">
        <v>4064</v>
      </c>
      <c r="M4070" s="21">
        <v>175408.85236795567</v>
      </c>
    </row>
    <row r="4071" spans="12:13" x14ac:dyDescent="0.2">
      <c r="L4071" s="4">
        <v>4065</v>
      </c>
      <c r="M4071" s="21">
        <v>-103597.20699744526</v>
      </c>
    </row>
    <row r="4072" spans="12:13" x14ac:dyDescent="0.2">
      <c r="L4072" s="4">
        <v>4066</v>
      </c>
      <c r="M4072" s="21">
        <v>10522.303403413476</v>
      </c>
    </row>
    <row r="4073" spans="12:13" x14ac:dyDescent="0.2">
      <c r="L4073" s="4">
        <v>4067</v>
      </c>
      <c r="M4073" s="21">
        <v>-227161.71555071813</v>
      </c>
    </row>
    <row r="4074" spans="12:13" x14ac:dyDescent="0.2">
      <c r="L4074" s="4">
        <v>4068</v>
      </c>
      <c r="M4074" s="21">
        <v>43936.620058091212</v>
      </c>
    </row>
    <row r="4075" spans="12:13" x14ac:dyDescent="0.2">
      <c r="L4075" s="4">
        <v>4069</v>
      </c>
      <c r="M4075" s="21">
        <v>124722.82469333225</v>
      </c>
    </row>
    <row r="4076" spans="12:13" x14ac:dyDescent="0.2">
      <c r="L4076" s="4">
        <v>4070</v>
      </c>
      <c r="M4076" s="21">
        <v>-51853.564105078462</v>
      </c>
    </row>
    <row r="4077" spans="12:13" x14ac:dyDescent="0.2">
      <c r="L4077" s="4">
        <v>4071</v>
      </c>
      <c r="M4077" s="21">
        <v>-135990.55950763106</v>
      </c>
    </row>
    <row r="4078" spans="12:13" x14ac:dyDescent="0.2">
      <c r="L4078" s="4">
        <v>4072</v>
      </c>
      <c r="M4078" s="21">
        <v>-21669.71977877921</v>
      </c>
    </row>
    <row r="4079" spans="12:13" x14ac:dyDescent="0.2">
      <c r="L4079" s="4">
        <v>4073</v>
      </c>
      <c r="M4079" s="21">
        <v>19260.322200317285</v>
      </c>
    </row>
    <row r="4080" spans="12:13" x14ac:dyDescent="0.2">
      <c r="L4080" s="4">
        <v>4074</v>
      </c>
      <c r="M4080" s="21">
        <v>51461.206776254869</v>
      </c>
    </row>
    <row r="4081" spans="12:13" x14ac:dyDescent="0.2">
      <c r="L4081" s="4">
        <v>4075</v>
      </c>
      <c r="M4081" s="21">
        <v>-259959.07738337418</v>
      </c>
    </row>
    <row r="4082" spans="12:13" x14ac:dyDescent="0.2">
      <c r="L4082" s="4">
        <v>4076</v>
      </c>
      <c r="M4082" s="21">
        <v>-3299.7429597374867</v>
      </c>
    </row>
    <row r="4083" spans="12:13" x14ac:dyDescent="0.2">
      <c r="L4083" s="4">
        <v>4077</v>
      </c>
      <c r="M4083" s="21">
        <v>171467.0898737626</v>
      </c>
    </row>
    <row r="4084" spans="12:13" x14ac:dyDescent="0.2">
      <c r="L4084" s="4">
        <v>4078</v>
      </c>
      <c r="M4084" s="21">
        <v>290072.73463081568</v>
      </c>
    </row>
    <row r="4085" spans="12:13" x14ac:dyDescent="0.2">
      <c r="L4085" s="4">
        <v>4079</v>
      </c>
      <c r="M4085" s="21">
        <v>108868.57843919043</v>
      </c>
    </row>
    <row r="4086" spans="12:13" x14ac:dyDescent="0.2">
      <c r="L4086" s="4">
        <v>4080</v>
      </c>
      <c r="M4086" s="21">
        <v>6954.9997058910667</v>
      </c>
    </row>
    <row r="4087" spans="12:13" x14ac:dyDescent="0.2">
      <c r="L4087" s="4">
        <v>4081</v>
      </c>
      <c r="M4087" s="21">
        <v>103504.691918506</v>
      </c>
    </row>
    <row r="4088" spans="12:13" x14ac:dyDescent="0.2">
      <c r="L4088" s="4">
        <v>4082</v>
      </c>
      <c r="M4088" s="21">
        <v>254440.27999086617</v>
      </c>
    </row>
    <row r="4089" spans="12:13" x14ac:dyDescent="0.2">
      <c r="L4089" s="4">
        <v>4083</v>
      </c>
      <c r="M4089" s="21">
        <v>-62372.929164568995</v>
      </c>
    </row>
    <row r="4090" spans="12:13" x14ac:dyDescent="0.2">
      <c r="L4090" s="4">
        <v>4084</v>
      </c>
      <c r="M4090" s="21">
        <v>58616.295518016064</v>
      </c>
    </row>
    <row r="4091" spans="12:13" x14ac:dyDescent="0.2">
      <c r="L4091" s="4">
        <v>4085</v>
      </c>
      <c r="M4091" s="21">
        <v>193294.5144070246</v>
      </c>
    </row>
    <row r="4092" spans="12:13" x14ac:dyDescent="0.2">
      <c r="L4092" s="4">
        <v>4086</v>
      </c>
      <c r="M4092" s="21">
        <v>25506.518559050426</v>
      </c>
    </row>
    <row r="4093" spans="12:13" x14ac:dyDescent="0.2">
      <c r="L4093" s="4">
        <v>4087</v>
      </c>
      <c r="M4093" s="21">
        <v>-41294.529496479983</v>
      </c>
    </row>
    <row r="4094" spans="12:13" x14ac:dyDescent="0.2">
      <c r="L4094" s="4">
        <v>4088</v>
      </c>
      <c r="M4094" s="21">
        <v>-82742.06056803542</v>
      </c>
    </row>
    <row r="4095" spans="12:13" x14ac:dyDescent="0.2">
      <c r="L4095" s="4">
        <v>4089</v>
      </c>
      <c r="M4095" s="21">
        <v>77263.728528610518</v>
      </c>
    </row>
    <row r="4096" spans="12:13" x14ac:dyDescent="0.2">
      <c r="L4096" s="4">
        <v>4090</v>
      </c>
      <c r="M4096" s="21">
        <v>-274045.41748223506</v>
      </c>
    </row>
    <row r="4097" spans="12:13" x14ac:dyDescent="0.2">
      <c r="L4097" s="4">
        <v>4091</v>
      </c>
      <c r="M4097" s="21">
        <v>2744.3162004520127</v>
      </c>
    </row>
    <row r="4098" spans="12:13" x14ac:dyDescent="0.2">
      <c r="L4098" s="4">
        <v>4092</v>
      </c>
      <c r="M4098" s="21">
        <v>130903.89781306105</v>
      </c>
    </row>
    <row r="4099" spans="12:13" x14ac:dyDescent="0.2">
      <c r="L4099" s="4">
        <v>4093</v>
      </c>
      <c r="M4099" s="21">
        <v>9043.8758276255685</v>
      </c>
    </row>
    <row r="4100" spans="12:13" x14ac:dyDescent="0.2">
      <c r="L4100" s="4">
        <v>4094</v>
      </c>
      <c r="M4100" s="21">
        <v>-223125.63882656116</v>
      </c>
    </row>
    <row r="4101" spans="12:13" x14ac:dyDescent="0.2">
      <c r="L4101" s="4">
        <v>4095</v>
      </c>
      <c r="M4101" s="21">
        <v>-95758.248061749604</v>
      </c>
    </row>
    <row r="4102" spans="12:13" x14ac:dyDescent="0.2">
      <c r="L4102" s="4">
        <v>4096</v>
      </c>
      <c r="M4102" s="21">
        <v>17377.46576422386</v>
      </c>
    </row>
    <row r="4103" spans="12:13" x14ac:dyDescent="0.2">
      <c r="L4103" s="4">
        <v>4097</v>
      </c>
      <c r="M4103" s="21">
        <v>86533.158595560351</v>
      </c>
    </row>
    <row r="4104" spans="12:13" x14ac:dyDescent="0.2">
      <c r="L4104" s="4">
        <v>4098</v>
      </c>
      <c r="M4104" s="21">
        <v>182093.00115419624</v>
      </c>
    </row>
    <row r="4105" spans="12:13" x14ac:dyDescent="0.2">
      <c r="L4105" s="4">
        <v>4099</v>
      </c>
      <c r="M4105" s="21">
        <v>256126.90819809894</v>
      </c>
    </row>
    <row r="4106" spans="12:13" x14ac:dyDescent="0.2">
      <c r="L4106" s="4">
        <v>4100</v>
      </c>
      <c r="M4106" s="21">
        <v>-136928.21418016026</v>
      </c>
    </row>
    <row r="4107" spans="12:13" x14ac:dyDescent="0.2">
      <c r="L4107" s="4">
        <v>4101</v>
      </c>
      <c r="M4107" s="21">
        <v>15375.599524165911</v>
      </c>
    </row>
    <row r="4108" spans="12:13" x14ac:dyDescent="0.2">
      <c r="L4108" s="4">
        <v>4102</v>
      </c>
      <c r="M4108" s="21">
        <v>44903.757603313308</v>
      </c>
    </row>
    <row r="4109" spans="12:13" x14ac:dyDescent="0.2">
      <c r="L4109" s="4">
        <v>4103</v>
      </c>
      <c r="M4109" s="21">
        <v>25443.87943165566</v>
      </c>
    </row>
    <row r="4110" spans="12:13" x14ac:dyDescent="0.2">
      <c r="L4110" s="4">
        <v>4104</v>
      </c>
      <c r="M4110" s="21">
        <v>240613.1018361194</v>
      </c>
    </row>
    <row r="4111" spans="12:13" x14ac:dyDescent="0.2">
      <c r="L4111" s="4">
        <v>4105</v>
      </c>
      <c r="M4111" s="21">
        <v>-98384.308764671077</v>
      </c>
    </row>
    <row r="4112" spans="12:13" x14ac:dyDescent="0.2">
      <c r="L4112" s="4">
        <v>4106</v>
      </c>
      <c r="M4112" s="21">
        <v>153459.15406238491</v>
      </c>
    </row>
    <row r="4113" spans="12:13" x14ac:dyDescent="0.2">
      <c r="L4113" s="4">
        <v>4107</v>
      </c>
      <c r="M4113" s="21">
        <v>-96512.672841007326</v>
      </c>
    </row>
    <row r="4114" spans="12:13" x14ac:dyDescent="0.2">
      <c r="L4114" s="4">
        <v>4108</v>
      </c>
      <c r="M4114" s="21">
        <v>-223366.07461584359</v>
      </c>
    </row>
    <row r="4115" spans="12:13" x14ac:dyDescent="0.2">
      <c r="L4115" s="4">
        <v>4109</v>
      </c>
      <c r="M4115" s="21">
        <v>-41186.454101163341</v>
      </c>
    </row>
    <row r="4116" spans="12:13" x14ac:dyDescent="0.2">
      <c r="L4116" s="4">
        <v>4110</v>
      </c>
      <c r="M4116" s="21">
        <v>-198761.84129418666</v>
      </c>
    </row>
    <row r="4117" spans="12:13" x14ac:dyDescent="0.2">
      <c r="L4117" s="4">
        <v>4111</v>
      </c>
      <c r="M4117" s="21">
        <v>-347566.36206127971</v>
      </c>
    </row>
    <row r="4118" spans="12:13" x14ac:dyDescent="0.2">
      <c r="L4118" s="4">
        <v>4112</v>
      </c>
      <c r="M4118" s="21">
        <v>-257877.67808861489</v>
      </c>
    </row>
    <row r="4119" spans="12:13" x14ac:dyDescent="0.2">
      <c r="L4119" s="4">
        <v>4113</v>
      </c>
      <c r="M4119" s="21">
        <v>156816.30235122045</v>
      </c>
    </row>
    <row r="4120" spans="12:13" x14ac:dyDescent="0.2">
      <c r="L4120" s="4">
        <v>4114</v>
      </c>
      <c r="M4120" s="21">
        <v>-4673.9693145057681</v>
      </c>
    </row>
    <row r="4121" spans="12:13" x14ac:dyDescent="0.2">
      <c r="L4121" s="4">
        <v>4115</v>
      </c>
      <c r="M4121" s="21">
        <v>-35055.114908760865</v>
      </c>
    </row>
    <row r="4122" spans="12:13" x14ac:dyDescent="0.2">
      <c r="L4122" s="4">
        <v>4116</v>
      </c>
      <c r="M4122" s="21">
        <v>338378.33532557241</v>
      </c>
    </row>
    <row r="4123" spans="12:13" x14ac:dyDescent="0.2">
      <c r="L4123" s="4">
        <v>4117</v>
      </c>
      <c r="M4123" s="21">
        <v>240316.78272641537</v>
      </c>
    </row>
    <row r="4124" spans="12:13" x14ac:dyDescent="0.2">
      <c r="L4124" s="4">
        <v>4118</v>
      </c>
      <c r="M4124" s="21">
        <v>109301.69511740119</v>
      </c>
    </row>
    <row r="4125" spans="12:13" x14ac:dyDescent="0.2">
      <c r="L4125" s="4">
        <v>4119</v>
      </c>
      <c r="M4125" s="21">
        <v>-230177.96442138421</v>
      </c>
    </row>
    <row r="4126" spans="12:13" x14ac:dyDescent="0.2">
      <c r="L4126" s="4">
        <v>4120</v>
      </c>
      <c r="M4126" s="21">
        <v>238375.04637067873</v>
      </c>
    </row>
    <row r="4127" spans="12:13" x14ac:dyDescent="0.2">
      <c r="L4127" s="4">
        <v>4121</v>
      </c>
      <c r="M4127" s="21">
        <v>81247.239640150976</v>
      </c>
    </row>
    <row r="4128" spans="12:13" x14ac:dyDescent="0.2">
      <c r="L4128" s="4">
        <v>4122</v>
      </c>
      <c r="M4128" s="21">
        <v>-54440.112909821939</v>
      </c>
    </row>
    <row r="4129" spans="12:13" x14ac:dyDescent="0.2">
      <c r="L4129" s="4">
        <v>4123</v>
      </c>
      <c r="M4129" s="21">
        <v>130465.0226259091</v>
      </c>
    </row>
    <row r="4130" spans="12:13" x14ac:dyDescent="0.2">
      <c r="L4130" s="4">
        <v>4124</v>
      </c>
      <c r="M4130" s="21">
        <v>62268.500351090857</v>
      </c>
    </row>
    <row r="4131" spans="12:13" x14ac:dyDescent="0.2">
      <c r="L4131" s="4">
        <v>4125</v>
      </c>
      <c r="M4131" s="21">
        <v>-213753.95028876292</v>
      </c>
    </row>
    <row r="4132" spans="12:13" x14ac:dyDescent="0.2">
      <c r="L4132" s="4">
        <v>4126</v>
      </c>
      <c r="M4132" s="21">
        <v>282120.09651148296</v>
      </c>
    </row>
    <row r="4133" spans="12:13" x14ac:dyDescent="0.2">
      <c r="L4133" s="4">
        <v>4127</v>
      </c>
      <c r="M4133" s="21">
        <v>395022.71134683734</v>
      </c>
    </row>
    <row r="4134" spans="12:13" x14ac:dyDescent="0.2">
      <c r="L4134" s="4">
        <v>4128</v>
      </c>
      <c r="M4134" s="21">
        <v>-267551.52709877404</v>
      </c>
    </row>
    <row r="4135" spans="12:13" x14ac:dyDescent="0.2">
      <c r="L4135" s="4">
        <v>4129</v>
      </c>
      <c r="M4135" s="21">
        <v>66014.426270081283</v>
      </c>
    </row>
    <row r="4136" spans="12:13" x14ac:dyDescent="0.2">
      <c r="L4136" s="4">
        <v>4130</v>
      </c>
      <c r="M4136" s="21">
        <v>-189360.17023397353</v>
      </c>
    </row>
    <row r="4137" spans="12:13" x14ac:dyDescent="0.2">
      <c r="L4137" s="4">
        <v>4131</v>
      </c>
      <c r="M4137" s="21">
        <v>419366.64016547578</v>
      </c>
    </row>
    <row r="4138" spans="12:13" x14ac:dyDescent="0.2">
      <c r="L4138" s="4">
        <v>4132</v>
      </c>
      <c r="M4138" s="21">
        <v>212804.48448237192</v>
      </c>
    </row>
    <row r="4139" spans="12:13" x14ac:dyDescent="0.2">
      <c r="L4139" s="4">
        <v>4133</v>
      </c>
      <c r="M4139" s="21">
        <v>333879.90705068281</v>
      </c>
    </row>
    <row r="4140" spans="12:13" x14ac:dyDescent="0.2">
      <c r="L4140" s="4">
        <v>4134</v>
      </c>
      <c r="M4140" s="21">
        <v>-296485.21250384755</v>
      </c>
    </row>
    <row r="4141" spans="12:13" x14ac:dyDescent="0.2">
      <c r="L4141" s="4">
        <v>4135</v>
      </c>
      <c r="M4141" s="21">
        <v>-220002.1648133744</v>
      </c>
    </row>
    <row r="4142" spans="12:13" x14ac:dyDescent="0.2">
      <c r="L4142" s="4">
        <v>4136</v>
      </c>
      <c r="M4142" s="21">
        <v>-34374.575606031503</v>
      </c>
    </row>
    <row r="4143" spans="12:13" x14ac:dyDescent="0.2">
      <c r="L4143" s="4">
        <v>4137</v>
      </c>
      <c r="M4143" s="21">
        <v>54896.199688580469</v>
      </c>
    </row>
    <row r="4144" spans="12:13" x14ac:dyDescent="0.2">
      <c r="L4144" s="4">
        <v>4138</v>
      </c>
      <c r="M4144" s="21">
        <v>-27860.083529715746</v>
      </c>
    </row>
    <row r="4145" spans="12:13" x14ac:dyDescent="0.2">
      <c r="L4145" s="4">
        <v>4139</v>
      </c>
      <c r="M4145" s="21">
        <v>403449.1538151374</v>
      </c>
    </row>
    <row r="4146" spans="12:13" x14ac:dyDescent="0.2">
      <c r="L4146" s="4">
        <v>4140</v>
      </c>
      <c r="M4146" s="21">
        <v>344578.92924388475</v>
      </c>
    </row>
    <row r="4147" spans="12:13" x14ac:dyDescent="0.2">
      <c r="L4147" s="4">
        <v>4141</v>
      </c>
      <c r="M4147" s="21">
        <v>-326574.07564288296</v>
      </c>
    </row>
    <row r="4148" spans="12:13" x14ac:dyDescent="0.2">
      <c r="L4148" s="4">
        <v>4142</v>
      </c>
      <c r="M4148" s="21">
        <v>-136257.83648928485</v>
      </c>
    </row>
    <row r="4149" spans="12:13" x14ac:dyDescent="0.2">
      <c r="L4149" s="4">
        <v>4143</v>
      </c>
      <c r="M4149" s="21">
        <v>7883.3533512272406</v>
      </c>
    </row>
    <row r="4150" spans="12:13" x14ac:dyDescent="0.2">
      <c r="L4150" s="4">
        <v>4144</v>
      </c>
      <c r="M4150" s="21">
        <v>140264.50229730754</v>
      </c>
    </row>
    <row r="4151" spans="12:13" x14ac:dyDescent="0.2">
      <c r="L4151" s="4">
        <v>4145</v>
      </c>
      <c r="M4151" s="21">
        <v>1016.3783754327451</v>
      </c>
    </row>
    <row r="4152" spans="12:13" x14ac:dyDescent="0.2">
      <c r="L4152" s="4">
        <v>4146</v>
      </c>
      <c r="M4152" s="21">
        <v>201708.69702311707</v>
      </c>
    </row>
    <row r="4153" spans="12:13" x14ac:dyDescent="0.2">
      <c r="L4153" s="4">
        <v>4147</v>
      </c>
      <c r="M4153" s="21">
        <v>8871.2161417894822</v>
      </c>
    </row>
    <row r="4154" spans="12:13" x14ac:dyDescent="0.2">
      <c r="L4154" s="4">
        <v>4148</v>
      </c>
      <c r="M4154" s="21">
        <v>-188309.68202765158</v>
      </c>
    </row>
    <row r="4155" spans="12:13" x14ac:dyDescent="0.2">
      <c r="L4155" s="4">
        <v>4149</v>
      </c>
      <c r="M4155" s="21">
        <v>-70189.666775652659</v>
      </c>
    </row>
    <row r="4156" spans="12:13" x14ac:dyDescent="0.2">
      <c r="L4156" s="4">
        <v>4150</v>
      </c>
      <c r="M4156" s="21">
        <v>-58066.488773745907</v>
      </c>
    </row>
    <row r="4157" spans="12:13" x14ac:dyDescent="0.2">
      <c r="L4157" s="4">
        <v>4151</v>
      </c>
      <c r="M4157" s="21">
        <v>72096.353872958629</v>
      </c>
    </row>
    <row r="4158" spans="12:13" x14ac:dyDescent="0.2">
      <c r="L4158" s="4">
        <v>4152</v>
      </c>
      <c r="M4158" s="21">
        <v>-125503.05092337939</v>
      </c>
    </row>
    <row r="4159" spans="12:13" x14ac:dyDescent="0.2">
      <c r="L4159" s="4">
        <v>4153</v>
      </c>
      <c r="M4159" s="21">
        <v>157110.58366270905</v>
      </c>
    </row>
    <row r="4160" spans="12:13" x14ac:dyDescent="0.2">
      <c r="L4160" s="4">
        <v>4154</v>
      </c>
      <c r="M4160" s="21">
        <v>-218381.60456562752</v>
      </c>
    </row>
    <row r="4161" spans="12:13" x14ac:dyDescent="0.2">
      <c r="L4161" s="4">
        <v>4155</v>
      </c>
      <c r="M4161" s="21">
        <v>-102901.42025214947</v>
      </c>
    </row>
    <row r="4162" spans="12:13" x14ac:dyDescent="0.2">
      <c r="L4162" s="4">
        <v>4156</v>
      </c>
      <c r="M4162" s="21">
        <v>207580.63929696399</v>
      </c>
    </row>
    <row r="4163" spans="12:13" x14ac:dyDescent="0.2">
      <c r="L4163" s="4">
        <v>4157</v>
      </c>
      <c r="M4163" s="21">
        <v>-314178.28012688039</v>
      </c>
    </row>
    <row r="4164" spans="12:13" x14ac:dyDescent="0.2">
      <c r="L4164" s="4">
        <v>4158</v>
      </c>
      <c r="M4164" s="21">
        <v>336.7114964502689</v>
      </c>
    </row>
    <row r="4165" spans="12:13" x14ac:dyDescent="0.2">
      <c r="L4165" s="4">
        <v>4159</v>
      </c>
      <c r="M4165" s="21">
        <v>-147657.2562387576</v>
      </c>
    </row>
    <row r="4166" spans="12:13" x14ac:dyDescent="0.2">
      <c r="L4166" s="4">
        <v>4160</v>
      </c>
      <c r="M4166" s="21">
        <v>-217840.1247398674</v>
      </c>
    </row>
    <row r="4167" spans="12:13" x14ac:dyDescent="0.2">
      <c r="L4167" s="4">
        <v>4161</v>
      </c>
      <c r="M4167" s="21">
        <v>348531.73176979728</v>
      </c>
    </row>
    <row r="4168" spans="12:13" x14ac:dyDescent="0.2">
      <c r="L4168" s="4">
        <v>4162</v>
      </c>
      <c r="M4168" s="21">
        <v>236142.27370256628</v>
      </c>
    </row>
    <row r="4169" spans="12:13" x14ac:dyDescent="0.2">
      <c r="L4169" s="4">
        <v>4163</v>
      </c>
      <c r="M4169" s="21">
        <v>92698.053587664763</v>
      </c>
    </row>
    <row r="4170" spans="12:13" x14ac:dyDescent="0.2">
      <c r="L4170" s="4">
        <v>4164</v>
      </c>
      <c r="M4170" s="21">
        <v>-107759.70601348164</v>
      </c>
    </row>
    <row r="4171" spans="12:13" x14ac:dyDescent="0.2">
      <c r="L4171" s="4">
        <v>4165</v>
      </c>
      <c r="M4171" s="21">
        <v>-333903.94115491904</v>
      </c>
    </row>
    <row r="4172" spans="12:13" x14ac:dyDescent="0.2">
      <c r="L4172" s="4">
        <v>4166</v>
      </c>
      <c r="M4172" s="21">
        <v>158501.60363185356</v>
      </c>
    </row>
    <row r="4173" spans="12:13" x14ac:dyDescent="0.2">
      <c r="L4173" s="4">
        <v>4167</v>
      </c>
      <c r="M4173" s="21">
        <v>96913.464132880297</v>
      </c>
    </row>
    <row r="4174" spans="12:13" x14ac:dyDescent="0.2">
      <c r="L4174" s="4">
        <v>4168</v>
      </c>
      <c r="M4174" s="21">
        <v>74932.568339459744</v>
      </c>
    </row>
    <row r="4175" spans="12:13" x14ac:dyDescent="0.2">
      <c r="L4175" s="4">
        <v>4169</v>
      </c>
      <c r="M4175" s="21">
        <v>7930.4286603307992</v>
      </c>
    </row>
    <row r="4176" spans="12:13" x14ac:dyDescent="0.2">
      <c r="L4176" s="4">
        <v>4170</v>
      </c>
      <c r="M4176" s="21">
        <v>-168875.11760292033</v>
      </c>
    </row>
    <row r="4177" spans="12:13" x14ac:dyDescent="0.2">
      <c r="L4177" s="4">
        <v>4171</v>
      </c>
      <c r="M4177" s="21">
        <v>-164127.35076057512</v>
      </c>
    </row>
    <row r="4178" spans="12:13" x14ac:dyDescent="0.2">
      <c r="L4178" s="4">
        <v>4172</v>
      </c>
      <c r="M4178" s="21">
        <v>-97620.849573890446</v>
      </c>
    </row>
    <row r="4179" spans="12:13" x14ac:dyDescent="0.2">
      <c r="L4179" s="4">
        <v>4173</v>
      </c>
      <c r="M4179" s="21">
        <v>-92926.669246182311</v>
      </c>
    </row>
    <row r="4180" spans="12:13" x14ac:dyDescent="0.2">
      <c r="L4180" s="4">
        <v>4174</v>
      </c>
      <c r="M4180" s="21">
        <v>-98757.376586750383</v>
      </c>
    </row>
    <row r="4181" spans="12:13" x14ac:dyDescent="0.2">
      <c r="L4181" s="4">
        <v>4175</v>
      </c>
      <c r="M4181" s="21">
        <v>150354.82909544883</v>
      </c>
    </row>
    <row r="4182" spans="12:13" x14ac:dyDescent="0.2">
      <c r="L4182" s="4">
        <v>4176</v>
      </c>
      <c r="M4182" s="21">
        <v>129361.11298334933</v>
      </c>
    </row>
    <row r="4183" spans="12:13" x14ac:dyDescent="0.2">
      <c r="L4183" s="4">
        <v>4177</v>
      </c>
      <c r="M4183" s="21">
        <v>69488.927001227014</v>
      </c>
    </row>
    <row r="4184" spans="12:13" x14ac:dyDescent="0.2">
      <c r="L4184" s="4">
        <v>4178</v>
      </c>
      <c r="M4184" s="21">
        <v>64600.987662339641</v>
      </c>
    </row>
    <row r="4185" spans="12:13" x14ac:dyDescent="0.2">
      <c r="L4185" s="4">
        <v>4179</v>
      </c>
      <c r="M4185" s="21">
        <v>177519.8483886274</v>
      </c>
    </row>
    <row r="4186" spans="12:13" x14ac:dyDescent="0.2">
      <c r="L4186" s="4">
        <v>4180</v>
      </c>
      <c r="M4186" s="21">
        <v>84116.105157227634</v>
      </c>
    </row>
    <row r="4187" spans="12:13" x14ac:dyDescent="0.2">
      <c r="L4187" s="4">
        <v>4181</v>
      </c>
      <c r="M4187" s="21">
        <v>-1193.5781428284536</v>
      </c>
    </row>
    <row r="4188" spans="12:13" x14ac:dyDescent="0.2">
      <c r="L4188" s="4">
        <v>4182</v>
      </c>
      <c r="M4188" s="21">
        <v>46672.556507987058</v>
      </c>
    </row>
    <row r="4189" spans="12:13" x14ac:dyDescent="0.2">
      <c r="L4189" s="4">
        <v>4183</v>
      </c>
      <c r="M4189" s="21">
        <v>-126889.8778368849</v>
      </c>
    </row>
    <row r="4190" spans="12:13" x14ac:dyDescent="0.2">
      <c r="L4190" s="4">
        <v>4184</v>
      </c>
      <c r="M4190" s="21">
        <v>-470679.57097943604</v>
      </c>
    </row>
    <row r="4191" spans="12:13" x14ac:dyDescent="0.2">
      <c r="L4191" s="4">
        <v>4185</v>
      </c>
      <c r="M4191" s="21">
        <v>-216699.99522463747</v>
      </c>
    </row>
    <row r="4192" spans="12:13" x14ac:dyDescent="0.2">
      <c r="L4192" s="4">
        <v>4186</v>
      </c>
      <c r="M4192" s="21">
        <v>708247.57450065762</v>
      </c>
    </row>
    <row r="4193" spans="12:13" x14ac:dyDescent="0.2">
      <c r="L4193" s="4">
        <v>4187</v>
      </c>
      <c r="M4193" s="21">
        <v>-168231.64825397506</v>
      </c>
    </row>
    <row r="4194" spans="12:13" x14ac:dyDescent="0.2">
      <c r="L4194" s="4">
        <v>4188</v>
      </c>
      <c r="M4194" s="21">
        <v>-109411.18407697824</v>
      </c>
    </row>
    <row r="4195" spans="12:13" x14ac:dyDescent="0.2">
      <c r="L4195" s="4">
        <v>4189</v>
      </c>
      <c r="M4195" s="21">
        <v>57559.746485489828</v>
      </c>
    </row>
    <row r="4196" spans="12:13" x14ac:dyDescent="0.2">
      <c r="L4196" s="4">
        <v>4190</v>
      </c>
      <c r="M4196" s="21">
        <v>120515.48456471483</v>
      </c>
    </row>
    <row r="4197" spans="12:13" x14ac:dyDescent="0.2">
      <c r="L4197" s="4">
        <v>4191</v>
      </c>
      <c r="M4197" s="21">
        <v>74978.105321207579</v>
      </c>
    </row>
    <row r="4198" spans="12:13" x14ac:dyDescent="0.2">
      <c r="L4198" s="4">
        <v>4192</v>
      </c>
      <c r="M4198" s="21">
        <v>-131714.11268006376</v>
      </c>
    </row>
    <row r="4199" spans="12:13" x14ac:dyDescent="0.2">
      <c r="L4199" s="4">
        <v>4193</v>
      </c>
      <c r="M4199" s="21">
        <v>-38056.483194453205</v>
      </c>
    </row>
    <row r="4200" spans="12:13" x14ac:dyDescent="0.2">
      <c r="L4200" s="4">
        <v>4194</v>
      </c>
      <c r="M4200" s="21">
        <v>-156182.18422944369</v>
      </c>
    </row>
    <row r="4201" spans="12:13" x14ac:dyDescent="0.2">
      <c r="L4201" s="4">
        <v>4195</v>
      </c>
      <c r="M4201" s="21">
        <v>58780.772143758484</v>
      </c>
    </row>
    <row r="4202" spans="12:13" x14ac:dyDescent="0.2">
      <c r="L4202" s="4">
        <v>4196</v>
      </c>
      <c r="M4202" s="21">
        <v>33479.36432253191</v>
      </c>
    </row>
    <row r="4203" spans="12:13" x14ac:dyDescent="0.2">
      <c r="L4203" s="4">
        <v>4197</v>
      </c>
      <c r="M4203" s="21">
        <v>30454.222172179085</v>
      </c>
    </row>
    <row r="4204" spans="12:13" x14ac:dyDescent="0.2">
      <c r="L4204" s="4">
        <v>4198</v>
      </c>
      <c r="M4204" s="21">
        <v>-190003.77889125794</v>
      </c>
    </row>
    <row r="4205" spans="12:13" x14ac:dyDescent="0.2">
      <c r="L4205" s="4">
        <v>4199</v>
      </c>
      <c r="M4205" s="21">
        <v>181960.23270055812</v>
      </c>
    </row>
    <row r="4206" spans="12:13" x14ac:dyDescent="0.2">
      <c r="L4206" s="4">
        <v>4200</v>
      </c>
      <c r="M4206" s="21">
        <v>346386.56832461362</v>
      </c>
    </row>
    <row r="4207" spans="12:13" x14ac:dyDescent="0.2">
      <c r="L4207" s="4">
        <v>4201</v>
      </c>
      <c r="M4207" s="21">
        <v>441909.07922343392</v>
      </c>
    </row>
    <row r="4208" spans="12:13" x14ac:dyDescent="0.2">
      <c r="L4208" s="4">
        <v>4202</v>
      </c>
      <c r="M4208" s="21">
        <v>163474.20711138516</v>
      </c>
    </row>
    <row r="4209" spans="12:13" x14ac:dyDescent="0.2">
      <c r="L4209" s="4">
        <v>4203</v>
      </c>
      <c r="M4209" s="21">
        <v>-51525.119492498532</v>
      </c>
    </row>
    <row r="4210" spans="12:13" x14ac:dyDescent="0.2">
      <c r="L4210" s="4">
        <v>4204</v>
      </c>
      <c r="M4210" s="21">
        <v>132395.20145522617</v>
      </c>
    </row>
    <row r="4211" spans="12:13" x14ac:dyDescent="0.2">
      <c r="L4211" s="4">
        <v>4205</v>
      </c>
      <c r="M4211" s="21">
        <v>-379630.51977312093</v>
      </c>
    </row>
    <row r="4212" spans="12:13" x14ac:dyDescent="0.2">
      <c r="L4212" s="4">
        <v>4206</v>
      </c>
      <c r="M4212" s="21">
        <v>-128817.11580871874</v>
      </c>
    </row>
    <row r="4213" spans="12:13" x14ac:dyDescent="0.2">
      <c r="L4213" s="4">
        <v>4207</v>
      </c>
      <c r="M4213" s="21">
        <v>10700.450826491666</v>
      </c>
    </row>
    <row r="4214" spans="12:13" x14ac:dyDescent="0.2">
      <c r="L4214" s="4">
        <v>4208</v>
      </c>
      <c r="M4214" s="21">
        <v>-28346.109199991392</v>
      </c>
    </row>
    <row r="4215" spans="12:13" x14ac:dyDescent="0.2">
      <c r="L4215" s="4">
        <v>4209</v>
      </c>
      <c r="M4215" s="21">
        <v>75758.89291314478</v>
      </c>
    </row>
    <row r="4216" spans="12:13" x14ac:dyDescent="0.2">
      <c r="L4216" s="4">
        <v>4210</v>
      </c>
      <c r="M4216" s="21">
        <v>-118224.06015059086</v>
      </c>
    </row>
    <row r="4217" spans="12:13" x14ac:dyDescent="0.2">
      <c r="L4217" s="4">
        <v>4211</v>
      </c>
      <c r="M4217" s="21">
        <v>-4621.9217694828112</v>
      </c>
    </row>
    <row r="4218" spans="12:13" x14ac:dyDescent="0.2">
      <c r="L4218" s="4">
        <v>4212</v>
      </c>
      <c r="M4218" s="21">
        <v>-32304.883366850132</v>
      </c>
    </row>
    <row r="4219" spans="12:13" x14ac:dyDescent="0.2">
      <c r="L4219" s="4">
        <v>4213</v>
      </c>
      <c r="M4219" s="21">
        <v>222909.97976470404</v>
      </c>
    </row>
    <row r="4220" spans="12:13" x14ac:dyDescent="0.2">
      <c r="L4220" s="4">
        <v>4214</v>
      </c>
      <c r="M4220" s="21">
        <v>199112.10382178635</v>
      </c>
    </row>
    <row r="4221" spans="12:13" x14ac:dyDescent="0.2">
      <c r="L4221" s="4">
        <v>4215</v>
      </c>
      <c r="M4221" s="21">
        <v>245620.22480126488</v>
      </c>
    </row>
    <row r="4222" spans="12:13" x14ac:dyDescent="0.2">
      <c r="L4222" s="4">
        <v>4216</v>
      </c>
      <c r="M4222" s="21">
        <v>-202163.23096356384</v>
      </c>
    </row>
    <row r="4223" spans="12:13" x14ac:dyDescent="0.2">
      <c r="L4223" s="4">
        <v>4217</v>
      </c>
      <c r="M4223" s="21">
        <v>50679.390332996729</v>
      </c>
    </row>
    <row r="4224" spans="12:13" x14ac:dyDescent="0.2">
      <c r="L4224" s="4">
        <v>4218</v>
      </c>
      <c r="M4224" s="21">
        <v>174031.88080945658</v>
      </c>
    </row>
    <row r="4225" spans="12:13" x14ac:dyDescent="0.2">
      <c r="L4225" s="4">
        <v>4219</v>
      </c>
      <c r="M4225" s="21">
        <v>-5924.4015055347991</v>
      </c>
    </row>
    <row r="4226" spans="12:13" x14ac:dyDescent="0.2">
      <c r="L4226" s="4">
        <v>4220</v>
      </c>
      <c r="M4226" s="21">
        <v>281581.67703900114</v>
      </c>
    </row>
    <row r="4227" spans="12:13" x14ac:dyDescent="0.2">
      <c r="L4227" s="4">
        <v>4221</v>
      </c>
      <c r="M4227" s="21">
        <v>-272334.46519717621</v>
      </c>
    </row>
    <row r="4228" spans="12:13" x14ac:dyDescent="0.2">
      <c r="L4228" s="4">
        <v>4222</v>
      </c>
      <c r="M4228" s="21">
        <v>194514.60747467497</v>
      </c>
    </row>
    <row r="4229" spans="12:13" x14ac:dyDescent="0.2">
      <c r="L4229" s="4">
        <v>4223</v>
      </c>
      <c r="M4229" s="21">
        <v>191152.28039453429</v>
      </c>
    </row>
    <row r="4230" spans="12:13" x14ac:dyDescent="0.2">
      <c r="L4230" s="4">
        <v>4224</v>
      </c>
      <c r="M4230" s="21">
        <v>376725.72791924555</v>
      </c>
    </row>
    <row r="4231" spans="12:13" x14ac:dyDescent="0.2">
      <c r="L4231" s="4">
        <v>4225</v>
      </c>
      <c r="M4231" s="21">
        <v>168037.6506070779</v>
      </c>
    </row>
    <row r="4232" spans="12:13" x14ac:dyDescent="0.2">
      <c r="L4232" s="4">
        <v>4226</v>
      </c>
      <c r="M4232" s="21">
        <v>-224224.59204613103</v>
      </c>
    </row>
    <row r="4233" spans="12:13" x14ac:dyDescent="0.2">
      <c r="L4233" s="4">
        <v>4227</v>
      </c>
      <c r="M4233" s="21">
        <v>115824.49608991831</v>
      </c>
    </row>
    <row r="4234" spans="12:13" x14ac:dyDescent="0.2">
      <c r="L4234" s="4">
        <v>4228</v>
      </c>
      <c r="M4234" s="21">
        <v>-34610.691626203479</v>
      </c>
    </row>
    <row r="4235" spans="12:13" x14ac:dyDescent="0.2">
      <c r="L4235" s="4">
        <v>4229</v>
      </c>
      <c r="M4235" s="21">
        <v>-338492.53904557269</v>
      </c>
    </row>
    <row r="4236" spans="12:13" x14ac:dyDescent="0.2">
      <c r="L4236" s="4">
        <v>4230</v>
      </c>
      <c r="M4236" s="21">
        <v>17789.436702984007</v>
      </c>
    </row>
    <row r="4237" spans="12:13" x14ac:dyDescent="0.2">
      <c r="L4237" s="4">
        <v>4231</v>
      </c>
      <c r="M4237" s="21">
        <v>105444.47686863755</v>
      </c>
    </row>
    <row r="4238" spans="12:13" x14ac:dyDescent="0.2">
      <c r="L4238" s="4">
        <v>4232</v>
      </c>
      <c r="M4238" s="21">
        <v>-1828.136102798846</v>
      </c>
    </row>
    <row r="4239" spans="12:13" x14ac:dyDescent="0.2">
      <c r="L4239" s="4">
        <v>4233</v>
      </c>
      <c r="M4239" s="21">
        <v>442957.69775414438</v>
      </c>
    </row>
    <row r="4240" spans="12:13" x14ac:dyDescent="0.2">
      <c r="L4240" s="4">
        <v>4234</v>
      </c>
      <c r="M4240" s="21">
        <v>21481.040325784561</v>
      </c>
    </row>
    <row r="4241" spans="12:13" x14ac:dyDescent="0.2">
      <c r="L4241" s="4">
        <v>4235</v>
      </c>
      <c r="M4241" s="21">
        <v>-115692.57466895203</v>
      </c>
    </row>
    <row r="4242" spans="12:13" x14ac:dyDescent="0.2">
      <c r="L4242" s="4">
        <v>4236</v>
      </c>
      <c r="M4242" s="21">
        <v>56030.755493779579</v>
      </c>
    </row>
    <row r="4243" spans="12:13" x14ac:dyDescent="0.2">
      <c r="L4243" s="4">
        <v>4237</v>
      </c>
      <c r="M4243" s="21">
        <v>-90773.777450225738</v>
      </c>
    </row>
    <row r="4244" spans="12:13" x14ac:dyDescent="0.2">
      <c r="L4244" s="4">
        <v>4238</v>
      </c>
      <c r="M4244" s="21">
        <v>199011.94819706064</v>
      </c>
    </row>
    <row r="4245" spans="12:13" x14ac:dyDescent="0.2">
      <c r="L4245" s="4">
        <v>4239</v>
      </c>
      <c r="M4245" s="21">
        <v>-307928.80644362653</v>
      </c>
    </row>
    <row r="4246" spans="12:13" x14ac:dyDescent="0.2">
      <c r="L4246" s="4">
        <v>4240</v>
      </c>
      <c r="M4246" s="21">
        <v>-215081.78201676026</v>
      </c>
    </row>
    <row r="4247" spans="12:13" x14ac:dyDescent="0.2">
      <c r="L4247" s="4">
        <v>4241</v>
      </c>
      <c r="M4247" s="21">
        <v>-95395.923541384138</v>
      </c>
    </row>
    <row r="4248" spans="12:13" x14ac:dyDescent="0.2">
      <c r="L4248" s="4">
        <v>4242</v>
      </c>
      <c r="M4248" s="21">
        <v>180611.32533032467</v>
      </c>
    </row>
    <row r="4249" spans="12:13" x14ac:dyDescent="0.2">
      <c r="L4249" s="4">
        <v>4243</v>
      </c>
      <c r="M4249" s="21">
        <v>160406.05125400494</v>
      </c>
    </row>
    <row r="4250" spans="12:13" x14ac:dyDescent="0.2">
      <c r="L4250" s="4">
        <v>4244</v>
      </c>
      <c r="M4250" s="21">
        <v>-319507.33907404554</v>
      </c>
    </row>
    <row r="4251" spans="12:13" x14ac:dyDescent="0.2">
      <c r="L4251" s="4">
        <v>4245</v>
      </c>
      <c r="M4251" s="21">
        <v>-215820.61542649154</v>
      </c>
    </row>
    <row r="4252" spans="12:13" x14ac:dyDescent="0.2">
      <c r="L4252" s="4">
        <v>4246</v>
      </c>
      <c r="M4252" s="21">
        <v>-214700.94383537958</v>
      </c>
    </row>
    <row r="4253" spans="12:13" x14ac:dyDescent="0.2">
      <c r="L4253" s="4">
        <v>4247</v>
      </c>
      <c r="M4253" s="21">
        <v>93689.269838941604</v>
      </c>
    </row>
    <row r="4254" spans="12:13" x14ac:dyDescent="0.2">
      <c r="L4254" s="4">
        <v>4248</v>
      </c>
      <c r="M4254" s="21">
        <v>-1524.2718673565541</v>
      </c>
    </row>
    <row r="4255" spans="12:13" x14ac:dyDescent="0.2">
      <c r="L4255" s="4">
        <v>4249</v>
      </c>
      <c r="M4255" s="21">
        <v>204463.93745215819</v>
      </c>
    </row>
    <row r="4256" spans="12:13" x14ac:dyDescent="0.2">
      <c r="L4256" s="4">
        <v>4250</v>
      </c>
      <c r="M4256" s="21">
        <v>127328.35213482389</v>
      </c>
    </row>
    <row r="4257" spans="12:13" x14ac:dyDescent="0.2">
      <c r="L4257" s="4">
        <v>4251</v>
      </c>
      <c r="M4257" s="21">
        <v>161303.06940119062</v>
      </c>
    </row>
    <row r="4258" spans="12:13" x14ac:dyDescent="0.2">
      <c r="L4258" s="4">
        <v>4252</v>
      </c>
      <c r="M4258" s="21">
        <v>-148587.02089130942</v>
      </c>
    </row>
    <row r="4259" spans="12:13" x14ac:dyDescent="0.2">
      <c r="L4259" s="4">
        <v>4253</v>
      </c>
      <c r="M4259" s="21">
        <v>-92789.06389944446</v>
      </c>
    </row>
    <row r="4260" spans="12:13" x14ac:dyDescent="0.2">
      <c r="L4260" s="4">
        <v>4254</v>
      </c>
      <c r="M4260" s="21">
        <v>154980.72238913534</v>
      </c>
    </row>
    <row r="4261" spans="12:13" x14ac:dyDescent="0.2">
      <c r="L4261" s="4">
        <v>4255</v>
      </c>
      <c r="M4261" s="21">
        <v>-21189.815511708206</v>
      </c>
    </row>
    <row r="4262" spans="12:13" x14ac:dyDescent="0.2">
      <c r="L4262" s="4">
        <v>4256</v>
      </c>
      <c r="M4262" s="21">
        <v>93876.428466190147</v>
      </c>
    </row>
    <row r="4263" spans="12:13" x14ac:dyDescent="0.2">
      <c r="L4263" s="4">
        <v>4257</v>
      </c>
      <c r="M4263" s="21">
        <v>132760.36988870241</v>
      </c>
    </row>
    <row r="4264" spans="12:13" x14ac:dyDescent="0.2">
      <c r="L4264" s="4">
        <v>4258</v>
      </c>
      <c r="M4264" s="21">
        <v>21328.33619308268</v>
      </c>
    </row>
    <row r="4265" spans="12:13" x14ac:dyDescent="0.2">
      <c r="L4265" s="4">
        <v>4259</v>
      </c>
      <c r="M4265" s="21">
        <v>99298.731116494717</v>
      </c>
    </row>
    <row r="4266" spans="12:13" x14ac:dyDescent="0.2">
      <c r="L4266" s="4">
        <v>4260</v>
      </c>
      <c r="M4266" s="21">
        <v>181407.57252863294</v>
      </c>
    </row>
    <row r="4267" spans="12:13" x14ac:dyDescent="0.2">
      <c r="L4267" s="4">
        <v>4261</v>
      </c>
      <c r="M4267" s="21">
        <v>122419.83980764606</v>
      </c>
    </row>
    <row r="4268" spans="12:13" x14ac:dyDescent="0.2">
      <c r="L4268" s="4">
        <v>4262</v>
      </c>
      <c r="M4268" s="21">
        <v>-128183.54968381132</v>
      </c>
    </row>
    <row r="4269" spans="12:13" x14ac:dyDescent="0.2">
      <c r="L4269" s="4">
        <v>4263</v>
      </c>
      <c r="M4269" s="21">
        <v>-35649.800168224043</v>
      </c>
    </row>
    <row r="4270" spans="12:13" x14ac:dyDescent="0.2">
      <c r="L4270" s="4">
        <v>4264</v>
      </c>
      <c r="M4270" s="21">
        <v>-48821.517686226245</v>
      </c>
    </row>
    <row r="4271" spans="12:13" x14ac:dyDescent="0.2">
      <c r="L4271" s="4">
        <v>4265</v>
      </c>
      <c r="M4271" s="21">
        <v>163847.05121113636</v>
      </c>
    </row>
    <row r="4272" spans="12:13" x14ac:dyDescent="0.2">
      <c r="L4272" s="4">
        <v>4266</v>
      </c>
      <c r="M4272" s="21">
        <v>98753.658282757795</v>
      </c>
    </row>
    <row r="4273" spans="12:13" x14ac:dyDescent="0.2">
      <c r="L4273" s="4">
        <v>4267</v>
      </c>
      <c r="M4273" s="21">
        <v>40970.010105686524</v>
      </c>
    </row>
    <row r="4274" spans="12:13" x14ac:dyDescent="0.2">
      <c r="L4274" s="4">
        <v>4268</v>
      </c>
      <c r="M4274" s="21">
        <v>286895.24323818169</v>
      </c>
    </row>
    <row r="4275" spans="12:13" x14ac:dyDescent="0.2">
      <c r="L4275" s="4">
        <v>4269</v>
      </c>
      <c r="M4275" s="21">
        <v>164087.44980831534</v>
      </c>
    </row>
    <row r="4276" spans="12:13" x14ac:dyDescent="0.2">
      <c r="L4276" s="4">
        <v>4270</v>
      </c>
      <c r="M4276" s="21">
        <v>-56471.697718862604</v>
      </c>
    </row>
    <row r="4277" spans="12:13" x14ac:dyDescent="0.2">
      <c r="L4277" s="4">
        <v>4271</v>
      </c>
      <c r="M4277" s="21">
        <v>-207686.42231378905</v>
      </c>
    </row>
    <row r="4278" spans="12:13" x14ac:dyDescent="0.2">
      <c r="L4278" s="4">
        <v>4272</v>
      </c>
      <c r="M4278" s="21">
        <v>41789.698323307355</v>
      </c>
    </row>
    <row r="4279" spans="12:13" x14ac:dyDescent="0.2">
      <c r="L4279" s="4">
        <v>4273</v>
      </c>
      <c r="M4279" s="21">
        <v>254558.85567235443</v>
      </c>
    </row>
    <row r="4280" spans="12:13" x14ac:dyDescent="0.2">
      <c r="L4280" s="4">
        <v>4274</v>
      </c>
      <c r="M4280" s="21">
        <v>224719.3549299193</v>
      </c>
    </row>
    <row r="4281" spans="12:13" x14ac:dyDescent="0.2">
      <c r="L4281" s="4">
        <v>4275</v>
      </c>
      <c r="M4281" s="21">
        <v>-318921.98427033867</v>
      </c>
    </row>
    <row r="4282" spans="12:13" x14ac:dyDescent="0.2">
      <c r="L4282" s="4">
        <v>4276</v>
      </c>
      <c r="M4282" s="21">
        <v>314873.94982547482</v>
      </c>
    </row>
    <row r="4283" spans="12:13" x14ac:dyDescent="0.2">
      <c r="L4283" s="4">
        <v>4277</v>
      </c>
      <c r="M4283" s="21">
        <v>201812.29472457693</v>
      </c>
    </row>
    <row r="4284" spans="12:13" x14ac:dyDescent="0.2">
      <c r="L4284" s="4">
        <v>4278</v>
      </c>
      <c r="M4284" s="21">
        <v>225074.16295316245</v>
      </c>
    </row>
    <row r="4285" spans="12:13" x14ac:dyDescent="0.2">
      <c r="L4285" s="4">
        <v>4279</v>
      </c>
      <c r="M4285" s="21">
        <v>-107538.29112914699</v>
      </c>
    </row>
    <row r="4286" spans="12:13" x14ac:dyDescent="0.2">
      <c r="L4286" s="4">
        <v>4280</v>
      </c>
      <c r="M4286" s="21">
        <v>878747.01093300711</v>
      </c>
    </row>
    <row r="4287" spans="12:13" x14ac:dyDescent="0.2">
      <c r="L4287" s="4">
        <v>4281</v>
      </c>
      <c r="M4287" s="21">
        <v>-73952.272635372676</v>
      </c>
    </row>
    <row r="4288" spans="12:13" x14ac:dyDescent="0.2">
      <c r="L4288" s="4">
        <v>4282</v>
      </c>
      <c r="M4288" s="21">
        <v>-99303.632696362693</v>
      </c>
    </row>
    <row r="4289" spans="12:13" x14ac:dyDescent="0.2">
      <c r="L4289" s="4">
        <v>4283</v>
      </c>
      <c r="M4289" s="21">
        <v>87578.179924408934</v>
      </c>
    </row>
    <row r="4290" spans="12:13" x14ac:dyDescent="0.2">
      <c r="L4290" s="4">
        <v>4284</v>
      </c>
      <c r="M4290" s="21">
        <v>-9177.3499712938064</v>
      </c>
    </row>
    <row r="4291" spans="12:13" x14ac:dyDescent="0.2">
      <c r="L4291" s="4">
        <v>4285</v>
      </c>
      <c r="M4291" s="21">
        <v>-66968.461348102515</v>
      </c>
    </row>
    <row r="4292" spans="12:13" x14ac:dyDescent="0.2">
      <c r="L4292" s="4">
        <v>4286</v>
      </c>
      <c r="M4292" s="21">
        <v>-128756.36454764304</v>
      </c>
    </row>
    <row r="4293" spans="12:13" x14ac:dyDescent="0.2">
      <c r="L4293" s="4">
        <v>4287</v>
      </c>
      <c r="M4293" s="21">
        <v>-181963.12544878758</v>
      </c>
    </row>
    <row r="4294" spans="12:13" x14ac:dyDescent="0.2">
      <c r="L4294" s="4">
        <v>4288</v>
      </c>
      <c r="M4294" s="21">
        <v>337951.62929996091</v>
      </c>
    </row>
    <row r="4295" spans="12:13" x14ac:dyDescent="0.2">
      <c r="L4295" s="4">
        <v>4289</v>
      </c>
      <c r="M4295" s="21">
        <v>187007.07531735324</v>
      </c>
    </row>
    <row r="4296" spans="12:13" x14ac:dyDescent="0.2">
      <c r="L4296" s="4">
        <v>4290</v>
      </c>
      <c r="M4296" s="21">
        <v>350830.30236700701</v>
      </c>
    </row>
    <row r="4297" spans="12:13" x14ac:dyDescent="0.2">
      <c r="L4297" s="4">
        <v>4291</v>
      </c>
      <c r="M4297" s="21">
        <v>181737.10278803256</v>
      </c>
    </row>
    <row r="4298" spans="12:13" x14ac:dyDescent="0.2">
      <c r="L4298" s="4">
        <v>4292</v>
      </c>
      <c r="M4298" s="21">
        <v>139810.45115788718</v>
      </c>
    </row>
    <row r="4299" spans="12:13" x14ac:dyDescent="0.2">
      <c r="L4299" s="4">
        <v>4293</v>
      </c>
      <c r="M4299" s="21">
        <v>67030.395790037961</v>
      </c>
    </row>
    <row r="4300" spans="12:13" x14ac:dyDescent="0.2">
      <c r="L4300" s="4">
        <v>4294</v>
      </c>
      <c r="M4300" s="21">
        <v>-8468.9681081558374</v>
      </c>
    </row>
    <row r="4301" spans="12:13" x14ac:dyDescent="0.2">
      <c r="L4301" s="4">
        <v>4295</v>
      </c>
      <c r="M4301" s="21">
        <v>157347.59985657909</v>
      </c>
    </row>
    <row r="4302" spans="12:13" x14ac:dyDescent="0.2">
      <c r="L4302" s="4">
        <v>4296</v>
      </c>
      <c r="M4302" s="21">
        <v>119530.34425588959</v>
      </c>
    </row>
    <row r="4303" spans="12:13" x14ac:dyDescent="0.2">
      <c r="L4303" s="4">
        <v>4297</v>
      </c>
      <c r="M4303" s="21">
        <v>307420.13783175068</v>
      </c>
    </row>
    <row r="4304" spans="12:13" x14ac:dyDescent="0.2">
      <c r="L4304" s="4">
        <v>4298</v>
      </c>
      <c r="M4304" s="21">
        <v>257070.79382592943</v>
      </c>
    </row>
    <row r="4305" spans="12:13" x14ac:dyDescent="0.2">
      <c r="L4305" s="4">
        <v>4299</v>
      </c>
      <c r="M4305" s="21">
        <v>-48343.012622395792</v>
      </c>
    </row>
    <row r="4306" spans="12:13" x14ac:dyDescent="0.2">
      <c r="L4306" s="4">
        <v>4300</v>
      </c>
      <c r="M4306" s="21">
        <v>223613.48155226026</v>
      </c>
    </row>
    <row r="4307" spans="12:13" x14ac:dyDescent="0.2">
      <c r="L4307" s="4">
        <v>4301</v>
      </c>
      <c r="M4307" s="21">
        <v>-223437.35222963971</v>
      </c>
    </row>
    <row r="4308" spans="12:13" x14ac:dyDescent="0.2">
      <c r="L4308" s="4">
        <v>4302</v>
      </c>
      <c r="M4308" s="21">
        <v>-192283.41373394342</v>
      </c>
    </row>
    <row r="4309" spans="12:13" x14ac:dyDescent="0.2">
      <c r="L4309" s="4">
        <v>4303</v>
      </c>
      <c r="M4309" s="21">
        <v>134774.54613726659</v>
      </c>
    </row>
    <row r="4310" spans="12:13" x14ac:dyDescent="0.2">
      <c r="L4310" s="4">
        <v>4304</v>
      </c>
      <c r="M4310" s="21">
        <v>87372.863507030823</v>
      </c>
    </row>
    <row r="4311" spans="12:13" x14ac:dyDescent="0.2">
      <c r="L4311" s="4">
        <v>4305</v>
      </c>
      <c r="M4311" s="21">
        <v>-95768.95307098623</v>
      </c>
    </row>
    <row r="4312" spans="12:13" x14ac:dyDescent="0.2">
      <c r="L4312" s="4">
        <v>4306</v>
      </c>
      <c r="M4312" s="21">
        <v>78949.665124708205</v>
      </c>
    </row>
    <row r="4313" spans="12:13" x14ac:dyDescent="0.2">
      <c r="L4313" s="4">
        <v>4307</v>
      </c>
      <c r="M4313" s="21">
        <v>110170.70647159303</v>
      </c>
    </row>
    <row r="4314" spans="12:13" x14ac:dyDescent="0.2">
      <c r="L4314" s="4">
        <v>4308</v>
      </c>
      <c r="M4314" s="21">
        <v>129868.62504275946</v>
      </c>
    </row>
    <row r="4315" spans="12:13" x14ac:dyDescent="0.2">
      <c r="L4315" s="4">
        <v>4309</v>
      </c>
      <c r="M4315" s="21">
        <v>-41948.576868331569</v>
      </c>
    </row>
    <row r="4316" spans="12:13" x14ac:dyDescent="0.2">
      <c r="L4316" s="4">
        <v>4310</v>
      </c>
      <c r="M4316" s="21">
        <v>-136904.49232148769</v>
      </c>
    </row>
    <row r="4317" spans="12:13" x14ac:dyDescent="0.2">
      <c r="L4317" s="4">
        <v>4311</v>
      </c>
      <c r="M4317" s="21">
        <v>47666.775462557387</v>
      </c>
    </row>
    <row r="4318" spans="12:13" x14ac:dyDescent="0.2">
      <c r="L4318" s="4">
        <v>4312</v>
      </c>
      <c r="M4318" s="21">
        <v>144530.62880717069</v>
      </c>
    </row>
    <row r="4319" spans="12:13" x14ac:dyDescent="0.2">
      <c r="L4319" s="4">
        <v>4313</v>
      </c>
      <c r="M4319" s="21">
        <v>126711.03911980797</v>
      </c>
    </row>
    <row r="4320" spans="12:13" x14ac:dyDescent="0.2">
      <c r="L4320" s="4">
        <v>4314</v>
      </c>
      <c r="M4320" s="21">
        <v>475152.85478642577</v>
      </c>
    </row>
    <row r="4321" spans="12:13" x14ac:dyDescent="0.2">
      <c r="L4321" s="4">
        <v>4315</v>
      </c>
      <c r="M4321" s="21">
        <v>297126.02464625525</v>
      </c>
    </row>
    <row r="4322" spans="12:13" x14ac:dyDescent="0.2">
      <c r="L4322" s="4">
        <v>4316</v>
      </c>
      <c r="M4322" s="21">
        <v>-224496.13788364353</v>
      </c>
    </row>
    <row r="4323" spans="12:13" x14ac:dyDescent="0.2">
      <c r="L4323" s="4">
        <v>4317</v>
      </c>
      <c r="M4323" s="21">
        <v>128817.24960556097</v>
      </c>
    </row>
    <row r="4324" spans="12:13" x14ac:dyDescent="0.2">
      <c r="L4324" s="4">
        <v>4318</v>
      </c>
      <c r="M4324" s="21">
        <v>-4724.4036074548349</v>
      </c>
    </row>
    <row r="4325" spans="12:13" x14ac:dyDescent="0.2">
      <c r="L4325" s="4">
        <v>4319</v>
      </c>
      <c r="M4325" s="21">
        <v>115306.2832801039</v>
      </c>
    </row>
    <row r="4326" spans="12:13" x14ac:dyDescent="0.2">
      <c r="L4326" s="4">
        <v>4320</v>
      </c>
      <c r="M4326" s="21">
        <v>193985.98968159387</v>
      </c>
    </row>
    <row r="4327" spans="12:13" x14ac:dyDescent="0.2">
      <c r="L4327" s="4">
        <v>4321</v>
      </c>
      <c r="M4327" s="21">
        <v>16513.938567670673</v>
      </c>
    </row>
    <row r="4328" spans="12:13" x14ac:dyDescent="0.2">
      <c r="L4328" s="4">
        <v>4322</v>
      </c>
      <c r="M4328" s="21">
        <v>192818.63961598679</v>
      </c>
    </row>
    <row r="4329" spans="12:13" x14ac:dyDescent="0.2">
      <c r="L4329" s="4">
        <v>4323</v>
      </c>
      <c r="M4329" s="21">
        <v>61146.306200710038</v>
      </c>
    </row>
    <row r="4330" spans="12:13" x14ac:dyDescent="0.2">
      <c r="L4330" s="4">
        <v>4324</v>
      </c>
      <c r="M4330" s="21">
        <v>-98780.42211910816</v>
      </c>
    </row>
    <row r="4331" spans="12:13" x14ac:dyDescent="0.2">
      <c r="L4331" s="4">
        <v>4325</v>
      </c>
      <c r="M4331" s="21">
        <v>-106311.69876349185</v>
      </c>
    </row>
    <row r="4332" spans="12:13" x14ac:dyDescent="0.2">
      <c r="L4332" s="4">
        <v>4326</v>
      </c>
      <c r="M4332" s="21">
        <v>-54276.257654227506</v>
      </c>
    </row>
    <row r="4333" spans="12:13" x14ac:dyDescent="0.2">
      <c r="L4333" s="4">
        <v>4327</v>
      </c>
      <c r="M4333" s="21">
        <v>-1757.2062061145261</v>
      </c>
    </row>
    <row r="4334" spans="12:13" x14ac:dyDescent="0.2">
      <c r="L4334" s="4">
        <v>4328</v>
      </c>
      <c r="M4334" s="21">
        <v>1055.89907268362</v>
      </c>
    </row>
    <row r="4335" spans="12:13" x14ac:dyDescent="0.2">
      <c r="L4335" s="4">
        <v>4329</v>
      </c>
      <c r="M4335" s="21">
        <v>-67963.852586002715</v>
      </c>
    </row>
    <row r="4336" spans="12:13" x14ac:dyDescent="0.2">
      <c r="L4336" s="4">
        <v>4330</v>
      </c>
      <c r="M4336" s="21">
        <v>-5938.1489192596637</v>
      </c>
    </row>
    <row r="4337" spans="12:13" x14ac:dyDescent="0.2">
      <c r="L4337" s="4">
        <v>4331</v>
      </c>
      <c r="M4337" s="21">
        <v>205051.63385104525</v>
      </c>
    </row>
    <row r="4338" spans="12:13" x14ac:dyDescent="0.2">
      <c r="L4338" s="4">
        <v>4332</v>
      </c>
      <c r="M4338" s="21">
        <v>135055.18691510125</v>
      </c>
    </row>
    <row r="4339" spans="12:13" x14ac:dyDescent="0.2">
      <c r="L4339" s="4">
        <v>4333</v>
      </c>
      <c r="M4339" s="21">
        <v>129343.63330668036</v>
      </c>
    </row>
    <row r="4340" spans="12:13" x14ac:dyDescent="0.2">
      <c r="L4340" s="4">
        <v>4334</v>
      </c>
      <c r="M4340" s="21">
        <v>-347853.98262297112</v>
      </c>
    </row>
    <row r="4341" spans="12:13" x14ac:dyDescent="0.2">
      <c r="L4341" s="4">
        <v>4335</v>
      </c>
      <c r="M4341" s="21">
        <v>383715.41546378098</v>
      </c>
    </row>
    <row r="4342" spans="12:13" x14ac:dyDescent="0.2">
      <c r="L4342" s="4">
        <v>4336</v>
      </c>
      <c r="M4342" s="21">
        <v>61801.430164955353</v>
      </c>
    </row>
    <row r="4343" spans="12:13" x14ac:dyDescent="0.2">
      <c r="L4343" s="4">
        <v>4337</v>
      </c>
      <c r="M4343" s="21">
        <v>-128611.8971797236</v>
      </c>
    </row>
    <row r="4344" spans="12:13" x14ac:dyDescent="0.2">
      <c r="L4344" s="4">
        <v>4338</v>
      </c>
      <c r="M4344" s="21">
        <v>575241.45038745564</v>
      </c>
    </row>
    <row r="4345" spans="12:13" x14ac:dyDescent="0.2">
      <c r="L4345" s="4">
        <v>4339</v>
      </c>
      <c r="M4345" s="21">
        <v>-124351.76701543394</v>
      </c>
    </row>
    <row r="4346" spans="12:13" x14ac:dyDescent="0.2">
      <c r="L4346" s="4">
        <v>4340</v>
      </c>
      <c r="M4346" s="21">
        <v>-112578.45205218351</v>
      </c>
    </row>
    <row r="4347" spans="12:13" x14ac:dyDescent="0.2">
      <c r="L4347" s="4">
        <v>4341</v>
      </c>
      <c r="M4347" s="21">
        <v>149788.67946342644</v>
      </c>
    </row>
    <row r="4348" spans="12:13" x14ac:dyDescent="0.2">
      <c r="L4348" s="4">
        <v>4342</v>
      </c>
      <c r="M4348" s="21">
        <v>265592.54622188304</v>
      </c>
    </row>
    <row r="4349" spans="12:13" x14ac:dyDescent="0.2">
      <c r="L4349" s="4">
        <v>4343</v>
      </c>
      <c r="M4349" s="21">
        <v>26380.523207635124</v>
      </c>
    </row>
    <row r="4350" spans="12:13" x14ac:dyDescent="0.2">
      <c r="L4350" s="4">
        <v>4344</v>
      </c>
      <c r="M4350" s="21">
        <v>137751.78791602812</v>
      </c>
    </row>
    <row r="4351" spans="12:13" x14ac:dyDescent="0.2">
      <c r="L4351" s="4">
        <v>4345</v>
      </c>
      <c r="M4351" s="21">
        <v>92008.847639743588</v>
      </c>
    </row>
    <row r="4352" spans="12:13" x14ac:dyDescent="0.2">
      <c r="L4352" s="4">
        <v>4346</v>
      </c>
      <c r="M4352" s="21">
        <v>-47487.381478219846</v>
      </c>
    </row>
    <row r="4353" spans="12:13" x14ac:dyDescent="0.2">
      <c r="L4353" s="4">
        <v>4347</v>
      </c>
      <c r="M4353" s="21">
        <v>-282162.61497003707</v>
      </c>
    </row>
    <row r="4354" spans="12:13" x14ac:dyDescent="0.2">
      <c r="L4354" s="4">
        <v>4348</v>
      </c>
      <c r="M4354" s="21">
        <v>156545.58856127263</v>
      </c>
    </row>
    <row r="4355" spans="12:13" x14ac:dyDescent="0.2">
      <c r="L4355" s="4">
        <v>4349</v>
      </c>
      <c r="M4355" s="21">
        <v>-168435.98575805803</v>
      </c>
    </row>
    <row r="4356" spans="12:13" x14ac:dyDescent="0.2">
      <c r="L4356" s="4">
        <v>4350</v>
      </c>
      <c r="M4356" s="21">
        <v>102665.64650841639</v>
      </c>
    </row>
    <row r="4357" spans="12:13" x14ac:dyDescent="0.2">
      <c r="L4357" s="4">
        <v>4351</v>
      </c>
      <c r="M4357" s="21">
        <v>354606.09838851372</v>
      </c>
    </row>
    <row r="4358" spans="12:13" x14ac:dyDescent="0.2">
      <c r="L4358" s="4">
        <v>4352</v>
      </c>
      <c r="M4358" s="21">
        <v>139354.06236141751</v>
      </c>
    </row>
    <row r="4359" spans="12:13" x14ac:dyDescent="0.2">
      <c r="L4359" s="4">
        <v>4353</v>
      </c>
      <c r="M4359" s="21">
        <v>164892.81451421665</v>
      </c>
    </row>
    <row r="4360" spans="12:13" x14ac:dyDescent="0.2">
      <c r="L4360" s="4">
        <v>4354</v>
      </c>
      <c r="M4360" s="21">
        <v>-139307.95146699081</v>
      </c>
    </row>
    <row r="4361" spans="12:13" x14ac:dyDescent="0.2">
      <c r="L4361" s="4">
        <v>4355</v>
      </c>
      <c r="M4361" s="21">
        <v>207497.43823625884</v>
      </c>
    </row>
    <row r="4362" spans="12:13" x14ac:dyDescent="0.2">
      <c r="L4362" s="4">
        <v>4356</v>
      </c>
      <c r="M4362" s="21">
        <v>436848.07687717449</v>
      </c>
    </row>
    <row r="4363" spans="12:13" x14ac:dyDescent="0.2">
      <c r="L4363" s="4">
        <v>4357</v>
      </c>
      <c r="M4363" s="21">
        <v>-220141.55999176018</v>
      </c>
    </row>
    <row r="4364" spans="12:13" x14ac:dyDescent="0.2">
      <c r="L4364" s="4">
        <v>4358</v>
      </c>
      <c r="M4364" s="21">
        <v>-269581.34357863071</v>
      </c>
    </row>
    <row r="4365" spans="12:13" x14ac:dyDescent="0.2">
      <c r="L4365" s="4">
        <v>4359</v>
      </c>
      <c r="M4365" s="21">
        <v>69575.117028318055</v>
      </c>
    </row>
    <row r="4366" spans="12:13" x14ac:dyDescent="0.2">
      <c r="L4366" s="4">
        <v>4360</v>
      </c>
      <c r="M4366" s="21">
        <v>-293562.9042479269</v>
      </c>
    </row>
    <row r="4367" spans="12:13" x14ac:dyDescent="0.2">
      <c r="L4367" s="4">
        <v>4361</v>
      </c>
      <c r="M4367" s="21">
        <v>187207.8810512707</v>
      </c>
    </row>
    <row r="4368" spans="12:13" x14ac:dyDescent="0.2">
      <c r="L4368" s="4">
        <v>4362</v>
      </c>
      <c r="M4368" s="21">
        <v>-202165.7665299708</v>
      </c>
    </row>
    <row r="4369" spans="12:13" x14ac:dyDescent="0.2">
      <c r="L4369" s="4">
        <v>4363</v>
      </c>
      <c r="M4369" s="21">
        <v>67804.380820617225</v>
      </c>
    </row>
    <row r="4370" spans="12:13" x14ac:dyDescent="0.2">
      <c r="L4370" s="4">
        <v>4364</v>
      </c>
      <c r="M4370" s="21">
        <v>250664.4307335522</v>
      </c>
    </row>
    <row r="4371" spans="12:13" x14ac:dyDescent="0.2">
      <c r="L4371" s="4">
        <v>4365</v>
      </c>
      <c r="M4371" s="21">
        <v>97767.093375695607</v>
      </c>
    </row>
    <row r="4372" spans="12:13" x14ac:dyDescent="0.2">
      <c r="L4372" s="4">
        <v>4366</v>
      </c>
      <c r="M4372" s="21">
        <v>185951.53776858578</v>
      </c>
    </row>
    <row r="4373" spans="12:13" x14ac:dyDescent="0.2">
      <c r="L4373" s="4">
        <v>4367</v>
      </c>
      <c r="M4373" s="21">
        <v>55944.097709967085</v>
      </c>
    </row>
    <row r="4374" spans="12:13" x14ac:dyDescent="0.2">
      <c r="L4374" s="4">
        <v>4368</v>
      </c>
      <c r="M4374" s="21">
        <v>59018.736930782965</v>
      </c>
    </row>
    <row r="4375" spans="12:13" x14ac:dyDescent="0.2">
      <c r="L4375" s="4">
        <v>4369</v>
      </c>
      <c r="M4375" s="21">
        <v>-93840.857911542204</v>
      </c>
    </row>
    <row r="4376" spans="12:13" x14ac:dyDescent="0.2">
      <c r="L4376" s="4">
        <v>4370</v>
      </c>
      <c r="M4376" s="21">
        <v>-92944.261928260312</v>
      </c>
    </row>
    <row r="4377" spans="12:13" x14ac:dyDescent="0.2">
      <c r="L4377" s="4">
        <v>4371</v>
      </c>
      <c r="M4377" s="21">
        <v>26596.146302539652</v>
      </c>
    </row>
    <row r="4378" spans="12:13" x14ac:dyDescent="0.2">
      <c r="L4378" s="4">
        <v>4372</v>
      </c>
      <c r="M4378" s="21">
        <v>251029.02798040325</v>
      </c>
    </row>
    <row r="4379" spans="12:13" x14ac:dyDescent="0.2">
      <c r="L4379" s="4">
        <v>4373</v>
      </c>
      <c r="M4379" s="21">
        <v>-2453.0675959386426</v>
      </c>
    </row>
    <row r="4380" spans="12:13" x14ac:dyDescent="0.2">
      <c r="L4380" s="4">
        <v>4374</v>
      </c>
      <c r="M4380" s="21">
        <v>-132783.35999500944</v>
      </c>
    </row>
    <row r="4381" spans="12:13" x14ac:dyDescent="0.2">
      <c r="L4381" s="4">
        <v>4375</v>
      </c>
      <c r="M4381" s="21">
        <v>-237856.63380540162</v>
      </c>
    </row>
    <row r="4382" spans="12:13" x14ac:dyDescent="0.2">
      <c r="L4382" s="4">
        <v>4376</v>
      </c>
      <c r="M4382" s="21">
        <v>-256590.48777571105</v>
      </c>
    </row>
    <row r="4383" spans="12:13" x14ac:dyDescent="0.2">
      <c r="L4383" s="4">
        <v>4377</v>
      </c>
      <c r="M4383" s="21">
        <v>-209934.98841967119</v>
      </c>
    </row>
    <row r="4384" spans="12:13" x14ac:dyDescent="0.2">
      <c r="L4384" s="4">
        <v>4378</v>
      </c>
      <c r="M4384" s="21">
        <v>-188646.59899959678</v>
      </c>
    </row>
    <row r="4385" spans="12:13" x14ac:dyDescent="0.2">
      <c r="L4385" s="4">
        <v>4379</v>
      </c>
      <c r="M4385" s="21">
        <v>52872.073534977826</v>
      </c>
    </row>
    <row r="4386" spans="12:13" x14ac:dyDescent="0.2">
      <c r="L4386" s="4">
        <v>4380</v>
      </c>
      <c r="M4386" s="21">
        <v>302286.6392190035</v>
      </c>
    </row>
    <row r="4387" spans="12:13" x14ac:dyDescent="0.2">
      <c r="L4387" s="4">
        <v>4381</v>
      </c>
      <c r="M4387" s="21">
        <v>263958.3611424542</v>
      </c>
    </row>
    <row r="4388" spans="12:13" x14ac:dyDescent="0.2">
      <c r="L4388" s="4">
        <v>4382</v>
      </c>
      <c r="M4388" s="21">
        <v>-200784.89273750366</v>
      </c>
    </row>
    <row r="4389" spans="12:13" x14ac:dyDescent="0.2">
      <c r="L4389" s="4">
        <v>4383</v>
      </c>
      <c r="M4389" s="21">
        <v>338957.63975558593</v>
      </c>
    </row>
    <row r="4390" spans="12:13" x14ac:dyDescent="0.2">
      <c r="L4390" s="4">
        <v>4384</v>
      </c>
      <c r="M4390" s="21">
        <v>159372.57814820943</v>
      </c>
    </row>
    <row r="4391" spans="12:13" x14ac:dyDescent="0.2">
      <c r="L4391" s="4">
        <v>4385</v>
      </c>
      <c r="M4391" s="21">
        <v>-128995.58499915703</v>
      </c>
    </row>
    <row r="4392" spans="12:13" x14ac:dyDescent="0.2">
      <c r="L4392" s="4">
        <v>4386</v>
      </c>
      <c r="M4392" s="21">
        <v>299339.58053646679</v>
      </c>
    </row>
    <row r="4393" spans="12:13" x14ac:dyDescent="0.2">
      <c r="L4393" s="4">
        <v>4387</v>
      </c>
      <c r="M4393" s="21">
        <v>-280141.99693122302</v>
      </c>
    </row>
    <row r="4394" spans="12:13" x14ac:dyDescent="0.2">
      <c r="L4394" s="4">
        <v>4388</v>
      </c>
      <c r="M4394" s="21">
        <v>335903.20021917782</v>
      </c>
    </row>
    <row r="4395" spans="12:13" x14ac:dyDescent="0.2">
      <c r="L4395" s="4">
        <v>4389</v>
      </c>
      <c r="M4395" s="21">
        <v>-221469.49725745933</v>
      </c>
    </row>
    <row r="4396" spans="12:13" x14ac:dyDescent="0.2">
      <c r="L4396" s="4">
        <v>4390</v>
      </c>
      <c r="M4396" s="21">
        <v>90528.200383722608</v>
      </c>
    </row>
    <row r="4397" spans="12:13" x14ac:dyDescent="0.2">
      <c r="L4397" s="4">
        <v>4391</v>
      </c>
      <c r="M4397" s="21">
        <v>-194719.5103629634</v>
      </c>
    </row>
    <row r="4398" spans="12:13" x14ac:dyDescent="0.2">
      <c r="L4398" s="4">
        <v>4392</v>
      </c>
      <c r="M4398" s="21">
        <v>301012.89618393849</v>
      </c>
    </row>
    <row r="4399" spans="12:13" x14ac:dyDescent="0.2">
      <c r="L4399" s="4">
        <v>4393</v>
      </c>
      <c r="M4399" s="21">
        <v>-9700.9725610556925</v>
      </c>
    </row>
    <row r="4400" spans="12:13" x14ac:dyDescent="0.2">
      <c r="L4400" s="4">
        <v>4394</v>
      </c>
      <c r="M4400" s="21">
        <v>124101.09756171098</v>
      </c>
    </row>
    <row r="4401" spans="12:13" x14ac:dyDescent="0.2">
      <c r="L4401" s="4">
        <v>4395</v>
      </c>
      <c r="M4401" s="21">
        <v>660148.31942234619</v>
      </c>
    </row>
    <row r="4402" spans="12:13" x14ac:dyDescent="0.2">
      <c r="L4402" s="4">
        <v>4396</v>
      </c>
      <c r="M4402" s="21">
        <v>-470184.58183581248</v>
      </c>
    </row>
    <row r="4403" spans="12:13" x14ac:dyDescent="0.2">
      <c r="L4403" s="4">
        <v>4397</v>
      </c>
      <c r="M4403" s="21">
        <v>-42137.51731296716</v>
      </c>
    </row>
    <row r="4404" spans="12:13" x14ac:dyDescent="0.2">
      <c r="L4404" s="4">
        <v>4398</v>
      </c>
      <c r="M4404" s="21">
        <v>-92118.995342275259</v>
      </c>
    </row>
    <row r="4405" spans="12:13" x14ac:dyDescent="0.2">
      <c r="L4405" s="4">
        <v>4399</v>
      </c>
      <c r="M4405" s="21">
        <v>239774.36992400791</v>
      </c>
    </row>
    <row r="4406" spans="12:13" x14ac:dyDescent="0.2">
      <c r="L4406" s="4">
        <v>4400</v>
      </c>
      <c r="M4406" s="21">
        <v>-142728.30635084619</v>
      </c>
    </row>
    <row r="4407" spans="12:13" x14ac:dyDescent="0.2">
      <c r="L4407" s="4">
        <v>4401</v>
      </c>
      <c r="M4407" s="21">
        <v>-57103.958030562761</v>
      </c>
    </row>
    <row r="4408" spans="12:13" x14ac:dyDescent="0.2">
      <c r="L4408" s="4">
        <v>4402</v>
      </c>
      <c r="M4408" s="21">
        <v>21525.165631742653</v>
      </c>
    </row>
    <row r="4409" spans="12:13" x14ac:dyDescent="0.2">
      <c r="L4409" s="4">
        <v>4403</v>
      </c>
      <c r="M4409" s="21">
        <v>-270996.64540585602</v>
      </c>
    </row>
    <row r="4410" spans="12:13" x14ac:dyDescent="0.2">
      <c r="L4410" s="4">
        <v>4404</v>
      </c>
      <c r="M4410" s="21">
        <v>136984.27114419531</v>
      </c>
    </row>
    <row r="4411" spans="12:13" x14ac:dyDescent="0.2">
      <c r="L4411" s="4">
        <v>4405</v>
      </c>
      <c r="M4411" s="21">
        <v>88736.581665259058</v>
      </c>
    </row>
    <row r="4412" spans="12:13" x14ac:dyDescent="0.2">
      <c r="L4412" s="4">
        <v>4406</v>
      </c>
      <c r="M4412" s="21">
        <v>-533.14082140890241</v>
      </c>
    </row>
    <row r="4413" spans="12:13" x14ac:dyDescent="0.2">
      <c r="L4413" s="4">
        <v>4407</v>
      </c>
      <c r="M4413" s="21">
        <v>358430.55489662825</v>
      </c>
    </row>
    <row r="4414" spans="12:13" x14ac:dyDescent="0.2">
      <c r="L4414" s="4">
        <v>4408</v>
      </c>
      <c r="M4414" s="21">
        <v>34636.702831806586</v>
      </c>
    </row>
    <row r="4415" spans="12:13" x14ac:dyDescent="0.2">
      <c r="L4415" s="4">
        <v>4409</v>
      </c>
      <c r="M4415" s="21">
        <v>11878.28753853598</v>
      </c>
    </row>
    <row r="4416" spans="12:13" x14ac:dyDescent="0.2">
      <c r="L4416" s="4">
        <v>4410</v>
      </c>
      <c r="M4416" s="21">
        <v>52394.041924339195</v>
      </c>
    </row>
    <row r="4417" spans="12:13" x14ac:dyDescent="0.2">
      <c r="L4417" s="4">
        <v>4411</v>
      </c>
      <c r="M4417" s="21">
        <v>174327.81257329343</v>
      </c>
    </row>
    <row r="4418" spans="12:13" x14ac:dyDescent="0.2">
      <c r="L4418" s="4">
        <v>4412</v>
      </c>
      <c r="M4418" s="21">
        <v>261467.52995874494</v>
      </c>
    </row>
    <row r="4419" spans="12:13" x14ac:dyDescent="0.2">
      <c r="L4419" s="4">
        <v>4413</v>
      </c>
      <c r="M4419" s="21">
        <v>-28979.600119025825</v>
      </c>
    </row>
    <row r="4420" spans="12:13" x14ac:dyDescent="0.2">
      <c r="L4420" s="4">
        <v>4414</v>
      </c>
      <c r="M4420" s="21">
        <v>160856.97758595576</v>
      </c>
    </row>
    <row r="4421" spans="12:13" x14ac:dyDescent="0.2">
      <c r="L4421" s="4">
        <v>4415</v>
      </c>
      <c r="M4421" s="21">
        <v>6299.268569121632</v>
      </c>
    </row>
    <row r="4422" spans="12:13" x14ac:dyDescent="0.2">
      <c r="L4422" s="4">
        <v>4416</v>
      </c>
      <c r="M4422" s="21">
        <v>99706.206588189962</v>
      </c>
    </row>
    <row r="4423" spans="12:13" x14ac:dyDescent="0.2">
      <c r="L4423" s="4">
        <v>4417</v>
      </c>
      <c r="M4423" s="21">
        <v>-105869.27421590911</v>
      </c>
    </row>
    <row r="4424" spans="12:13" x14ac:dyDescent="0.2">
      <c r="L4424" s="4">
        <v>4418</v>
      </c>
      <c r="M4424" s="21">
        <v>-255695.57171955105</v>
      </c>
    </row>
    <row r="4425" spans="12:13" x14ac:dyDescent="0.2">
      <c r="L4425" s="4">
        <v>4419</v>
      </c>
      <c r="M4425" s="21">
        <v>-336409.98463222315</v>
      </c>
    </row>
    <row r="4426" spans="12:13" x14ac:dyDescent="0.2">
      <c r="L4426" s="4">
        <v>4420</v>
      </c>
      <c r="M4426" s="21">
        <v>-328242.90939567966</v>
      </c>
    </row>
    <row r="4427" spans="12:13" x14ac:dyDescent="0.2">
      <c r="L4427" s="4">
        <v>4421</v>
      </c>
      <c r="M4427" s="21">
        <v>-388139.10309507907</v>
      </c>
    </row>
    <row r="4428" spans="12:13" x14ac:dyDescent="0.2">
      <c r="L4428" s="4">
        <v>4422</v>
      </c>
      <c r="M4428" s="21">
        <v>27843.608101281337</v>
      </c>
    </row>
    <row r="4429" spans="12:13" x14ac:dyDescent="0.2">
      <c r="L4429" s="4">
        <v>4423</v>
      </c>
      <c r="M4429" s="21">
        <v>-100861.84499269775</v>
      </c>
    </row>
    <row r="4430" spans="12:13" x14ac:dyDescent="0.2">
      <c r="L4430" s="4">
        <v>4424</v>
      </c>
      <c r="M4430" s="21">
        <v>153160.04762472873</v>
      </c>
    </row>
    <row r="4431" spans="12:13" x14ac:dyDescent="0.2">
      <c r="L4431" s="4">
        <v>4425</v>
      </c>
      <c r="M4431" s="21">
        <v>96664.712621333951</v>
      </c>
    </row>
    <row r="4432" spans="12:13" x14ac:dyDescent="0.2">
      <c r="L4432" s="4">
        <v>4426</v>
      </c>
      <c r="M4432" s="21">
        <v>-240834.95178551431</v>
      </c>
    </row>
    <row r="4433" spans="12:13" x14ac:dyDescent="0.2">
      <c r="L4433" s="4">
        <v>4427</v>
      </c>
      <c r="M4433" s="21">
        <v>302629.60237236903</v>
      </c>
    </row>
    <row r="4434" spans="12:13" x14ac:dyDescent="0.2">
      <c r="L4434" s="4">
        <v>4428</v>
      </c>
      <c r="M4434" s="21">
        <v>-339914.247719459</v>
      </c>
    </row>
    <row r="4435" spans="12:13" x14ac:dyDescent="0.2">
      <c r="L4435" s="4">
        <v>4429</v>
      </c>
      <c r="M4435" s="21">
        <v>52277.859704384842</v>
      </c>
    </row>
    <row r="4436" spans="12:13" x14ac:dyDescent="0.2">
      <c r="L4436" s="4">
        <v>4430</v>
      </c>
      <c r="M4436" s="21">
        <v>124506.02146961191</v>
      </c>
    </row>
    <row r="4437" spans="12:13" x14ac:dyDescent="0.2">
      <c r="L4437" s="4">
        <v>4431</v>
      </c>
      <c r="M4437" s="21">
        <v>-140581.46904831677</v>
      </c>
    </row>
    <row r="4438" spans="12:13" x14ac:dyDescent="0.2">
      <c r="L4438" s="4">
        <v>4432</v>
      </c>
      <c r="M4438" s="21">
        <v>-71111.8785762607</v>
      </c>
    </row>
    <row r="4439" spans="12:13" x14ac:dyDescent="0.2">
      <c r="L4439" s="4">
        <v>4433</v>
      </c>
      <c r="M4439" s="21">
        <v>-68932.210454892323</v>
      </c>
    </row>
    <row r="4440" spans="12:13" x14ac:dyDescent="0.2">
      <c r="L4440" s="4">
        <v>4434</v>
      </c>
      <c r="M4440" s="21">
        <v>307630.85210286279</v>
      </c>
    </row>
    <row r="4441" spans="12:13" x14ac:dyDescent="0.2">
      <c r="L4441" s="4">
        <v>4435</v>
      </c>
      <c r="M4441" s="21">
        <v>-24010.176693205896</v>
      </c>
    </row>
    <row r="4442" spans="12:13" x14ac:dyDescent="0.2">
      <c r="L4442" s="4">
        <v>4436</v>
      </c>
      <c r="M4442" s="21">
        <v>7955.8672993979708</v>
      </c>
    </row>
    <row r="4443" spans="12:13" x14ac:dyDescent="0.2">
      <c r="L4443" s="4">
        <v>4437</v>
      </c>
      <c r="M4443" s="21">
        <v>254519.94935326622</v>
      </c>
    </row>
    <row r="4444" spans="12:13" x14ac:dyDescent="0.2">
      <c r="L4444" s="4">
        <v>4438</v>
      </c>
      <c r="M4444" s="21">
        <v>144680.674130909</v>
      </c>
    </row>
    <row r="4445" spans="12:13" x14ac:dyDescent="0.2">
      <c r="L4445" s="4">
        <v>4439</v>
      </c>
      <c r="M4445" s="21">
        <v>-304119.25032364274</v>
      </c>
    </row>
    <row r="4446" spans="12:13" x14ac:dyDescent="0.2">
      <c r="L4446" s="4">
        <v>4440</v>
      </c>
      <c r="M4446" s="21">
        <v>157340.37693087466</v>
      </c>
    </row>
    <row r="4447" spans="12:13" x14ac:dyDescent="0.2">
      <c r="L4447" s="4">
        <v>4441</v>
      </c>
      <c r="M4447" s="21">
        <v>36729.75548177358</v>
      </c>
    </row>
    <row r="4448" spans="12:13" x14ac:dyDescent="0.2">
      <c r="L4448" s="4">
        <v>4442</v>
      </c>
      <c r="M4448" s="21">
        <v>-59314.921484078572</v>
      </c>
    </row>
    <row r="4449" spans="12:13" x14ac:dyDescent="0.2">
      <c r="L4449" s="4">
        <v>4443</v>
      </c>
      <c r="M4449" s="21">
        <v>-206026.61321479021</v>
      </c>
    </row>
    <row r="4450" spans="12:13" x14ac:dyDescent="0.2">
      <c r="L4450" s="4">
        <v>4444</v>
      </c>
      <c r="M4450" s="21">
        <v>-411525.92223753437</v>
      </c>
    </row>
    <row r="4451" spans="12:13" x14ac:dyDescent="0.2">
      <c r="L4451" s="4">
        <v>4445</v>
      </c>
      <c r="M4451" s="21">
        <v>-134377.79480800181</v>
      </c>
    </row>
    <row r="4452" spans="12:13" x14ac:dyDescent="0.2">
      <c r="L4452" s="4">
        <v>4446</v>
      </c>
      <c r="M4452" s="21">
        <v>-265874.90139331482</v>
      </c>
    </row>
    <row r="4453" spans="12:13" x14ac:dyDescent="0.2">
      <c r="L4453" s="4">
        <v>4447</v>
      </c>
      <c r="M4453" s="21">
        <v>77135.412072607956</v>
      </c>
    </row>
    <row r="4454" spans="12:13" x14ac:dyDescent="0.2">
      <c r="L4454" s="4">
        <v>4448</v>
      </c>
      <c r="M4454" s="21">
        <v>-129353.72629223127</v>
      </c>
    </row>
    <row r="4455" spans="12:13" x14ac:dyDescent="0.2">
      <c r="L4455" s="4">
        <v>4449</v>
      </c>
      <c r="M4455" s="21">
        <v>256078.52615364181</v>
      </c>
    </row>
    <row r="4456" spans="12:13" x14ac:dyDescent="0.2">
      <c r="L4456" s="4">
        <v>4450</v>
      </c>
      <c r="M4456" s="21">
        <v>-220225.87519209852</v>
      </c>
    </row>
    <row r="4457" spans="12:13" x14ac:dyDescent="0.2">
      <c r="L4457" s="4">
        <v>4451</v>
      </c>
      <c r="M4457" s="21">
        <v>10720.832405900001</v>
      </c>
    </row>
    <row r="4458" spans="12:13" x14ac:dyDescent="0.2">
      <c r="L4458" s="4">
        <v>4452</v>
      </c>
      <c r="M4458" s="21">
        <v>293823.12360297446</v>
      </c>
    </row>
    <row r="4459" spans="12:13" x14ac:dyDescent="0.2">
      <c r="L4459" s="4">
        <v>4453</v>
      </c>
      <c r="M4459" s="21">
        <v>-2167.0595213795023</v>
      </c>
    </row>
    <row r="4460" spans="12:13" x14ac:dyDescent="0.2">
      <c r="L4460" s="4">
        <v>4454</v>
      </c>
      <c r="M4460" s="21">
        <v>340994.28931955365</v>
      </c>
    </row>
    <row r="4461" spans="12:13" x14ac:dyDescent="0.2">
      <c r="L4461" s="4">
        <v>4455</v>
      </c>
      <c r="M4461" s="21">
        <v>389398.51203839155</v>
      </c>
    </row>
    <row r="4462" spans="12:13" x14ac:dyDescent="0.2">
      <c r="L4462" s="4">
        <v>4456</v>
      </c>
      <c r="M4462" s="21">
        <v>-58229.274986266668</v>
      </c>
    </row>
    <row r="4463" spans="12:13" x14ac:dyDescent="0.2">
      <c r="L4463" s="4">
        <v>4457</v>
      </c>
      <c r="M4463" s="21">
        <v>147934.90547243826</v>
      </c>
    </row>
    <row r="4464" spans="12:13" x14ac:dyDescent="0.2">
      <c r="L4464" s="4">
        <v>4458</v>
      </c>
      <c r="M4464" s="21">
        <v>-194165.65572896029</v>
      </c>
    </row>
    <row r="4465" spans="12:13" x14ac:dyDescent="0.2">
      <c r="L4465" s="4">
        <v>4459</v>
      </c>
      <c r="M4465" s="21">
        <v>-268733.62503207737</v>
      </c>
    </row>
    <row r="4466" spans="12:13" x14ac:dyDescent="0.2">
      <c r="L4466" s="4">
        <v>4460</v>
      </c>
      <c r="M4466" s="21">
        <v>154326.18520886364</v>
      </c>
    </row>
    <row r="4467" spans="12:13" x14ac:dyDescent="0.2">
      <c r="L4467" s="4">
        <v>4461</v>
      </c>
      <c r="M4467" s="21">
        <v>51375.436395792116</v>
      </c>
    </row>
    <row r="4468" spans="12:13" x14ac:dyDescent="0.2">
      <c r="L4468" s="4">
        <v>4462</v>
      </c>
      <c r="M4468" s="21">
        <v>22430.631825315155</v>
      </c>
    </row>
    <row r="4469" spans="12:13" x14ac:dyDescent="0.2">
      <c r="L4469" s="4">
        <v>4463</v>
      </c>
      <c r="M4469" s="21">
        <v>70908.384929414635</v>
      </c>
    </row>
    <row r="4470" spans="12:13" x14ac:dyDescent="0.2">
      <c r="L4470" s="4">
        <v>4464</v>
      </c>
      <c r="M4470" s="21">
        <v>158614.8044595946</v>
      </c>
    </row>
    <row r="4471" spans="12:13" x14ac:dyDescent="0.2">
      <c r="L4471" s="4">
        <v>4465</v>
      </c>
      <c r="M4471" s="21">
        <v>18337.952143404022</v>
      </c>
    </row>
    <row r="4472" spans="12:13" x14ac:dyDescent="0.2">
      <c r="L4472" s="4">
        <v>4466</v>
      </c>
      <c r="M4472" s="21">
        <v>644544.33280671248</v>
      </c>
    </row>
    <row r="4473" spans="12:13" x14ac:dyDescent="0.2">
      <c r="L4473" s="4">
        <v>4467</v>
      </c>
      <c r="M4473" s="21">
        <v>-130410.36952700258</v>
      </c>
    </row>
    <row r="4474" spans="12:13" x14ac:dyDescent="0.2">
      <c r="L4474" s="4">
        <v>4468</v>
      </c>
      <c r="M4474" s="21">
        <v>415114.15475597349</v>
      </c>
    </row>
    <row r="4475" spans="12:13" x14ac:dyDescent="0.2">
      <c r="L4475" s="4">
        <v>4469</v>
      </c>
      <c r="M4475" s="21">
        <v>57266.943497513159</v>
      </c>
    </row>
    <row r="4476" spans="12:13" x14ac:dyDescent="0.2">
      <c r="L4476" s="4">
        <v>4470</v>
      </c>
      <c r="M4476" s="21">
        <v>-86083.533747402093</v>
      </c>
    </row>
    <row r="4477" spans="12:13" x14ac:dyDescent="0.2">
      <c r="L4477" s="4">
        <v>4471</v>
      </c>
      <c r="M4477" s="21">
        <v>-1155.2382170220662</v>
      </c>
    </row>
    <row r="4478" spans="12:13" x14ac:dyDescent="0.2">
      <c r="L4478" s="4">
        <v>4472</v>
      </c>
      <c r="M4478" s="21">
        <v>59718.582020775037</v>
      </c>
    </row>
    <row r="4479" spans="12:13" x14ac:dyDescent="0.2">
      <c r="L4479" s="4">
        <v>4473</v>
      </c>
      <c r="M4479" s="21">
        <v>47910.345384536136</v>
      </c>
    </row>
    <row r="4480" spans="12:13" x14ac:dyDescent="0.2">
      <c r="L4480" s="4">
        <v>4474</v>
      </c>
      <c r="M4480" s="21">
        <v>513321.85050355922</v>
      </c>
    </row>
    <row r="4481" spans="12:13" x14ac:dyDescent="0.2">
      <c r="L4481" s="4">
        <v>4475</v>
      </c>
      <c r="M4481" s="21">
        <v>-52432.191648338397</v>
      </c>
    </row>
    <row r="4482" spans="12:13" x14ac:dyDescent="0.2">
      <c r="L4482" s="4">
        <v>4476</v>
      </c>
      <c r="M4482" s="21">
        <v>247020.6472344693</v>
      </c>
    </row>
    <row r="4483" spans="12:13" x14ac:dyDescent="0.2">
      <c r="L4483" s="4">
        <v>4477</v>
      </c>
      <c r="M4483" s="21">
        <v>-120791.7556785278</v>
      </c>
    </row>
    <row r="4484" spans="12:13" x14ac:dyDescent="0.2">
      <c r="L4484" s="4">
        <v>4478</v>
      </c>
      <c r="M4484" s="21">
        <v>-263733.81910040049</v>
      </c>
    </row>
    <row r="4485" spans="12:13" x14ac:dyDescent="0.2">
      <c r="L4485" s="4">
        <v>4479</v>
      </c>
      <c r="M4485" s="21">
        <v>56396.219918643357</v>
      </c>
    </row>
    <row r="4486" spans="12:13" x14ac:dyDescent="0.2">
      <c r="L4486" s="4">
        <v>4480</v>
      </c>
      <c r="M4486" s="21">
        <v>110941.37509401661</v>
      </c>
    </row>
    <row r="4487" spans="12:13" x14ac:dyDescent="0.2">
      <c r="L4487" s="4">
        <v>4481</v>
      </c>
      <c r="M4487" s="21">
        <v>-165566.65734023225</v>
      </c>
    </row>
    <row r="4488" spans="12:13" x14ac:dyDescent="0.2">
      <c r="L4488" s="4">
        <v>4482</v>
      </c>
      <c r="M4488" s="21">
        <v>103725.6889609895</v>
      </c>
    </row>
    <row r="4489" spans="12:13" x14ac:dyDescent="0.2">
      <c r="L4489" s="4">
        <v>4483</v>
      </c>
      <c r="M4489" s="21">
        <v>-86536.020284818267</v>
      </c>
    </row>
    <row r="4490" spans="12:13" x14ac:dyDescent="0.2">
      <c r="L4490" s="4">
        <v>4484</v>
      </c>
      <c r="M4490" s="21">
        <v>204324.73944742183</v>
      </c>
    </row>
    <row r="4491" spans="12:13" x14ac:dyDescent="0.2">
      <c r="L4491" s="4">
        <v>4485</v>
      </c>
      <c r="M4491" s="21">
        <v>-77856.160516076648</v>
      </c>
    </row>
    <row r="4492" spans="12:13" x14ac:dyDescent="0.2">
      <c r="L4492" s="4">
        <v>4486</v>
      </c>
      <c r="M4492" s="21">
        <v>24492.017448074563</v>
      </c>
    </row>
    <row r="4493" spans="12:13" x14ac:dyDescent="0.2">
      <c r="L4493" s="4">
        <v>4487</v>
      </c>
      <c r="M4493" s="21">
        <v>-150752.03373360643</v>
      </c>
    </row>
    <row r="4494" spans="12:13" x14ac:dyDescent="0.2">
      <c r="L4494" s="4">
        <v>4488</v>
      </c>
      <c r="M4494" s="21">
        <v>-135328.12783616729</v>
      </c>
    </row>
    <row r="4495" spans="12:13" x14ac:dyDescent="0.2">
      <c r="L4495" s="4">
        <v>4489</v>
      </c>
      <c r="M4495" s="21">
        <v>170141.81387289966</v>
      </c>
    </row>
    <row r="4496" spans="12:13" x14ac:dyDescent="0.2">
      <c r="L4496" s="4">
        <v>4490</v>
      </c>
      <c r="M4496" s="21">
        <v>-82016.163126078929</v>
      </c>
    </row>
    <row r="4497" spans="12:13" x14ac:dyDescent="0.2">
      <c r="L4497" s="4">
        <v>4491</v>
      </c>
      <c r="M4497" s="21">
        <v>423872.61273526319</v>
      </c>
    </row>
    <row r="4498" spans="12:13" x14ac:dyDescent="0.2">
      <c r="L4498" s="4">
        <v>4492</v>
      </c>
      <c r="M4498" s="21">
        <v>-324021.67325223214</v>
      </c>
    </row>
    <row r="4499" spans="12:13" x14ac:dyDescent="0.2">
      <c r="L4499" s="4">
        <v>4493</v>
      </c>
      <c r="M4499" s="21">
        <v>-114600.08943092934</v>
      </c>
    </row>
    <row r="4500" spans="12:13" x14ac:dyDescent="0.2">
      <c r="L4500" s="4">
        <v>4494</v>
      </c>
      <c r="M4500" s="21">
        <v>-260417.17253491742</v>
      </c>
    </row>
    <row r="4501" spans="12:13" x14ac:dyDescent="0.2">
      <c r="L4501" s="4">
        <v>4495</v>
      </c>
      <c r="M4501" s="21">
        <v>-175863.85673653841</v>
      </c>
    </row>
    <row r="4502" spans="12:13" x14ac:dyDescent="0.2">
      <c r="L4502" s="4">
        <v>4496</v>
      </c>
      <c r="M4502" s="21">
        <v>410359.63676275034</v>
      </c>
    </row>
    <row r="4503" spans="12:13" x14ac:dyDescent="0.2">
      <c r="L4503" s="4">
        <v>4497</v>
      </c>
      <c r="M4503" s="21">
        <v>74416.337747946265</v>
      </c>
    </row>
    <row r="4504" spans="12:13" x14ac:dyDescent="0.2">
      <c r="L4504" s="4">
        <v>4498</v>
      </c>
      <c r="M4504" s="21">
        <v>512233.97056809138</v>
      </c>
    </row>
    <row r="4505" spans="12:13" x14ac:dyDescent="0.2">
      <c r="L4505" s="4">
        <v>4499</v>
      </c>
      <c r="M4505" s="21">
        <v>-242781.14310885186</v>
      </c>
    </row>
    <row r="4506" spans="12:13" x14ac:dyDescent="0.2">
      <c r="L4506" s="4">
        <v>4500</v>
      </c>
      <c r="M4506" s="21">
        <v>45485.84094542716</v>
      </c>
    </row>
    <row r="4507" spans="12:13" x14ac:dyDescent="0.2">
      <c r="L4507" s="4">
        <v>4501</v>
      </c>
      <c r="M4507" s="21">
        <v>-156250.16066547664</v>
      </c>
    </row>
    <row r="4508" spans="12:13" x14ac:dyDescent="0.2">
      <c r="L4508" s="4">
        <v>4502</v>
      </c>
      <c r="M4508" s="21">
        <v>-95130.753317592244</v>
      </c>
    </row>
    <row r="4509" spans="12:13" x14ac:dyDescent="0.2">
      <c r="L4509" s="4">
        <v>4503</v>
      </c>
      <c r="M4509" s="21">
        <v>62801.151329520828</v>
      </c>
    </row>
    <row r="4510" spans="12:13" x14ac:dyDescent="0.2">
      <c r="L4510" s="4">
        <v>4504</v>
      </c>
      <c r="M4510" s="21">
        <v>12632.089275818435</v>
      </c>
    </row>
    <row r="4511" spans="12:13" x14ac:dyDescent="0.2">
      <c r="L4511" s="4">
        <v>4505</v>
      </c>
      <c r="M4511" s="21">
        <v>182628.97297304569</v>
      </c>
    </row>
    <row r="4512" spans="12:13" x14ac:dyDescent="0.2">
      <c r="L4512" s="4">
        <v>4506</v>
      </c>
      <c r="M4512" s="21">
        <v>3700.3002703188104</v>
      </c>
    </row>
    <row r="4513" spans="12:13" x14ac:dyDescent="0.2">
      <c r="L4513" s="4">
        <v>4507</v>
      </c>
      <c r="M4513" s="21">
        <v>-231931.77680273826</v>
      </c>
    </row>
    <row r="4514" spans="12:13" x14ac:dyDescent="0.2">
      <c r="L4514" s="4">
        <v>4508</v>
      </c>
      <c r="M4514" s="21">
        <v>225771.83484226087</v>
      </c>
    </row>
    <row r="4515" spans="12:13" x14ac:dyDescent="0.2">
      <c r="L4515" s="4">
        <v>4509</v>
      </c>
      <c r="M4515" s="21">
        <v>-97003.82989479028</v>
      </c>
    </row>
    <row r="4516" spans="12:13" x14ac:dyDescent="0.2">
      <c r="L4516" s="4">
        <v>4510</v>
      </c>
      <c r="M4516" s="21">
        <v>467204.61032407975</v>
      </c>
    </row>
    <row r="4517" spans="12:13" x14ac:dyDescent="0.2">
      <c r="L4517" s="4">
        <v>4511</v>
      </c>
      <c r="M4517" s="21">
        <v>-48326.921613559782</v>
      </c>
    </row>
    <row r="4518" spans="12:13" x14ac:dyDescent="0.2">
      <c r="L4518" s="4">
        <v>4512</v>
      </c>
      <c r="M4518" s="21">
        <v>246608.43443909296</v>
      </c>
    </row>
    <row r="4519" spans="12:13" x14ac:dyDescent="0.2">
      <c r="L4519" s="4">
        <v>4513</v>
      </c>
      <c r="M4519" s="21">
        <v>-186183.38965765078</v>
      </c>
    </row>
    <row r="4520" spans="12:13" x14ac:dyDescent="0.2">
      <c r="L4520" s="4">
        <v>4514</v>
      </c>
      <c r="M4520" s="21">
        <v>195638.89878603732</v>
      </c>
    </row>
    <row r="4521" spans="12:13" x14ac:dyDescent="0.2">
      <c r="L4521" s="4">
        <v>4515</v>
      </c>
      <c r="M4521" s="21">
        <v>497661.90306971484</v>
      </c>
    </row>
    <row r="4522" spans="12:13" x14ac:dyDescent="0.2">
      <c r="L4522" s="4">
        <v>4516</v>
      </c>
      <c r="M4522" s="21">
        <v>51720.670342857542</v>
      </c>
    </row>
    <row r="4523" spans="12:13" x14ac:dyDescent="0.2">
      <c r="L4523" s="4">
        <v>4517</v>
      </c>
      <c r="M4523" s="21">
        <v>-172677.72379102308</v>
      </c>
    </row>
    <row r="4524" spans="12:13" x14ac:dyDescent="0.2">
      <c r="L4524" s="4">
        <v>4518</v>
      </c>
      <c r="M4524" s="21">
        <v>406615.50017066009</v>
      </c>
    </row>
    <row r="4525" spans="12:13" x14ac:dyDescent="0.2">
      <c r="L4525" s="4">
        <v>4519</v>
      </c>
      <c r="M4525" s="21">
        <v>141557.33946259506</v>
      </c>
    </row>
    <row r="4526" spans="12:13" x14ac:dyDescent="0.2">
      <c r="L4526" s="4">
        <v>4520</v>
      </c>
      <c r="M4526" s="21">
        <v>212232.59567079597</v>
      </c>
    </row>
    <row r="4527" spans="12:13" x14ac:dyDescent="0.2">
      <c r="L4527" s="4">
        <v>4521</v>
      </c>
      <c r="M4527" s="21">
        <v>-244541.53601788133</v>
      </c>
    </row>
    <row r="4528" spans="12:13" x14ac:dyDescent="0.2">
      <c r="L4528" s="4">
        <v>4522</v>
      </c>
      <c r="M4528" s="21">
        <v>-231972.50165747077</v>
      </c>
    </row>
    <row r="4529" spans="12:13" x14ac:dyDescent="0.2">
      <c r="L4529" s="4">
        <v>4523</v>
      </c>
      <c r="M4529" s="21">
        <v>178313.13919320932</v>
      </c>
    </row>
    <row r="4530" spans="12:13" x14ac:dyDescent="0.2">
      <c r="L4530" s="4">
        <v>4524</v>
      </c>
      <c r="M4530" s="21">
        <v>47550.623446852784</v>
      </c>
    </row>
    <row r="4531" spans="12:13" x14ac:dyDescent="0.2">
      <c r="L4531" s="4">
        <v>4525</v>
      </c>
      <c r="M4531" s="21">
        <v>-10749.764951595818</v>
      </c>
    </row>
    <row r="4532" spans="12:13" x14ac:dyDescent="0.2">
      <c r="L4532" s="4">
        <v>4526</v>
      </c>
      <c r="M4532" s="21">
        <v>-82061.656542540717</v>
      </c>
    </row>
    <row r="4533" spans="12:13" x14ac:dyDescent="0.2">
      <c r="L4533" s="4">
        <v>4527</v>
      </c>
      <c r="M4533" s="21">
        <v>50681.420203062211</v>
      </c>
    </row>
    <row r="4534" spans="12:13" x14ac:dyDescent="0.2">
      <c r="L4534" s="4">
        <v>4528</v>
      </c>
      <c r="M4534" s="21">
        <v>-5873.7898091645911</v>
      </c>
    </row>
    <row r="4535" spans="12:13" x14ac:dyDescent="0.2">
      <c r="L4535" s="4">
        <v>4529</v>
      </c>
      <c r="M4535" s="21">
        <v>-172288.07570010069</v>
      </c>
    </row>
    <row r="4536" spans="12:13" x14ac:dyDescent="0.2">
      <c r="L4536" s="4">
        <v>4530</v>
      </c>
      <c r="M4536" s="21">
        <v>242607.47623352884</v>
      </c>
    </row>
    <row r="4537" spans="12:13" x14ac:dyDescent="0.2">
      <c r="L4537" s="4">
        <v>4531</v>
      </c>
      <c r="M4537" s="21">
        <v>169672.35851232236</v>
      </c>
    </row>
    <row r="4538" spans="12:13" x14ac:dyDescent="0.2">
      <c r="L4538" s="4">
        <v>4532</v>
      </c>
      <c r="M4538" s="21">
        <v>-160372.20064834331</v>
      </c>
    </row>
    <row r="4539" spans="12:13" x14ac:dyDescent="0.2">
      <c r="L4539" s="4">
        <v>4533</v>
      </c>
      <c r="M4539" s="21">
        <v>-74518.985223213211</v>
      </c>
    </row>
    <row r="4540" spans="12:13" x14ac:dyDescent="0.2">
      <c r="L4540" s="4">
        <v>4534</v>
      </c>
      <c r="M4540" s="21">
        <v>254191.46936662518</v>
      </c>
    </row>
    <row r="4541" spans="12:13" x14ac:dyDescent="0.2">
      <c r="L4541" s="4">
        <v>4535</v>
      </c>
      <c r="M4541" s="21">
        <v>-219541.16141016272</v>
      </c>
    </row>
    <row r="4542" spans="12:13" x14ac:dyDescent="0.2">
      <c r="L4542" s="4">
        <v>4536</v>
      </c>
      <c r="M4542" s="21">
        <v>-6066.8277390005678</v>
      </c>
    </row>
    <row r="4543" spans="12:13" x14ac:dyDescent="0.2">
      <c r="L4543" s="4">
        <v>4537</v>
      </c>
      <c r="M4543" s="21">
        <v>60333.037365983473</v>
      </c>
    </row>
    <row r="4544" spans="12:13" x14ac:dyDescent="0.2">
      <c r="L4544" s="4">
        <v>4538</v>
      </c>
      <c r="M4544" s="21">
        <v>-20805.834571866275</v>
      </c>
    </row>
    <row r="4545" spans="12:13" x14ac:dyDescent="0.2">
      <c r="L4545" s="4">
        <v>4539</v>
      </c>
      <c r="M4545" s="21">
        <v>393792.00090550422</v>
      </c>
    </row>
    <row r="4546" spans="12:13" x14ac:dyDescent="0.2">
      <c r="L4546" s="4">
        <v>4540</v>
      </c>
      <c r="M4546" s="21">
        <v>133192.84236757836</v>
      </c>
    </row>
    <row r="4547" spans="12:13" x14ac:dyDescent="0.2">
      <c r="L4547" s="4">
        <v>4541</v>
      </c>
      <c r="M4547" s="21">
        <v>123896.46439786805</v>
      </c>
    </row>
    <row r="4548" spans="12:13" x14ac:dyDescent="0.2">
      <c r="L4548" s="4">
        <v>4542</v>
      </c>
      <c r="M4548" s="21">
        <v>-84543.818379125601</v>
      </c>
    </row>
    <row r="4549" spans="12:13" x14ac:dyDescent="0.2">
      <c r="L4549" s="4">
        <v>4543</v>
      </c>
      <c r="M4549" s="21">
        <v>43839.959645934025</v>
      </c>
    </row>
    <row r="4550" spans="12:13" x14ac:dyDescent="0.2">
      <c r="L4550" s="4">
        <v>4544</v>
      </c>
      <c r="M4550" s="21">
        <v>-130789.48380351377</v>
      </c>
    </row>
    <row r="4551" spans="12:13" x14ac:dyDescent="0.2">
      <c r="L4551" s="4">
        <v>4545</v>
      </c>
      <c r="M4551" s="21">
        <v>-66942.933428686607</v>
      </c>
    </row>
    <row r="4552" spans="12:13" x14ac:dyDescent="0.2">
      <c r="L4552" s="4">
        <v>4546</v>
      </c>
      <c r="M4552" s="21">
        <v>-137883.52306304357</v>
      </c>
    </row>
    <row r="4553" spans="12:13" x14ac:dyDescent="0.2">
      <c r="L4553" s="4">
        <v>4547</v>
      </c>
      <c r="M4553" s="21">
        <v>233560.08090574318</v>
      </c>
    </row>
    <row r="4554" spans="12:13" x14ac:dyDescent="0.2">
      <c r="L4554" s="4">
        <v>4548</v>
      </c>
      <c r="M4554" s="21">
        <v>-68121.312820758147</v>
      </c>
    </row>
    <row r="4555" spans="12:13" x14ac:dyDescent="0.2">
      <c r="L4555" s="4">
        <v>4549</v>
      </c>
      <c r="M4555" s="21">
        <v>119192.28194119493</v>
      </c>
    </row>
    <row r="4556" spans="12:13" x14ac:dyDescent="0.2">
      <c r="L4556" s="4">
        <v>4550</v>
      </c>
      <c r="M4556" s="21">
        <v>-60918.154950889948</v>
      </c>
    </row>
    <row r="4557" spans="12:13" x14ac:dyDescent="0.2">
      <c r="L4557" s="4">
        <v>4551</v>
      </c>
      <c r="M4557" s="21">
        <v>83871.896090835886</v>
      </c>
    </row>
    <row r="4558" spans="12:13" x14ac:dyDescent="0.2">
      <c r="L4558" s="4">
        <v>4552</v>
      </c>
      <c r="M4558" s="21">
        <v>-185283.78878128371</v>
      </c>
    </row>
    <row r="4559" spans="12:13" x14ac:dyDescent="0.2">
      <c r="L4559" s="4">
        <v>4553</v>
      </c>
      <c r="M4559" s="21">
        <v>-126938.0757428069</v>
      </c>
    </row>
    <row r="4560" spans="12:13" x14ac:dyDescent="0.2">
      <c r="L4560" s="4">
        <v>4554</v>
      </c>
      <c r="M4560" s="21">
        <v>140754.27639130855</v>
      </c>
    </row>
    <row r="4561" spans="12:13" x14ac:dyDescent="0.2">
      <c r="L4561" s="4">
        <v>4555</v>
      </c>
      <c r="M4561" s="21">
        <v>-256524.59037677792</v>
      </c>
    </row>
    <row r="4562" spans="12:13" x14ac:dyDescent="0.2">
      <c r="L4562" s="4">
        <v>4556</v>
      </c>
      <c r="M4562" s="21">
        <v>103181.94421156312</v>
      </c>
    </row>
    <row r="4563" spans="12:13" x14ac:dyDescent="0.2">
      <c r="L4563" s="4">
        <v>4557</v>
      </c>
      <c r="M4563" s="21">
        <v>54229.102144271339</v>
      </c>
    </row>
    <row r="4564" spans="12:13" x14ac:dyDescent="0.2">
      <c r="L4564" s="4">
        <v>4558</v>
      </c>
      <c r="M4564" s="21">
        <v>278629.18764509098</v>
      </c>
    </row>
    <row r="4565" spans="12:13" x14ac:dyDescent="0.2">
      <c r="L4565" s="4">
        <v>4559</v>
      </c>
      <c r="M4565" s="21">
        <v>25258.171826313803</v>
      </c>
    </row>
    <row r="4566" spans="12:13" x14ac:dyDescent="0.2">
      <c r="L4566" s="4">
        <v>4560</v>
      </c>
      <c r="M4566" s="21">
        <v>-206238.44793479613</v>
      </c>
    </row>
    <row r="4567" spans="12:13" x14ac:dyDescent="0.2">
      <c r="L4567" s="4">
        <v>4561</v>
      </c>
      <c r="M4567" s="21">
        <v>52420.637599466136</v>
      </c>
    </row>
    <row r="4568" spans="12:13" x14ac:dyDescent="0.2">
      <c r="L4568" s="4">
        <v>4562</v>
      </c>
      <c r="M4568" s="21">
        <v>92864.707725149055</v>
      </c>
    </row>
    <row r="4569" spans="12:13" x14ac:dyDescent="0.2">
      <c r="L4569" s="4">
        <v>4563</v>
      </c>
      <c r="M4569" s="21">
        <v>-258654.53279557254</v>
      </c>
    </row>
    <row r="4570" spans="12:13" x14ac:dyDescent="0.2">
      <c r="L4570" s="4">
        <v>4564</v>
      </c>
      <c r="M4570" s="21">
        <v>-161989.85589441616</v>
      </c>
    </row>
    <row r="4571" spans="12:13" x14ac:dyDescent="0.2">
      <c r="L4571" s="4">
        <v>4565</v>
      </c>
      <c r="M4571" s="21">
        <v>-69615.497000168063</v>
      </c>
    </row>
    <row r="4572" spans="12:13" x14ac:dyDescent="0.2">
      <c r="L4572" s="4">
        <v>4566</v>
      </c>
      <c r="M4572" s="21">
        <v>-358580.51050899096</v>
      </c>
    </row>
    <row r="4573" spans="12:13" x14ac:dyDescent="0.2">
      <c r="L4573" s="4">
        <v>4567</v>
      </c>
      <c r="M4573" s="21">
        <v>-153466.4480255995</v>
      </c>
    </row>
    <row r="4574" spans="12:13" x14ac:dyDescent="0.2">
      <c r="L4574" s="4">
        <v>4568</v>
      </c>
      <c r="M4574" s="21">
        <v>148674.79624629978</v>
      </c>
    </row>
    <row r="4575" spans="12:13" x14ac:dyDescent="0.2">
      <c r="L4575" s="4">
        <v>4569</v>
      </c>
      <c r="M4575" s="21">
        <v>30985.362605899136</v>
      </c>
    </row>
    <row r="4576" spans="12:13" x14ac:dyDescent="0.2">
      <c r="L4576" s="4">
        <v>4570</v>
      </c>
      <c r="M4576" s="21">
        <v>-357787.1603779741</v>
      </c>
    </row>
    <row r="4577" spans="12:13" x14ac:dyDescent="0.2">
      <c r="L4577" s="4">
        <v>4571</v>
      </c>
      <c r="M4577" s="21">
        <v>43386.077582876693</v>
      </c>
    </row>
    <row r="4578" spans="12:13" x14ac:dyDescent="0.2">
      <c r="L4578" s="4">
        <v>4572</v>
      </c>
      <c r="M4578" s="21">
        <v>-49339.531968361916</v>
      </c>
    </row>
    <row r="4579" spans="12:13" x14ac:dyDescent="0.2">
      <c r="L4579" s="4">
        <v>4573</v>
      </c>
      <c r="M4579" s="21">
        <v>-154758.99098022262</v>
      </c>
    </row>
    <row r="4580" spans="12:13" x14ac:dyDescent="0.2">
      <c r="L4580" s="4">
        <v>4574</v>
      </c>
      <c r="M4580" s="21">
        <v>122597.82005766503</v>
      </c>
    </row>
    <row r="4581" spans="12:13" x14ac:dyDescent="0.2">
      <c r="L4581" s="4">
        <v>4575</v>
      </c>
      <c r="M4581" s="21">
        <v>-180128.19936617801</v>
      </c>
    </row>
    <row r="4582" spans="12:13" x14ac:dyDescent="0.2">
      <c r="L4582" s="4">
        <v>4576</v>
      </c>
      <c r="M4582" s="21">
        <v>314668.61768880847</v>
      </c>
    </row>
    <row r="4583" spans="12:13" x14ac:dyDescent="0.2">
      <c r="L4583" s="4">
        <v>4577</v>
      </c>
      <c r="M4583" s="21">
        <v>-321039.61812885536</v>
      </c>
    </row>
    <row r="4584" spans="12:13" x14ac:dyDescent="0.2">
      <c r="L4584" s="4">
        <v>4578</v>
      </c>
      <c r="M4584" s="21">
        <v>-568686.41848248895</v>
      </c>
    </row>
    <row r="4585" spans="12:13" x14ac:dyDescent="0.2">
      <c r="L4585" s="4">
        <v>4579</v>
      </c>
      <c r="M4585" s="21">
        <v>309826.63356964733</v>
      </c>
    </row>
    <row r="4586" spans="12:13" x14ac:dyDescent="0.2">
      <c r="L4586" s="4">
        <v>4580</v>
      </c>
      <c r="M4586" s="21">
        <v>-671.06985726188577</v>
      </c>
    </row>
    <row r="4587" spans="12:13" x14ac:dyDescent="0.2">
      <c r="L4587" s="4">
        <v>4581</v>
      </c>
      <c r="M4587" s="21">
        <v>-138697.61848196405</v>
      </c>
    </row>
    <row r="4588" spans="12:13" x14ac:dyDescent="0.2">
      <c r="L4588" s="4">
        <v>4582</v>
      </c>
      <c r="M4588" s="21">
        <v>179466.42399729523</v>
      </c>
    </row>
    <row r="4589" spans="12:13" x14ac:dyDescent="0.2">
      <c r="L4589" s="4">
        <v>4583</v>
      </c>
      <c r="M4589" s="21">
        <v>-278506.29162745556</v>
      </c>
    </row>
    <row r="4590" spans="12:13" x14ac:dyDescent="0.2">
      <c r="L4590" s="4">
        <v>4584</v>
      </c>
      <c r="M4590" s="21">
        <v>-211180.49780933629</v>
      </c>
    </row>
    <row r="4591" spans="12:13" x14ac:dyDescent="0.2">
      <c r="L4591" s="4">
        <v>4585</v>
      </c>
      <c r="M4591" s="21">
        <v>39551.701160916156</v>
      </c>
    </row>
    <row r="4592" spans="12:13" x14ac:dyDescent="0.2">
      <c r="L4592" s="4">
        <v>4586</v>
      </c>
      <c r="M4592" s="21">
        <v>222727.15538769492</v>
      </c>
    </row>
    <row r="4593" spans="12:13" x14ac:dyDescent="0.2">
      <c r="L4593" s="4">
        <v>4587</v>
      </c>
      <c r="M4593" s="21">
        <v>-37763.515891917792</v>
      </c>
    </row>
    <row r="4594" spans="12:13" x14ac:dyDescent="0.2">
      <c r="L4594" s="4">
        <v>4588</v>
      </c>
      <c r="M4594" s="21">
        <v>38145.036943056562</v>
      </c>
    </row>
    <row r="4595" spans="12:13" x14ac:dyDescent="0.2">
      <c r="L4595" s="4">
        <v>4589</v>
      </c>
      <c r="M4595" s="21">
        <v>-83546.371903689418</v>
      </c>
    </row>
    <row r="4596" spans="12:13" x14ac:dyDescent="0.2">
      <c r="L4596" s="4">
        <v>4590</v>
      </c>
      <c r="M4596" s="21">
        <v>50488.064973302273</v>
      </c>
    </row>
    <row r="4597" spans="12:13" x14ac:dyDescent="0.2">
      <c r="L4597" s="4">
        <v>4591</v>
      </c>
      <c r="M4597" s="21">
        <v>-3981.9580999319296</v>
      </c>
    </row>
    <row r="4598" spans="12:13" x14ac:dyDescent="0.2">
      <c r="L4598" s="4">
        <v>4592</v>
      </c>
      <c r="M4598" s="21">
        <v>-30970.314411706422</v>
      </c>
    </row>
    <row r="4599" spans="12:13" x14ac:dyDescent="0.2">
      <c r="L4599" s="4">
        <v>4593</v>
      </c>
      <c r="M4599" s="21">
        <v>27599.412335854315</v>
      </c>
    </row>
    <row r="4600" spans="12:13" x14ac:dyDescent="0.2">
      <c r="L4600" s="4">
        <v>4594</v>
      </c>
      <c r="M4600" s="21">
        <v>399985.58044697304</v>
      </c>
    </row>
    <row r="4601" spans="12:13" x14ac:dyDescent="0.2">
      <c r="L4601" s="4">
        <v>4595</v>
      </c>
      <c r="M4601" s="21">
        <v>-256939.82269422451</v>
      </c>
    </row>
    <row r="4602" spans="12:13" x14ac:dyDescent="0.2">
      <c r="L4602" s="4">
        <v>4596</v>
      </c>
      <c r="M4602" s="21">
        <v>279607.72585149156</v>
      </c>
    </row>
    <row r="4603" spans="12:13" x14ac:dyDescent="0.2">
      <c r="L4603" s="4">
        <v>4597</v>
      </c>
      <c r="M4603" s="21">
        <v>-149153.67825537626</v>
      </c>
    </row>
    <row r="4604" spans="12:13" x14ac:dyDescent="0.2">
      <c r="L4604" s="4">
        <v>4598</v>
      </c>
      <c r="M4604" s="21">
        <v>220278.84033120546</v>
      </c>
    </row>
    <row r="4605" spans="12:13" x14ac:dyDescent="0.2">
      <c r="L4605" s="4">
        <v>4599</v>
      </c>
      <c r="M4605" s="21">
        <v>-73352.474278411508</v>
      </c>
    </row>
    <row r="4606" spans="12:13" x14ac:dyDescent="0.2">
      <c r="L4606" s="4">
        <v>4600</v>
      </c>
      <c r="M4606" s="21">
        <v>19393.557705190382</v>
      </c>
    </row>
    <row r="4607" spans="12:13" x14ac:dyDescent="0.2">
      <c r="L4607" s="4">
        <v>4601</v>
      </c>
      <c r="M4607" s="21">
        <v>29231.322027457092</v>
      </c>
    </row>
    <row r="4608" spans="12:13" x14ac:dyDescent="0.2">
      <c r="L4608" s="4">
        <v>4602</v>
      </c>
      <c r="M4608" s="21">
        <v>-61462.952513644996</v>
      </c>
    </row>
    <row r="4609" spans="12:13" x14ac:dyDescent="0.2">
      <c r="L4609" s="4">
        <v>4603</v>
      </c>
      <c r="M4609" s="21">
        <v>118420.13566951203</v>
      </c>
    </row>
    <row r="4610" spans="12:13" x14ac:dyDescent="0.2">
      <c r="L4610" s="4">
        <v>4604</v>
      </c>
      <c r="M4610" s="21">
        <v>-196149.1921241802</v>
      </c>
    </row>
    <row r="4611" spans="12:13" x14ac:dyDescent="0.2">
      <c r="L4611" s="4">
        <v>4605</v>
      </c>
      <c r="M4611" s="21">
        <v>386801.30831892806</v>
      </c>
    </row>
    <row r="4612" spans="12:13" x14ac:dyDescent="0.2">
      <c r="L4612" s="4">
        <v>4606</v>
      </c>
      <c r="M4612" s="21">
        <v>707562.39331072289</v>
      </c>
    </row>
    <row r="4613" spans="12:13" x14ac:dyDescent="0.2">
      <c r="L4613" s="4">
        <v>4607</v>
      </c>
      <c r="M4613" s="21">
        <v>-20433.325352431042</v>
      </c>
    </row>
    <row r="4614" spans="12:13" x14ac:dyDescent="0.2">
      <c r="L4614" s="4">
        <v>4608</v>
      </c>
      <c r="M4614" s="21">
        <v>63563.670472966769</v>
      </c>
    </row>
    <row r="4615" spans="12:13" x14ac:dyDescent="0.2">
      <c r="L4615" s="4">
        <v>4609</v>
      </c>
      <c r="M4615" s="21">
        <v>210641.00084255304</v>
      </c>
    </row>
    <row r="4616" spans="12:13" x14ac:dyDescent="0.2">
      <c r="L4616" s="4">
        <v>4610</v>
      </c>
      <c r="M4616" s="21">
        <v>-24510.105693068777</v>
      </c>
    </row>
    <row r="4617" spans="12:13" x14ac:dyDescent="0.2">
      <c r="L4617" s="4">
        <v>4611</v>
      </c>
      <c r="M4617" s="21">
        <v>318014.60292877583</v>
      </c>
    </row>
    <row r="4618" spans="12:13" x14ac:dyDescent="0.2">
      <c r="L4618" s="4">
        <v>4612</v>
      </c>
      <c r="M4618" s="21">
        <v>4686.2279064891045</v>
      </c>
    </row>
    <row r="4619" spans="12:13" x14ac:dyDescent="0.2">
      <c r="L4619" s="4">
        <v>4613</v>
      </c>
      <c r="M4619" s="21">
        <v>-121179.29163289955</v>
      </c>
    </row>
    <row r="4620" spans="12:13" x14ac:dyDescent="0.2">
      <c r="L4620" s="4">
        <v>4614</v>
      </c>
      <c r="M4620" s="21">
        <v>300390.25180529593</v>
      </c>
    </row>
    <row r="4621" spans="12:13" x14ac:dyDescent="0.2">
      <c r="L4621" s="4">
        <v>4615</v>
      </c>
      <c r="M4621" s="21">
        <v>469131.65770637651</v>
      </c>
    </row>
    <row r="4622" spans="12:13" x14ac:dyDescent="0.2">
      <c r="L4622" s="4">
        <v>4616</v>
      </c>
      <c r="M4622" s="21">
        <v>-183973.48942362546</v>
      </c>
    </row>
    <row r="4623" spans="12:13" x14ac:dyDescent="0.2">
      <c r="L4623" s="4">
        <v>4617</v>
      </c>
      <c r="M4623" s="21">
        <v>171961.33295850895</v>
      </c>
    </row>
    <row r="4624" spans="12:13" x14ac:dyDescent="0.2">
      <c r="L4624" s="4">
        <v>4618</v>
      </c>
      <c r="M4624" s="21">
        <v>105222.68228737483</v>
      </c>
    </row>
    <row r="4625" spans="12:13" x14ac:dyDescent="0.2">
      <c r="L4625" s="4">
        <v>4619</v>
      </c>
      <c r="M4625" s="21">
        <v>206570.35404539641</v>
      </c>
    </row>
    <row r="4626" spans="12:13" x14ac:dyDescent="0.2">
      <c r="L4626" s="4">
        <v>4620</v>
      </c>
      <c r="M4626" s="21">
        <v>81547.347932509991</v>
      </c>
    </row>
    <row r="4627" spans="12:13" x14ac:dyDescent="0.2">
      <c r="L4627" s="4">
        <v>4621</v>
      </c>
      <c r="M4627" s="21">
        <v>-171778.07068568206</v>
      </c>
    </row>
    <row r="4628" spans="12:13" x14ac:dyDescent="0.2">
      <c r="L4628" s="4">
        <v>4622</v>
      </c>
      <c r="M4628" s="21">
        <v>-818.36124182923231</v>
      </c>
    </row>
    <row r="4629" spans="12:13" x14ac:dyDescent="0.2">
      <c r="L4629" s="4">
        <v>4623</v>
      </c>
      <c r="M4629" s="21">
        <v>-269036.99965610454</v>
      </c>
    </row>
    <row r="4630" spans="12:13" x14ac:dyDescent="0.2">
      <c r="L4630" s="4">
        <v>4624</v>
      </c>
      <c r="M4630" s="21">
        <v>104924.33757912097</v>
      </c>
    </row>
    <row r="4631" spans="12:13" x14ac:dyDescent="0.2">
      <c r="L4631" s="4">
        <v>4625</v>
      </c>
      <c r="M4631" s="21">
        <v>-50041.114473109192</v>
      </c>
    </row>
    <row r="4632" spans="12:13" x14ac:dyDescent="0.2">
      <c r="L4632" s="4">
        <v>4626</v>
      </c>
      <c r="M4632" s="21">
        <v>-40252.639775447315</v>
      </c>
    </row>
    <row r="4633" spans="12:13" x14ac:dyDescent="0.2">
      <c r="L4633" s="4">
        <v>4627</v>
      </c>
      <c r="M4633" s="21">
        <v>-317310.79577268858</v>
      </c>
    </row>
    <row r="4634" spans="12:13" x14ac:dyDescent="0.2">
      <c r="L4634" s="4">
        <v>4628</v>
      </c>
      <c r="M4634" s="21">
        <v>-183186.97408699658</v>
      </c>
    </row>
    <row r="4635" spans="12:13" x14ac:dyDescent="0.2">
      <c r="L4635" s="4">
        <v>4629</v>
      </c>
      <c r="M4635" s="21">
        <v>427732.77008915902</v>
      </c>
    </row>
    <row r="4636" spans="12:13" x14ac:dyDescent="0.2">
      <c r="L4636" s="4">
        <v>4630</v>
      </c>
      <c r="M4636" s="21">
        <v>-540231.32872837444</v>
      </c>
    </row>
    <row r="4637" spans="12:13" x14ac:dyDescent="0.2">
      <c r="L4637" s="4">
        <v>4631</v>
      </c>
      <c r="M4637" s="21">
        <v>203527.22592728463</v>
      </c>
    </row>
    <row r="4638" spans="12:13" x14ac:dyDescent="0.2">
      <c r="L4638" s="4">
        <v>4632</v>
      </c>
      <c r="M4638" s="21">
        <v>23230.707746665023</v>
      </c>
    </row>
    <row r="4639" spans="12:13" x14ac:dyDescent="0.2">
      <c r="L4639" s="4">
        <v>4633</v>
      </c>
      <c r="M4639" s="21">
        <v>20781.457174793963</v>
      </c>
    </row>
    <row r="4640" spans="12:13" x14ac:dyDescent="0.2">
      <c r="L4640" s="4">
        <v>4634</v>
      </c>
      <c r="M4640" s="21">
        <v>-71958.322208229321</v>
      </c>
    </row>
    <row r="4641" spans="12:13" x14ac:dyDescent="0.2">
      <c r="L4641" s="4">
        <v>4635</v>
      </c>
      <c r="M4641" s="21">
        <v>-232824.50754623051</v>
      </c>
    </row>
    <row r="4642" spans="12:13" x14ac:dyDescent="0.2">
      <c r="L4642" s="4">
        <v>4636</v>
      </c>
      <c r="M4642" s="21">
        <v>51664.318804517941</v>
      </c>
    </row>
    <row r="4643" spans="12:13" x14ac:dyDescent="0.2">
      <c r="L4643" s="4">
        <v>4637</v>
      </c>
      <c r="M4643" s="21">
        <v>117978.41984718386</v>
      </c>
    </row>
    <row r="4644" spans="12:13" x14ac:dyDescent="0.2">
      <c r="L4644" s="4">
        <v>4638</v>
      </c>
      <c r="M4644" s="21">
        <v>-450880.90961852961</v>
      </c>
    </row>
    <row r="4645" spans="12:13" x14ac:dyDescent="0.2">
      <c r="L4645" s="4">
        <v>4639</v>
      </c>
      <c r="M4645" s="21">
        <v>379750.94841044128</v>
      </c>
    </row>
    <row r="4646" spans="12:13" x14ac:dyDescent="0.2">
      <c r="L4646" s="4">
        <v>4640</v>
      </c>
      <c r="M4646" s="21">
        <v>-235091.85521357908</v>
      </c>
    </row>
    <row r="4647" spans="12:13" x14ac:dyDescent="0.2">
      <c r="L4647" s="4">
        <v>4641</v>
      </c>
      <c r="M4647" s="21">
        <v>-460733.45140944357</v>
      </c>
    </row>
    <row r="4648" spans="12:13" x14ac:dyDescent="0.2">
      <c r="L4648" s="4">
        <v>4642</v>
      </c>
      <c r="M4648" s="21">
        <v>-193028.25577878789</v>
      </c>
    </row>
    <row r="4649" spans="12:13" x14ac:dyDescent="0.2">
      <c r="L4649" s="4">
        <v>4643</v>
      </c>
      <c r="M4649" s="21">
        <v>-262507.65481271147</v>
      </c>
    </row>
    <row r="4650" spans="12:13" x14ac:dyDescent="0.2">
      <c r="L4650" s="4">
        <v>4644</v>
      </c>
      <c r="M4650" s="21">
        <v>26431.758683666732</v>
      </c>
    </row>
    <row r="4651" spans="12:13" x14ac:dyDescent="0.2">
      <c r="L4651" s="4">
        <v>4645</v>
      </c>
      <c r="M4651" s="21">
        <v>-105220.56998984977</v>
      </c>
    </row>
    <row r="4652" spans="12:13" x14ac:dyDescent="0.2">
      <c r="L4652" s="4">
        <v>4646</v>
      </c>
      <c r="M4652" s="21">
        <v>67395.11072430358</v>
      </c>
    </row>
    <row r="4653" spans="12:13" x14ac:dyDescent="0.2">
      <c r="L4653" s="4">
        <v>4647</v>
      </c>
      <c r="M4653" s="21">
        <v>206367.33894419021</v>
      </c>
    </row>
    <row r="4654" spans="12:13" x14ac:dyDescent="0.2">
      <c r="L4654" s="4">
        <v>4648</v>
      </c>
      <c r="M4654" s="21">
        <v>-198009.39484349245</v>
      </c>
    </row>
    <row r="4655" spans="12:13" x14ac:dyDescent="0.2">
      <c r="L4655" s="4">
        <v>4649</v>
      </c>
      <c r="M4655" s="21">
        <v>420405.88730701385</v>
      </c>
    </row>
    <row r="4656" spans="12:13" x14ac:dyDescent="0.2">
      <c r="L4656" s="4">
        <v>4650</v>
      </c>
      <c r="M4656" s="21">
        <v>35432.579619456752</v>
      </c>
    </row>
    <row r="4657" spans="12:13" x14ac:dyDescent="0.2">
      <c r="L4657" s="4">
        <v>4651</v>
      </c>
      <c r="M4657" s="21">
        <v>83481.373619269085</v>
      </c>
    </row>
    <row r="4658" spans="12:13" x14ac:dyDescent="0.2">
      <c r="L4658" s="4">
        <v>4652</v>
      </c>
      <c r="M4658" s="21">
        <v>287314.11780546501</v>
      </c>
    </row>
    <row r="4659" spans="12:13" x14ac:dyDescent="0.2">
      <c r="L4659" s="4">
        <v>4653</v>
      </c>
      <c r="M4659" s="21">
        <v>12638.790216991154</v>
      </c>
    </row>
    <row r="4660" spans="12:13" x14ac:dyDescent="0.2">
      <c r="L4660" s="4">
        <v>4654</v>
      </c>
      <c r="M4660" s="21">
        <v>-139377.97498267842</v>
      </c>
    </row>
    <row r="4661" spans="12:13" x14ac:dyDescent="0.2">
      <c r="L4661" s="4">
        <v>4655</v>
      </c>
      <c r="M4661" s="21">
        <v>155667.98357236673</v>
      </c>
    </row>
    <row r="4662" spans="12:13" x14ac:dyDescent="0.2">
      <c r="L4662" s="4">
        <v>4656</v>
      </c>
      <c r="M4662" s="21">
        <v>-39409.121864065877</v>
      </c>
    </row>
    <row r="4663" spans="12:13" x14ac:dyDescent="0.2">
      <c r="L4663" s="4">
        <v>4657</v>
      </c>
      <c r="M4663" s="21">
        <v>7093.9635530170344</v>
      </c>
    </row>
    <row r="4664" spans="12:13" x14ac:dyDescent="0.2">
      <c r="L4664" s="4">
        <v>4658</v>
      </c>
      <c r="M4664" s="21">
        <v>130069.46502595537</v>
      </c>
    </row>
    <row r="4665" spans="12:13" x14ac:dyDescent="0.2">
      <c r="L4665" s="4">
        <v>4659</v>
      </c>
      <c r="M4665" s="21">
        <v>7395.0834947441472</v>
      </c>
    </row>
    <row r="4666" spans="12:13" x14ac:dyDescent="0.2">
      <c r="L4666" s="4">
        <v>4660</v>
      </c>
      <c r="M4666" s="21">
        <v>-428702.13233623531</v>
      </c>
    </row>
    <row r="4667" spans="12:13" x14ac:dyDescent="0.2">
      <c r="L4667" s="4">
        <v>4661</v>
      </c>
      <c r="M4667" s="21">
        <v>-380986.04634691274</v>
      </c>
    </row>
    <row r="4668" spans="12:13" x14ac:dyDescent="0.2">
      <c r="L4668" s="4">
        <v>4662</v>
      </c>
      <c r="M4668" s="21">
        <v>52768.938066844363</v>
      </c>
    </row>
    <row r="4669" spans="12:13" x14ac:dyDescent="0.2">
      <c r="L4669" s="4">
        <v>4663</v>
      </c>
      <c r="M4669" s="21">
        <v>-245713.43749461827</v>
      </c>
    </row>
    <row r="4670" spans="12:13" x14ac:dyDescent="0.2">
      <c r="L4670" s="4">
        <v>4664</v>
      </c>
      <c r="M4670" s="21">
        <v>104929.30549313707</v>
      </c>
    </row>
    <row r="4671" spans="12:13" x14ac:dyDescent="0.2">
      <c r="L4671" s="4">
        <v>4665</v>
      </c>
      <c r="M4671" s="21">
        <v>117173.37576112463</v>
      </c>
    </row>
    <row r="4672" spans="12:13" x14ac:dyDescent="0.2">
      <c r="L4672" s="4">
        <v>4666</v>
      </c>
      <c r="M4672" s="21">
        <v>-458895.31469082326</v>
      </c>
    </row>
    <row r="4673" spans="12:13" x14ac:dyDescent="0.2">
      <c r="L4673" s="4">
        <v>4667</v>
      </c>
      <c r="M4673" s="21">
        <v>307862.31216141605</v>
      </c>
    </row>
    <row r="4674" spans="12:13" x14ac:dyDescent="0.2">
      <c r="L4674" s="4">
        <v>4668</v>
      </c>
      <c r="M4674" s="21">
        <v>27238.931001878285</v>
      </c>
    </row>
    <row r="4675" spans="12:13" x14ac:dyDescent="0.2">
      <c r="L4675" s="4">
        <v>4669</v>
      </c>
      <c r="M4675" s="21">
        <v>-60944.24338556845</v>
      </c>
    </row>
    <row r="4676" spans="12:13" x14ac:dyDescent="0.2">
      <c r="L4676" s="4">
        <v>4670</v>
      </c>
      <c r="M4676" s="21">
        <v>277203.58510922652</v>
      </c>
    </row>
    <row r="4677" spans="12:13" x14ac:dyDescent="0.2">
      <c r="L4677" s="4">
        <v>4671</v>
      </c>
      <c r="M4677" s="21">
        <v>182126.30623529918</v>
      </c>
    </row>
    <row r="4678" spans="12:13" x14ac:dyDescent="0.2">
      <c r="L4678" s="4">
        <v>4672</v>
      </c>
      <c r="M4678" s="21">
        <v>-335431.68528621906</v>
      </c>
    </row>
    <row r="4679" spans="12:13" x14ac:dyDescent="0.2">
      <c r="L4679" s="4">
        <v>4673</v>
      </c>
      <c r="M4679" s="21">
        <v>333466.31759627501</v>
      </c>
    </row>
    <row r="4680" spans="12:13" x14ac:dyDescent="0.2">
      <c r="L4680" s="4">
        <v>4674</v>
      </c>
      <c r="M4680" s="21">
        <v>187127.72013122862</v>
      </c>
    </row>
    <row r="4681" spans="12:13" x14ac:dyDescent="0.2">
      <c r="L4681" s="4">
        <v>4675</v>
      </c>
      <c r="M4681" s="21">
        <v>266268.49734344881</v>
      </c>
    </row>
    <row r="4682" spans="12:13" x14ac:dyDescent="0.2">
      <c r="L4682" s="4">
        <v>4676</v>
      </c>
      <c r="M4682" s="21">
        <v>166.65265303374326</v>
      </c>
    </row>
    <row r="4683" spans="12:13" x14ac:dyDescent="0.2">
      <c r="L4683" s="4">
        <v>4677</v>
      </c>
      <c r="M4683" s="21">
        <v>130235.76808608693</v>
      </c>
    </row>
    <row r="4684" spans="12:13" x14ac:dyDescent="0.2">
      <c r="L4684" s="4">
        <v>4678</v>
      </c>
      <c r="M4684" s="21">
        <v>36264.375867247145</v>
      </c>
    </row>
    <row r="4685" spans="12:13" x14ac:dyDescent="0.2">
      <c r="L4685" s="4">
        <v>4679</v>
      </c>
      <c r="M4685" s="21">
        <v>-124616.47948895517</v>
      </c>
    </row>
    <row r="4686" spans="12:13" x14ac:dyDescent="0.2">
      <c r="L4686" s="4">
        <v>4680</v>
      </c>
      <c r="M4686" s="21">
        <v>-77839.761350684261</v>
      </c>
    </row>
    <row r="4687" spans="12:13" x14ac:dyDescent="0.2">
      <c r="L4687" s="4">
        <v>4681</v>
      </c>
      <c r="M4687" s="21">
        <v>-128055.03747871896</v>
      </c>
    </row>
    <row r="4688" spans="12:13" x14ac:dyDescent="0.2">
      <c r="L4688" s="4">
        <v>4682</v>
      </c>
      <c r="M4688" s="21">
        <v>-429992.13225383247</v>
      </c>
    </row>
    <row r="4689" spans="12:13" x14ac:dyDescent="0.2">
      <c r="L4689" s="4">
        <v>4683</v>
      </c>
      <c r="M4689" s="21">
        <v>168436.23683485287</v>
      </c>
    </row>
    <row r="4690" spans="12:13" x14ac:dyDescent="0.2">
      <c r="L4690" s="4">
        <v>4684</v>
      </c>
      <c r="M4690" s="21">
        <v>109432.66445917409</v>
      </c>
    </row>
    <row r="4691" spans="12:13" x14ac:dyDescent="0.2">
      <c r="L4691" s="4">
        <v>4685</v>
      </c>
      <c r="M4691" s="21">
        <v>2543.0530822245928</v>
      </c>
    </row>
    <row r="4692" spans="12:13" x14ac:dyDescent="0.2">
      <c r="L4692" s="4">
        <v>4686</v>
      </c>
      <c r="M4692" s="21">
        <v>276078.47198555223</v>
      </c>
    </row>
    <row r="4693" spans="12:13" x14ac:dyDescent="0.2">
      <c r="L4693" s="4">
        <v>4687</v>
      </c>
      <c r="M4693" s="21">
        <v>-217272.48556521244</v>
      </c>
    </row>
    <row r="4694" spans="12:13" x14ac:dyDescent="0.2">
      <c r="L4694" s="4">
        <v>4688</v>
      </c>
      <c r="M4694" s="21">
        <v>266441.70902005711</v>
      </c>
    </row>
    <row r="4695" spans="12:13" x14ac:dyDescent="0.2">
      <c r="L4695" s="4">
        <v>4689</v>
      </c>
      <c r="M4695" s="21">
        <v>37403.279979364859</v>
      </c>
    </row>
    <row r="4696" spans="12:13" x14ac:dyDescent="0.2">
      <c r="L4696" s="4">
        <v>4690</v>
      </c>
      <c r="M4696" s="21">
        <v>15186.906603905314</v>
      </c>
    </row>
    <row r="4697" spans="12:13" x14ac:dyDescent="0.2">
      <c r="L4697" s="4">
        <v>4691</v>
      </c>
      <c r="M4697" s="21">
        <v>103245.73760497328</v>
      </c>
    </row>
    <row r="4698" spans="12:13" x14ac:dyDescent="0.2">
      <c r="L4698" s="4">
        <v>4692</v>
      </c>
      <c r="M4698" s="21">
        <v>71369.504664557433</v>
      </c>
    </row>
    <row r="4699" spans="12:13" x14ac:dyDescent="0.2">
      <c r="L4699" s="4">
        <v>4693</v>
      </c>
      <c r="M4699" s="21">
        <v>54417.891430896329</v>
      </c>
    </row>
    <row r="4700" spans="12:13" x14ac:dyDescent="0.2">
      <c r="L4700" s="4">
        <v>4694</v>
      </c>
      <c r="M4700" s="21">
        <v>-152210.56086045282</v>
      </c>
    </row>
    <row r="4701" spans="12:13" x14ac:dyDescent="0.2">
      <c r="L4701" s="4">
        <v>4695</v>
      </c>
      <c r="M4701" s="21">
        <v>179012.96482250825</v>
      </c>
    </row>
    <row r="4702" spans="12:13" x14ac:dyDescent="0.2">
      <c r="L4702" s="4">
        <v>4696</v>
      </c>
      <c r="M4702" s="21">
        <v>-4355.6106410967768</v>
      </c>
    </row>
    <row r="4703" spans="12:13" x14ac:dyDescent="0.2">
      <c r="L4703" s="4">
        <v>4697</v>
      </c>
      <c r="M4703" s="21">
        <v>269701.76385747688</v>
      </c>
    </row>
    <row r="4704" spans="12:13" x14ac:dyDescent="0.2">
      <c r="L4704" s="4">
        <v>4698</v>
      </c>
      <c r="M4704" s="21">
        <v>211523.38380661656</v>
      </c>
    </row>
    <row r="4705" spans="12:13" x14ac:dyDescent="0.2">
      <c r="L4705" s="4">
        <v>4699</v>
      </c>
      <c r="M4705" s="21">
        <v>2236.6371265503112</v>
      </c>
    </row>
    <row r="4706" spans="12:13" x14ac:dyDescent="0.2">
      <c r="L4706" s="4">
        <v>4700</v>
      </c>
      <c r="M4706" s="21">
        <v>-201774.79925471399</v>
      </c>
    </row>
    <row r="4707" spans="12:13" x14ac:dyDescent="0.2">
      <c r="L4707" s="4">
        <v>4701</v>
      </c>
      <c r="M4707" s="21">
        <v>232978.23529456661</v>
      </c>
    </row>
    <row r="4708" spans="12:13" x14ac:dyDescent="0.2">
      <c r="L4708" s="4">
        <v>4702</v>
      </c>
      <c r="M4708" s="21">
        <v>131277.13083647939</v>
      </c>
    </row>
    <row r="4709" spans="12:13" x14ac:dyDescent="0.2">
      <c r="L4709" s="4">
        <v>4703</v>
      </c>
      <c r="M4709" s="21">
        <v>-41227.611681599155</v>
      </c>
    </row>
    <row r="4710" spans="12:13" x14ac:dyDescent="0.2">
      <c r="L4710" s="4">
        <v>4704</v>
      </c>
      <c r="M4710" s="21">
        <v>212819.85041907261</v>
      </c>
    </row>
    <row r="4711" spans="12:13" x14ac:dyDescent="0.2">
      <c r="L4711" s="4">
        <v>4705</v>
      </c>
      <c r="M4711" s="21">
        <v>-49010.857795204458</v>
      </c>
    </row>
    <row r="4712" spans="12:13" x14ac:dyDescent="0.2">
      <c r="L4712" s="4">
        <v>4706</v>
      </c>
      <c r="M4712" s="21">
        <v>-332205.34230195836</v>
      </c>
    </row>
    <row r="4713" spans="12:13" x14ac:dyDescent="0.2">
      <c r="L4713" s="4">
        <v>4707</v>
      </c>
      <c r="M4713" s="21">
        <v>-135360.03834519707</v>
      </c>
    </row>
    <row r="4714" spans="12:13" x14ac:dyDescent="0.2">
      <c r="L4714" s="4">
        <v>4708</v>
      </c>
      <c r="M4714" s="21">
        <v>126657.44451712212</v>
      </c>
    </row>
    <row r="4715" spans="12:13" x14ac:dyDescent="0.2">
      <c r="L4715" s="4">
        <v>4709</v>
      </c>
      <c r="M4715" s="21">
        <v>55266.313500871765</v>
      </c>
    </row>
    <row r="4716" spans="12:13" x14ac:dyDescent="0.2">
      <c r="L4716" s="4">
        <v>4710</v>
      </c>
      <c r="M4716" s="21">
        <v>26710.650934692967</v>
      </c>
    </row>
    <row r="4717" spans="12:13" x14ac:dyDescent="0.2">
      <c r="L4717" s="4">
        <v>4711</v>
      </c>
      <c r="M4717" s="21">
        <v>-152006.44603502977</v>
      </c>
    </row>
    <row r="4718" spans="12:13" x14ac:dyDescent="0.2">
      <c r="L4718" s="4">
        <v>4712</v>
      </c>
      <c r="M4718" s="21">
        <v>-234676.5946599569</v>
      </c>
    </row>
    <row r="4719" spans="12:13" x14ac:dyDescent="0.2">
      <c r="L4719" s="4">
        <v>4713</v>
      </c>
      <c r="M4719" s="21">
        <v>51656.805121463636</v>
      </c>
    </row>
    <row r="4720" spans="12:13" x14ac:dyDescent="0.2">
      <c r="L4720" s="4">
        <v>4714</v>
      </c>
      <c r="M4720" s="21">
        <v>-295978.81663647183</v>
      </c>
    </row>
    <row r="4721" spans="12:13" x14ac:dyDescent="0.2">
      <c r="L4721" s="4">
        <v>4715</v>
      </c>
      <c r="M4721" s="21">
        <v>251304.30078584232</v>
      </c>
    </row>
    <row r="4722" spans="12:13" x14ac:dyDescent="0.2">
      <c r="L4722" s="4">
        <v>4716</v>
      </c>
      <c r="M4722" s="21">
        <v>-26853.575421699294</v>
      </c>
    </row>
    <row r="4723" spans="12:13" x14ac:dyDescent="0.2">
      <c r="L4723" s="4">
        <v>4717</v>
      </c>
      <c r="M4723" s="21">
        <v>-24878.295092321001</v>
      </c>
    </row>
    <row r="4724" spans="12:13" x14ac:dyDescent="0.2">
      <c r="L4724" s="4">
        <v>4718</v>
      </c>
      <c r="M4724" s="21">
        <v>11561.802162538545</v>
      </c>
    </row>
    <row r="4725" spans="12:13" x14ac:dyDescent="0.2">
      <c r="L4725" s="4">
        <v>4719</v>
      </c>
      <c r="M4725" s="21">
        <v>-52620.812465705603</v>
      </c>
    </row>
    <row r="4726" spans="12:13" x14ac:dyDescent="0.2">
      <c r="L4726" s="4">
        <v>4720</v>
      </c>
      <c r="M4726" s="21">
        <v>274023.24427050655</v>
      </c>
    </row>
    <row r="4727" spans="12:13" x14ac:dyDescent="0.2">
      <c r="L4727" s="4">
        <v>4721</v>
      </c>
      <c r="M4727" s="21">
        <v>880.51836873707362</v>
      </c>
    </row>
    <row r="4728" spans="12:13" x14ac:dyDescent="0.2">
      <c r="L4728" s="4">
        <v>4722</v>
      </c>
      <c r="M4728" s="21">
        <v>471109.10723292746</v>
      </c>
    </row>
    <row r="4729" spans="12:13" x14ac:dyDescent="0.2">
      <c r="L4729" s="4">
        <v>4723</v>
      </c>
      <c r="M4729" s="21">
        <v>-440060.43907483638</v>
      </c>
    </row>
    <row r="4730" spans="12:13" x14ac:dyDescent="0.2">
      <c r="L4730" s="4">
        <v>4724</v>
      </c>
      <c r="M4730" s="21">
        <v>45305.943434824614</v>
      </c>
    </row>
    <row r="4731" spans="12:13" x14ac:dyDescent="0.2">
      <c r="L4731" s="4">
        <v>4725</v>
      </c>
      <c r="M4731" s="21">
        <v>135559.70126598544</v>
      </c>
    </row>
    <row r="4732" spans="12:13" x14ac:dyDescent="0.2">
      <c r="L4732" s="4">
        <v>4726</v>
      </c>
      <c r="M4732" s="21">
        <v>-81870.532220994457</v>
      </c>
    </row>
    <row r="4733" spans="12:13" x14ac:dyDescent="0.2">
      <c r="L4733" s="4">
        <v>4727</v>
      </c>
      <c r="M4733" s="21">
        <v>-14666.600457680077</v>
      </c>
    </row>
    <row r="4734" spans="12:13" x14ac:dyDescent="0.2">
      <c r="L4734" s="4">
        <v>4728</v>
      </c>
      <c r="M4734" s="21">
        <v>-186547.9403400083</v>
      </c>
    </row>
    <row r="4735" spans="12:13" x14ac:dyDescent="0.2">
      <c r="L4735" s="4">
        <v>4729</v>
      </c>
      <c r="M4735" s="21">
        <v>98505.415211080079</v>
      </c>
    </row>
    <row r="4736" spans="12:13" x14ac:dyDescent="0.2">
      <c r="L4736" s="4">
        <v>4730</v>
      </c>
      <c r="M4736" s="21">
        <v>339542.10144041089</v>
      </c>
    </row>
    <row r="4737" spans="12:13" x14ac:dyDescent="0.2">
      <c r="L4737" s="4">
        <v>4731</v>
      </c>
      <c r="M4737" s="21">
        <v>-360885.20352908247</v>
      </c>
    </row>
    <row r="4738" spans="12:13" x14ac:dyDescent="0.2">
      <c r="L4738" s="4">
        <v>4732</v>
      </c>
      <c r="M4738" s="21">
        <v>33529.336016082641</v>
      </c>
    </row>
    <row r="4739" spans="12:13" x14ac:dyDescent="0.2">
      <c r="L4739" s="4">
        <v>4733</v>
      </c>
      <c r="M4739" s="21">
        <v>274162.83654744434</v>
      </c>
    </row>
    <row r="4740" spans="12:13" x14ac:dyDescent="0.2">
      <c r="L4740" s="4">
        <v>4734</v>
      </c>
      <c r="M4740" s="21">
        <v>38523.70939720032</v>
      </c>
    </row>
    <row r="4741" spans="12:13" x14ac:dyDescent="0.2">
      <c r="L4741" s="4">
        <v>4735</v>
      </c>
      <c r="M4741" s="21">
        <v>580992.48712068144</v>
      </c>
    </row>
    <row r="4742" spans="12:13" x14ac:dyDescent="0.2">
      <c r="L4742" s="4">
        <v>4736</v>
      </c>
      <c r="M4742" s="21">
        <v>95627.730659291381</v>
      </c>
    </row>
    <row r="4743" spans="12:13" x14ac:dyDescent="0.2">
      <c r="L4743" s="4">
        <v>4737</v>
      </c>
      <c r="M4743" s="21">
        <v>-47636.200953145119</v>
      </c>
    </row>
    <row r="4744" spans="12:13" x14ac:dyDescent="0.2">
      <c r="L4744" s="4">
        <v>4738</v>
      </c>
      <c r="M4744" s="21">
        <v>185553.7116463836</v>
      </c>
    </row>
    <row r="4745" spans="12:13" x14ac:dyDescent="0.2">
      <c r="L4745" s="4">
        <v>4739</v>
      </c>
      <c r="M4745" s="21">
        <v>-153314.0292490033</v>
      </c>
    </row>
    <row r="4746" spans="12:13" x14ac:dyDescent="0.2">
      <c r="L4746" s="4">
        <v>4740</v>
      </c>
      <c r="M4746" s="21">
        <v>-184028.37536759529</v>
      </c>
    </row>
    <row r="4747" spans="12:13" x14ac:dyDescent="0.2">
      <c r="L4747" s="4">
        <v>4741</v>
      </c>
      <c r="M4747" s="21">
        <v>194483.01467142208</v>
      </c>
    </row>
    <row r="4748" spans="12:13" x14ac:dyDescent="0.2">
      <c r="L4748" s="4">
        <v>4742</v>
      </c>
      <c r="M4748" s="21">
        <v>83674.169683761051</v>
      </c>
    </row>
    <row r="4749" spans="12:13" x14ac:dyDescent="0.2">
      <c r="L4749" s="4">
        <v>4743</v>
      </c>
      <c r="M4749" s="21">
        <v>-247058.59675822093</v>
      </c>
    </row>
    <row r="4750" spans="12:13" x14ac:dyDescent="0.2">
      <c r="L4750" s="4">
        <v>4744</v>
      </c>
      <c r="M4750" s="21">
        <v>-97923.44712760461</v>
      </c>
    </row>
    <row r="4751" spans="12:13" x14ac:dyDescent="0.2">
      <c r="L4751" s="4">
        <v>4745</v>
      </c>
      <c r="M4751" s="21">
        <v>-192047.55511202302</v>
      </c>
    </row>
    <row r="4752" spans="12:13" x14ac:dyDescent="0.2">
      <c r="L4752" s="4">
        <v>4746</v>
      </c>
      <c r="M4752" s="21">
        <v>-30525.417655494661</v>
      </c>
    </row>
    <row r="4753" spans="12:13" x14ac:dyDescent="0.2">
      <c r="L4753" s="4">
        <v>4747</v>
      </c>
      <c r="M4753" s="21">
        <v>27435.683621543227</v>
      </c>
    </row>
    <row r="4754" spans="12:13" x14ac:dyDescent="0.2">
      <c r="L4754" s="4">
        <v>4748</v>
      </c>
      <c r="M4754" s="21">
        <v>-102449.74303117882</v>
      </c>
    </row>
    <row r="4755" spans="12:13" x14ac:dyDescent="0.2">
      <c r="L4755" s="4">
        <v>4749</v>
      </c>
      <c r="M4755" s="21">
        <v>45204.486719500943</v>
      </c>
    </row>
    <row r="4756" spans="12:13" x14ac:dyDescent="0.2">
      <c r="L4756" s="4">
        <v>4750</v>
      </c>
      <c r="M4756" s="21">
        <v>-387710.36904596246</v>
      </c>
    </row>
    <row r="4757" spans="12:13" x14ac:dyDescent="0.2">
      <c r="L4757" s="4">
        <v>4751</v>
      </c>
      <c r="M4757" s="21">
        <v>133235.17907549455</v>
      </c>
    </row>
    <row r="4758" spans="12:13" x14ac:dyDescent="0.2">
      <c r="L4758" s="4">
        <v>4752</v>
      </c>
      <c r="M4758" s="21">
        <v>55441.022477450315</v>
      </c>
    </row>
    <row r="4759" spans="12:13" x14ac:dyDescent="0.2">
      <c r="L4759" s="4">
        <v>4753</v>
      </c>
      <c r="M4759" s="21">
        <v>305650.03787833027</v>
      </c>
    </row>
    <row r="4760" spans="12:13" x14ac:dyDescent="0.2">
      <c r="L4760" s="4">
        <v>4754</v>
      </c>
      <c r="M4760" s="21">
        <v>75130.084233740345</v>
      </c>
    </row>
    <row r="4761" spans="12:13" x14ac:dyDescent="0.2">
      <c r="L4761" s="4">
        <v>4755</v>
      </c>
      <c r="M4761" s="21">
        <v>-334805.05539343151</v>
      </c>
    </row>
    <row r="4762" spans="12:13" x14ac:dyDescent="0.2">
      <c r="L4762" s="4">
        <v>4756</v>
      </c>
      <c r="M4762" s="21">
        <v>-182654.84228461588</v>
      </c>
    </row>
    <row r="4763" spans="12:13" x14ac:dyDescent="0.2">
      <c r="L4763" s="4">
        <v>4757</v>
      </c>
      <c r="M4763" s="21">
        <v>379908.10932258039</v>
      </c>
    </row>
    <row r="4764" spans="12:13" x14ac:dyDescent="0.2">
      <c r="L4764" s="4">
        <v>4758</v>
      </c>
      <c r="M4764" s="21">
        <v>-342821.68135766126</v>
      </c>
    </row>
    <row r="4765" spans="12:13" x14ac:dyDescent="0.2">
      <c r="L4765" s="4">
        <v>4759</v>
      </c>
      <c r="M4765" s="21">
        <v>176698.61729089898</v>
      </c>
    </row>
    <row r="4766" spans="12:13" x14ac:dyDescent="0.2">
      <c r="L4766" s="4">
        <v>4760</v>
      </c>
      <c r="M4766" s="21">
        <v>-260443.06450343315</v>
      </c>
    </row>
    <row r="4767" spans="12:13" x14ac:dyDescent="0.2">
      <c r="L4767" s="4">
        <v>4761</v>
      </c>
      <c r="M4767" s="21">
        <v>190914.00524149527</v>
      </c>
    </row>
    <row r="4768" spans="12:13" x14ac:dyDescent="0.2">
      <c r="L4768" s="4">
        <v>4762</v>
      </c>
      <c r="M4768" s="21">
        <v>-126387.9793064207</v>
      </c>
    </row>
    <row r="4769" spans="12:13" x14ac:dyDescent="0.2">
      <c r="L4769" s="4">
        <v>4763</v>
      </c>
      <c r="M4769" s="21">
        <v>176709.77451432974</v>
      </c>
    </row>
    <row r="4770" spans="12:13" x14ac:dyDescent="0.2">
      <c r="L4770" s="4">
        <v>4764</v>
      </c>
      <c r="M4770" s="21">
        <v>-13767.387085632683</v>
      </c>
    </row>
    <row r="4771" spans="12:13" x14ac:dyDescent="0.2">
      <c r="L4771" s="4">
        <v>4765</v>
      </c>
      <c r="M4771" s="21">
        <v>-30782.554238077151</v>
      </c>
    </row>
    <row r="4772" spans="12:13" x14ac:dyDescent="0.2">
      <c r="L4772" s="4">
        <v>4766</v>
      </c>
      <c r="M4772" s="21">
        <v>-53751.117381329954</v>
      </c>
    </row>
    <row r="4773" spans="12:13" x14ac:dyDescent="0.2">
      <c r="L4773" s="4">
        <v>4767</v>
      </c>
      <c r="M4773" s="21">
        <v>160968.91381710066</v>
      </c>
    </row>
    <row r="4774" spans="12:13" x14ac:dyDescent="0.2">
      <c r="L4774" s="4">
        <v>4768</v>
      </c>
      <c r="M4774" s="21">
        <v>74487.019475462672</v>
      </c>
    </row>
    <row r="4775" spans="12:13" x14ac:dyDescent="0.2">
      <c r="L4775" s="4">
        <v>4769</v>
      </c>
      <c r="M4775" s="21">
        <v>-239927.34874339757</v>
      </c>
    </row>
    <row r="4776" spans="12:13" x14ac:dyDescent="0.2">
      <c r="L4776" s="4">
        <v>4770</v>
      </c>
      <c r="M4776" s="21">
        <v>75196.538107713743</v>
      </c>
    </row>
    <row r="4777" spans="12:13" x14ac:dyDescent="0.2">
      <c r="L4777" s="4">
        <v>4771</v>
      </c>
      <c r="M4777" s="21">
        <v>-258460.53152333759</v>
      </c>
    </row>
    <row r="4778" spans="12:13" x14ac:dyDescent="0.2">
      <c r="L4778" s="4">
        <v>4772</v>
      </c>
      <c r="M4778" s="21">
        <v>-336848.51617651107</v>
      </c>
    </row>
    <row r="4779" spans="12:13" x14ac:dyDescent="0.2">
      <c r="L4779" s="4">
        <v>4773</v>
      </c>
      <c r="M4779" s="21">
        <v>47982.157546660834</v>
      </c>
    </row>
    <row r="4780" spans="12:13" x14ac:dyDescent="0.2">
      <c r="L4780" s="4">
        <v>4774</v>
      </c>
      <c r="M4780" s="21">
        <v>-300442.85866636987</v>
      </c>
    </row>
    <row r="4781" spans="12:13" x14ac:dyDescent="0.2">
      <c r="L4781" s="4">
        <v>4775</v>
      </c>
      <c r="M4781" s="21">
        <v>142874.69299600768</v>
      </c>
    </row>
    <row r="4782" spans="12:13" x14ac:dyDescent="0.2">
      <c r="L4782" s="4">
        <v>4776</v>
      </c>
      <c r="M4782" s="21">
        <v>541207.16146208066</v>
      </c>
    </row>
    <row r="4783" spans="12:13" x14ac:dyDescent="0.2">
      <c r="L4783" s="4">
        <v>4777</v>
      </c>
      <c r="M4783" s="21">
        <v>287781.9755498888</v>
      </c>
    </row>
    <row r="4784" spans="12:13" x14ac:dyDescent="0.2">
      <c r="L4784" s="4">
        <v>4778</v>
      </c>
      <c r="M4784" s="21">
        <v>-274737.90252926986</v>
      </c>
    </row>
    <row r="4785" spans="12:13" x14ac:dyDescent="0.2">
      <c r="L4785" s="4">
        <v>4779</v>
      </c>
      <c r="M4785" s="21">
        <v>-209431.61044539264</v>
      </c>
    </row>
    <row r="4786" spans="12:13" x14ac:dyDescent="0.2">
      <c r="L4786" s="4">
        <v>4780</v>
      </c>
      <c r="M4786" s="21">
        <v>58621.418250078452</v>
      </c>
    </row>
    <row r="4787" spans="12:13" x14ac:dyDescent="0.2">
      <c r="L4787" s="4">
        <v>4781</v>
      </c>
      <c r="M4787" s="21">
        <v>242723.61724209925</v>
      </c>
    </row>
    <row r="4788" spans="12:13" x14ac:dyDescent="0.2">
      <c r="L4788" s="4">
        <v>4782</v>
      </c>
      <c r="M4788" s="21">
        <v>-135600.57608216873</v>
      </c>
    </row>
    <row r="4789" spans="12:13" x14ac:dyDescent="0.2">
      <c r="L4789" s="4">
        <v>4783</v>
      </c>
      <c r="M4789" s="21">
        <v>-208361.49191789248</v>
      </c>
    </row>
    <row r="4790" spans="12:13" x14ac:dyDescent="0.2">
      <c r="L4790" s="4">
        <v>4784</v>
      </c>
      <c r="M4790" s="21">
        <v>81549.145076302491</v>
      </c>
    </row>
    <row r="4791" spans="12:13" x14ac:dyDescent="0.2">
      <c r="L4791" s="4">
        <v>4785</v>
      </c>
      <c r="M4791" s="21">
        <v>-148638.55494704458</v>
      </c>
    </row>
    <row r="4792" spans="12:13" x14ac:dyDescent="0.2">
      <c r="L4792" s="4">
        <v>4786</v>
      </c>
      <c r="M4792" s="21">
        <v>-20696.325336089925</v>
      </c>
    </row>
    <row r="4793" spans="12:13" x14ac:dyDescent="0.2">
      <c r="L4793" s="4">
        <v>4787</v>
      </c>
      <c r="M4793" s="21">
        <v>1246.659046131681</v>
      </c>
    </row>
    <row r="4794" spans="12:13" x14ac:dyDescent="0.2">
      <c r="L4794" s="4">
        <v>4788</v>
      </c>
      <c r="M4794" s="21">
        <v>71942.801947618456</v>
      </c>
    </row>
    <row r="4795" spans="12:13" x14ac:dyDescent="0.2">
      <c r="L4795" s="4">
        <v>4789</v>
      </c>
      <c r="M4795" s="21">
        <v>-35299.490568838883</v>
      </c>
    </row>
    <row r="4796" spans="12:13" x14ac:dyDescent="0.2">
      <c r="L4796" s="4">
        <v>4790</v>
      </c>
      <c r="M4796" s="21">
        <v>-273928.0525437218</v>
      </c>
    </row>
    <row r="4797" spans="12:13" x14ac:dyDescent="0.2">
      <c r="L4797" s="4">
        <v>4791</v>
      </c>
      <c r="M4797" s="21">
        <v>-148450.41241920233</v>
      </c>
    </row>
    <row r="4798" spans="12:13" x14ac:dyDescent="0.2">
      <c r="L4798" s="4">
        <v>4792</v>
      </c>
      <c r="M4798" s="21">
        <v>-559209.29339450051</v>
      </c>
    </row>
    <row r="4799" spans="12:13" x14ac:dyDescent="0.2">
      <c r="L4799" s="4">
        <v>4793</v>
      </c>
      <c r="M4799" s="21">
        <v>250103.9352962439</v>
      </c>
    </row>
    <row r="4800" spans="12:13" x14ac:dyDescent="0.2">
      <c r="L4800" s="4">
        <v>4794</v>
      </c>
      <c r="M4800" s="21">
        <v>-130483.39115574675</v>
      </c>
    </row>
    <row r="4801" spans="12:13" x14ac:dyDescent="0.2">
      <c r="L4801" s="4">
        <v>4795</v>
      </c>
      <c r="M4801" s="21">
        <v>264078.65761257953</v>
      </c>
    </row>
    <row r="4802" spans="12:13" x14ac:dyDescent="0.2">
      <c r="L4802" s="4">
        <v>4796</v>
      </c>
      <c r="M4802" s="21">
        <v>-215826.83343261687</v>
      </c>
    </row>
    <row r="4803" spans="12:13" x14ac:dyDescent="0.2">
      <c r="L4803" s="4">
        <v>4797</v>
      </c>
      <c r="M4803" s="21">
        <v>186584.01009365174</v>
      </c>
    </row>
    <row r="4804" spans="12:13" x14ac:dyDescent="0.2">
      <c r="L4804" s="4">
        <v>4798</v>
      </c>
      <c r="M4804" s="21">
        <v>-137558.22237948191</v>
      </c>
    </row>
    <row r="4805" spans="12:13" x14ac:dyDescent="0.2">
      <c r="L4805" s="4">
        <v>4799</v>
      </c>
      <c r="M4805" s="21">
        <v>170214.27208514328</v>
      </c>
    </row>
    <row r="4806" spans="12:13" x14ac:dyDescent="0.2">
      <c r="L4806" s="4">
        <v>4800</v>
      </c>
      <c r="M4806" s="21">
        <v>-155300.14754799762</v>
      </c>
    </row>
    <row r="4807" spans="12:13" x14ac:dyDescent="0.2">
      <c r="L4807" s="4">
        <v>4801</v>
      </c>
      <c r="M4807" s="21">
        <v>139137.75659649121</v>
      </c>
    </row>
    <row r="4808" spans="12:13" x14ac:dyDescent="0.2">
      <c r="L4808" s="4">
        <v>4802</v>
      </c>
      <c r="M4808" s="21">
        <v>178875.63743196911</v>
      </c>
    </row>
    <row r="4809" spans="12:13" x14ac:dyDescent="0.2">
      <c r="L4809" s="4">
        <v>4803</v>
      </c>
      <c r="M4809" s="21">
        <v>-2999.0978750522336</v>
      </c>
    </row>
    <row r="4810" spans="12:13" x14ac:dyDescent="0.2">
      <c r="L4810" s="4">
        <v>4804</v>
      </c>
      <c r="M4810" s="21">
        <v>369182.95507996198</v>
      </c>
    </row>
    <row r="4811" spans="12:13" x14ac:dyDescent="0.2">
      <c r="L4811" s="4">
        <v>4805</v>
      </c>
      <c r="M4811" s="21">
        <v>-12316.008118303682</v>
      </c>
    </row>
    <row r="4812" spans="12:13" x14ac:dyDescent="0.2">
      <c r="L4812" s="4">
        <v>4806</v>
      </c>
      <c r="M4812" s="21">
        <v>185977.2082306011</v>
      </c>
    </row>
    <row r="4813" spans="12:13" x14ac:dyDescent="0.2">
      <c r="L4813" s="4">
        <v>4807</v>
      </c>
      <c r="M4813" s="21">
        <v>-172786.37708489137</v>
      </c>
    </row>
    <row r="4814" spans="12:13" x14ac:dyDescent="0.2">
      <c r="L4814" s="4">
        <v>4808</v>
      </c>
      <c r="M4814" s="21">
        <v>-216529.91051950189</v>
      </c>
    </row>
    <row r="4815" spans="12:13" x14ac:dyDescent="0.2">
      <c r="L4815" s="4">
        <v>4809</v>
      </c>
      <c r="M4815" s="21">
        <v>48102.688132043724</v>
      </c>
    </row>
    <row r="4816" spans="12:13" x14ac:dyDescent="0.2">
      <c r="L4816" s="4">
        <v>4810</v>
      </c>
      <c r="M4816" s="21">
        <v>444304.99313810561</v>
      </c>
    </row>
    <row r="4817" spans="12:13" x14ac:dyDescent="0.2">
      <c r="L4817" s="4">
        <v>4811</v>
      </c>
      <c r="M4817" s="21">
        <v>-268182.95437235234</v>
      </c>
    </row>
    <row r="4818" spans="12:13" x14ac:dyDescent="0.2">
      <c r="L4818" s="4">
        <v>4812</v>
      </c>
      <c r="M4818" s="21">
        <v>130662.68293635262</v>
      </c>
    </row>
    <row r="4819" spans="12:13" x14ac:dyDescent="0.2">
      <c r="L4819" s="4">
        <v>4813</v>
      </c>
      <c r="M4819" s="21">
        <v>110012.59917580438</v>
      </c>
    </row>
    <row r="4820" spans="12:13" x14ac:dyDescent="0.2">
      <c r="L4820" s="4">
        <v>4814</v>
      </c>
      <c r="M4820" s="21">
        <v>127400.80067273724</v>
      </c>
    </row>
    <row r="4821" spans="12:13" x14ac:dyDescent="0.2">
      <c r="L4821" s="4">
        <v>4815</v>
      </c>
      <c r="M4821" s="21">
        <v>484406.65114401467</v>
      </c>
    </row>
    <row r="4822" spans="12:13" x14ac:dyDescent="0.2">
      <c r="L4822" s="4">
        <v>4816</v>
      </c>
      <c r="M4822" s="21">
        <v>125739.18869766334</v>
      </c>
    </row>
    <row r="4823" spans="12:13" x14ac:dyDescent="0.2">
      <c r="L4823" s="4">
        <v>4817</v>
      </c>
      <c r="M4823" s="21">
        <v>44527.538440053817</v>
      </c>
    </row>
    <row r="4824" spans="12:13" x14ac:dyDescent="0.2">
      <c r="L4824" s="4">
        <v>4818</v>
      </c>
      <c r="M4824" s="21">
        <v>448147.80967844842</v>
      </c>
    </row>
    <row r="4825" spans="12:13" x14ac:dyDescent="0.2">
      <c r="L4825" s="4">
        <v>4819</v>
      </c>
      <c r="M4825" s="21">
        <v>-124881.02313977289</v>
      </c>
    </row>
    <row r="4826" spans="12:13" x14ac:dyDescent="0.2">
      <c r="L4826" s="4">
        <v>4820</v>
      </c>
      <c r="M4826" s="21">
        <v>-3057.8512802743207</v>
      </c>
    </row>
    <row r="4827" spans="12:13" x14ac:dyDescent="0.2">
      <c r="L4827" s="4">
        <v>4821</v>
      </c>
      <c r="M4827" s="21">
        <v>111694.7374444844</v>
      </c>
    </row>
    <row r="4828" spans="12:13" x14ac:dyDescent="0.2">
      <c r="L4828" s="4">
        <v>4822</v>
      </c>
      <c r="M4828" s="21">
        <v>-214152.36653708311</v>
      </c>
    </row>
    <row r="4829" spans="12:13" x14ac:dyDescent="0.2">
      <c r="L4829" s="4">
        <v>4823</v>
      </c>
      <c r="M4829" s="21">
        <v>388063.05906098604</v>
      </c>
    </row>
    <row r="4830" spans="12:13" x14ac:dyDescent="0.2">
      <c r="L4830" s="4">
        <v>4824</v>
      </c>
      <c r="M4830" s="21">
        <v>381743.54416910512</v>
      </c>
    </row>
    <row r="4831" spans="12:13" x14ac:dyDescent="0.2">
      <c r="L4831" s="4">
        <v>4825</v>
      </c>
      <c r="M4831" s="21">
        <v>65967.862134344585</v>
      </c>
    </row>
    <row r="4832" spans="12:13" x14ac:dyDescent="0.2">
      <c r="L4832" s="4">
        <v>4826</v>
      </c>
      <c r="M4832" s="21">
        <v>-437363.77334020688</v>
      </c>
    </row>
    <row r="4833" spans="12:13" x14ac:dyDescent="0.2">
      <c r="L4833" s="4">
        <v>4827</v>
      </c>
      <c r="M4833" s="21">
        <v>-197873.72651587281</v>
      </c>
    </row>
    <row r="4834" spans="12:13" x14ac:dyDescent="0.2">
      <c r="L4834" s="4">
        <v>4828</v>
      </c>
      <c r="M4834" s="21">
        <v>14842.817698351748</v>
      </c>
    </row>
    <row r="4835" spans="12:13" x14ac:dyDescent="0.2">
      <c r="L4835" s="4">
        <v>4829</v>
      </c>
      <c r="M4835" s="21">
        <v>-181048.16143931885</v>
      </c>
    </row>
    <row r="4836" spans="12:13" x14ac:dyDescent="0.2">
      <c r="L4836" s="4">
        <v>4830</v>
      </c>
      <c r="M4836" s="21">
        <v>-288407.51793264679</v>
      </c>
    </row>
    <row r="4837" spans="12:13" x14ac:dyDescent="0.2">
      <c r="L4837" s="4">
        <v>4831</v>
      </c>
      <c r="M4837" s="21">
        <v>-48821.558260127727</v>
      </c>
    </row>
    <row r="4838" spans="12:13" x14ac:dyDescent="0.2">
      <c r="L4838" s="4">
        <v>4832</v>
      </c>
      <c r="M4838" s="21">
        <v>-27745.190812666289</v>
      </c>
    </row>
    <row r="4839" spans="12:13" x14ac:dyDescent="0.2">
      <c r="L4839" s="4">
        <v>4833</v>
      </c>
      <c r="M4839" s="21">
        <v>-293369.79233590723</v>
      </c>
    </row>
    <row r="4840" spans="12:13" x14ac:dyDescent="0.2">
      <c r="L4840" s="4">
        <v>4834</v>
      </c>
      <c r="M4840" s="21">
        <v>167797.61984542201</v>
      </c>
    </row>
    <row r="4841" spans="12:13" x14ac:dyDescent="0.2">
      <c r="L4841" s="4">
        <v>4835</v>
      </c>
      <c r="M4841" s="21">
        <v>2951.6414633778622</v>
      </c>
    </row>
    <row r="4842" spans="12:13" x14ac:dyDescent="0.2">
      <c r="L4842" s="4">
        <v>4836</v>
      </c>
      <c r="M4842" s="21">
        <v>186769.50093564321</v>
      </c>
    </row>
    <row r="4843" spans="12:13" x14ac:dyDescent="0.2">
      <c r="L4843" s="4">
        <v>4837</v>
      </c>
      <c r="M4843" s="21">
        <v>385290.71941240283</v>
      </c>
    </row>
    <row r="4844" spans="12:13" x14ac:dyDescent="0.2">
      <c r="L4844" s="4">
        <v>4838</v>
      </c>
      <c r="M4844" s="21">
        <v>186392.31282990094</v>
      </c>
    </row>
    <row r="4845" spans="12:13" x14ac:dyDescent="0.2">
      <c r="L4845" s="4">
        <v>4839</v>
      </c>
      <c r="M4845" s="21">
        <v>-140723.84838737088</v>
      </c>
    </row>
    <row r="4846" spans="12:13" x14ac:dyDescent="0.2">
      <c r="L4846" s="4">
        <v>4840</v>
      </c>
      <c r="M4846" s="21">
        <v>-11539.327696636276</v>
      </c>
    </row>
    <row r="4847" spans="12:13" x14ac:dyDescent="0.2">
      <c r="L4847" s="4">
        <v>4841</v>
      </c>
      <c r="M4847" s="21">
        <v>-165274.31092550227</v>
      </c>
    </row>
    <row r="4848" spans="12:13" x14ac:dyDescent="0.2">
      <c r="L4848" s="4">
        <v>4842</v>
      </c>
      <c r="M4848" s="21">
        <v>378029.58573986939</v>
      </c>
    </row>
    <row r="4849" spans="12:13" x14ac:dyDescent="0.2">
      <c r="L4849" s="4">
        <v>4843</v>
      </c>
      <c r="M4849" s="21">
        <v>402632.84037633461</v>
      </c>
    </row>
    <row r="4850" spans="12:13" x14ac:dyDescent="0.2">
      <c r="L4850" s="4">
        <v>4844</v>
      </c>
      <c r="M4850" s="21">
        <v>169288.78969747081</v>
      </c>
    </row>
    <row r="4851" spans="12:13" x14ac:dyDescent="0.2">
      <c r="L4851" s="4">
        <v>4845</v>
      </c>
      <c r="M4851" s="21">
        <v>-195663.18168903308</v>
      </c>
    </row>
    <row r="4852" spans="12:13" x14ac:dyDescent="0.2">
      <c r="L4852" s="4">
        <v>4846</v>
      </c>
      <c r="M4852" s="21">
        <v>86405.766633694206</v>
      </c>
    </row>
    <row r="4853" spans="12:13" x14ac:dyDescent="0.2">
      <c r="L4853" s="4">
        <v>4847</v>
      </c>
      <c r="M4853" s="21">
        <v>183140.23622153825</v>
      </c>
    </row>
    <row r="4854" spans="12:13" x14ac:dyDescent="0.2">
      <c r="L4854" s="4">
        <v>4848</v>
      </c>
      <c r="M4854" s="21">
        <v>-20297.777926504117</v>
      </c>
    </row>
    <row r="4855" spans="12:13" x14ac:dyDescent="0.2">
      <c r="L4855" s="4">
        <v>4849</v>
      </c>
      <c r="M4855" s="21">
        <v>-189964.56469351827</v>
      </c>
    </row>
    <row r="4856" spans="12:13" x14ac:dyDescent="0.2">
      <c r="L4856" s="4">
        <v>4850</v>
      </c>
      <c r="M4856" s="21">
        <v>-8802.4578253985819</v>
      </c>
    </row>
    <row r="4857" spans="12:13" x14ac:dyDescent="0.2">
      <c r="L4857" s="4">
        <v>4851</v>
      </c>
      <c r="M4857" s="21">
        <v>-264292.92290442094</v>
      </c>
    </row>
    <row r="4858" spans="12:13" x14ac:dyDescent="0.2">
      <c r="L4858" s="4">
        <v>4852</v>
      </c>
      <c r="M4858" s="21">
        <v>282105.80322787061</v>
      </c>
    </row>
    <row r="4859" spans="12:13" x14ac:dyDescent="0.2">
      <c r="L4859" s="4">
        <v>4853</v>
      </c>
      <c r="M4859" s="21">
        <v>-26545.716721834717</v>
      </c>
    </row>
    <row r="4860" spans="12:13" x14ac:dyDescent="0.2">
      <c r="L4860" s="4">
        <v>4854</v>
      </c>
      <c r="M4860" s="21">
        <v>7708.0020208648057</v>
      </c>
    </row>
    <row r="4861" spans="12:13" x14ac:dyDescent="0.2">
      <c r="L4861" s="4">
        <v>4855</v>
      </c>
      <c r="M4861" s="21">
        <v>-226139.70188112007</v>
      </c>
    </row>
    <row r="4862" spans="12:13" x14ac:dyDescent="0.2">
      <c r="L4862" s="4">
        <v>4856</v>
      </c>
      <c r="M4862" s="21">
        <v>-314332.10000218137</v>
      </c>
    </row>
    <row r="4863" spans="12:13" x14ac:dyDescent="0.2">
      <c r="L4863" s="4">
        <v>4857</v>
      </c>
      <c r="M4863" s="21">
        <v>-449608.30016461725</v>
      </c>
    </row>
    <row r="4864" spans="12:13" x14ac:dyDescent="0.2">
      <c r="L4864" s="4">
        <v>4858</v>
      </c>
      <c r="M4864" s="21">
        <v>-244293.22163471131</v>
      </c>
    </row>
    <row r="4865" spans="12:13" x14ac:dyDescent="0.2">
      <c r="L4865" s="4">
        <v>4859</v>
      </c>
      <c r="M4865" s="21">
        <v>119489.41588736346</v>
      </c>
    </row>
    <row r="4866" spans="12:13" x14ac:dyDescent="0.2">
      <c r="L4866" s="4">
        <v>4860</v>
      </c>
      <c r="M4866" s="21">
        <v>26626.570464641118</v>
      </c>
    </row>
    <row r="4867" spans="12:13" x14ac:dyDescent="0.2">
      <c r="L4867" s="4">
        <v>4861</v>
      </c>
      <c r="M4867" s="21">
        <v>-286376.0873565668</v>
      </c>
    </row>
    <row r="4868" spans="12:13" x14ac:dyDescent="0.2">
      <c r="L4868" s="4">
        <v>4862</v>
      </c>
      <c r="M4868" s="21">
        <v>-206067.57721559849</v>
      </c>
    </row>
    <row r="4869" spans="12:13" x14ac:dyDescent="0.2">
      <c r="L4869" s="4">
        <v>4863</v>
      </c>
      <c r="M4869" s="21">
        <v>-29341.962758586669</v>
      </c>
    </row>
    <row r="4870" spans="12:13" x14ac:dyDescent="0.2">
      <c r="L4870" s="4">
        <v>4864</v>
      </c>
      <c r="M4870" s="21">
        <v>105666.74831590059</v>
      </c>
    </row>
    <row r="4871" spans="12:13" x14ac:dyDescent="0.2">
      <c r="L4871" s="4">
        <v>4865</v>
      </c>
      <c r="M4871" s="21">
        <v>-20017.207157546742</v>
      </c>
    </row>
    <row r="4872" spans="12:13" x14ac:dyDescent="0.2">
      <c r="L4872" s="4">
        <v>4866</v>
      </c>
      <c r="M4872" s="21">
        <v>168336.46662266855</v>
      </c>
    </row>
    <row r="4873" spans="12:13" x14ac:dyDescent="0.2">
      <c r="L4873" s="4">
        <v>4867</v>
      </c>
      <c r="M4873" s="21">
        <v>-125844.31707365638</v>
      </c>
    </row>
    <row r="4874" spans="12:13" x14ac:dyDescent="0.2">
      <c r="L4874" s="4">
        <v>4868</v>
      </c>
      <c r="M4874" s="21">
        <v>-105835.63825454899</v>
      </c>
    </row>
    <row r="4875" spans="12:13" x14ac:dyDescent="0.2">
      <c r="L4875" s="4">
        <v>4869</v>
      </c>
      <c r="M4875" s="21">
        <v>257309.26041935402</v>
      </c>
    </row>
    <row r="4876" spans="12:13" x14ac:dyDescent="0.2">
      <c r="L4876" s="4">
        <v>4870</v>
      </c>
      <c r="M4876" s="21">
        <v>-275074.01669318631</v>
      </c>
    </row>
    <row r="4877" spans="12:13" x14ac:dyDescent="0.2">
      <c r="L4877" s="4">
        <v>4871</v>
      </c>
      <c r="M4877" s="21">
        <v>-238287.69282210426</v>
      </c>
    </row>
    <row r="4878" spans="12:13" x14ac:dyDescent="0.2">
      <c r="L4878" s="4">
        <v>4872</v>
      </c>
      <c r="M4878" s="21">
        <v>-116406.41316902834</v>
      </c>
    </row>
    <row r="4879" spans="12:13" x14ac:dyDescent="0.2">
      <c r="L4879" s="4">
        <v>4873</v>
      </c>
      <c r="M4879" s="21">
        <v>101977.19356280242</v>
      </c>
    </row>
    <row r="4880" spans="12:13" x14ac:dyDescent="0.2">
      <c r="L4880" s="4">
        <v>4874</v>
      </c>
      <c r="M4880" s="21">
        <v>-18150.575794890712</v>
      </c>
    </row>
    <row r="4881" spans="12:13" x14ac:dyDescent="0.2">
      <c r="L4881" s="4">
        <v>4875</v>
      </c>
      <c r="M4881" s="21">
        <v>271416.03968875087</v>
      </c>
    </row>
    <row r="4882" spans="12:13" x14ac:dyDescent="0.2">
      <c r="L4882" s="4">
        <v>4876</v>
      </c>
      <c r="M4882" s="21">
        <v>-119413.27221028661</v>
      </c>
    </row>
    <row r="4883" spans="12:13" x14ac:dyDescent="0.2">
      <c r="L4883" s="4">
        <v>4877</v>
      </c>
      <c r="M4883" s="21">
        <v>111050.24237598685</v>
      </c>
    </row>
    <row r="4884" spans="12:13" x14ac:dyDescent="0.2">
      <c r="L4884" s="4">
        <v>4878</v>
      </c>
      <c r="M4884" s="21">
        <v>-279423.01185599796</v>
      </c>
    </row>
    <row r="4885" spans="12:13" x14ac:dyDescent="0.2">
      <c r="L4885" s="4">
        <v>4879</v>
      </c>
      <c r="M4885" s="21">
        <v>-161474.16770878498</v>
      </c>
    </row>
    <row r="4886" spans="12:13" x14ac:dyDescent="0.2">
      <c r="L4886" s="4">
        <v>4880</v>
      </c>
      <c r="M4886" s="21">
        <v>335749.02644613263</v>
      </c>
    </row>
    <row r="4887" spans="12:13" x14ac:dyDescent="0.2">
      <c r="L4887" s="4">
        <v>4881</v>
      </c>
      <c r="M4887" s="21">
        <v>-66743.041547892994</v>
      </c>
    </row>
    <row r="4888" spans="12:13" x14ac:dyDescent="0.2">
      <c r="L4888" s="4">
        <v>4882</v>
      </c>
      <c r="M4888" s="21">
        <v>-91280.275828378944</v>
      </c>
    </row>
    <row r="4889" spans="12:13" x14ac:dyDescent="0.2">
      <c r="L4889" s="4">
        <v>4883</v>
      </c>
      <c r="M4889" s="21">
        <v>183462.67014105699</v>
      </c>
    </row>
    <row r="4890" spans="12:13" x14ac:dyDescent="0.2">
      <c r="L4890" s="4">
        <v>4884</v>
      </c>
      <c r="M4890" s="21">
        <v>66957.455838822178</v>
      </c>
    </row>
    <row r="4891" spans="12:13" x14ac:dyDescent="0.2">
      <c r="L4891" s="4">
        <v>4885</v>
      </c>
      <c r="M4891" s="21">
        <v>45008.108277081657</v>
      </c>
    </row>
    <row r="4892" spans="12:13" x14ac:dyDescent="0.2">
      <c r="L4892" s="4">
        <v>4886</v>
      </c>
      <c r="M4892" s="21">
        <v>-19742.107626054247</v>
      </c>
    </row>
    <row r="4893" spans="12:13" x14ac:dyDescent="0.2">
      <c r="L4893" s="4">
        <v>4887</v>
      </c>
      <c r="M4893" s="21">
        <v>325477.82395470934</v>
      </c>
    </row>
    <row r="4894" spans="12:13" x14ac:dyDescent="0.2">
      <c r="L4894" s="4">
        <v>4888</v>
      </c>
      <c r="M4894" s="21">
        <v>-186088.02912076219</v>
      </c>
    </row>
    <row r="4895" spans="12:13" x14ac:dyDescent="0.2">
      <c r="L4895" s="4">
        <v>4889</v>
      </c>
      <c r="M4895" s="21">
        <v>191926.08945330279</v>
      </c>
    </row>
    <row r="4896" spans="12:13" x14ac:dyDescent="0.2">
      <c r="L4896" s="4">
        <v>4890</v>
      </c>
      <c r="M4896" s="21">
        <v>-92394.384964118421</v>
      </c>
    </row>
    <row r="4897" spans="12:13" x14ac:dyDescent="0.2">
      <c r="L4897" s="4">
        <v>4891</v>
      </c>
      <c r="M4897" s="21">
        <v>-70262.063445172898</v>
      </c>
    </row>
    <row r="4898" spans="12:13" x14ac:dyDescent="0.2">
      <c r="L4898" s="4">
        <v>4892</v>
      </c>
      <c r="M4898" s="21">
        <v>23736.993234208901</v>
      </c>
    </row>
    <row r="4899" spans="12:13" x14ac:dyDescent="0.2">
      <c r="L4899" s="4">
        <v>4893</v>
      </c>
      <c r="M4899" s="21">
        <v>279636.35813114076</v>
      </c>
    </row>
    <row r="4900" spans="12:13" x14ac:dyDescent="0.2">
      <c r="L4900" s="4">
        <v>4894</v>
      </c>
      <c r="M4900" s="21">
        <v>69196.176165455108</v>
      </c>
    </row>
    <row r="4901" spans="12:13" x14ac:dyDescent="0.2">
      <c r="L4901" s="4">
        <v>4895</v>
      </c>
      <c r="M4901" s="21">
        <v>88240.457155852841</v>
      </c>
    </row>
    <row r="4902" spans="12:13" x14ac:dyDescent="0.2">
      <c r="L4902" s="4">
        <v>4896</v>
      </c>
      <c r="M4902" s="21">
        <v>-14600.146065519293</v>
      </c>
    </row>
    <row r="4903" spans="12:13" x14ac:dyDescent="0.2">
      <c r="L4903" s="4">
        <v>4897</v>
      </c>
      <c r="M4903" s="21">
        <v>-318405.12359479495</v>
      </c>
    </row>
    <row r="4904" spans="12:13" x14ac:dyDescent="0.2">
      <c r="L4904" s="4">
        <v>4898</v>
      </c>
      <c r="M4904" s="21">
        <v>-68016.496385166465</v>
      </c>
    </row>
    <row r="4905" spans="12:13" x14ac:dyDescent="0.2">
      <c r="L4905" s="4">
        <v>4899</v>
      </c>
      <c r="M4905" s="21">
        <v>-37369.003917354217</v>
      </c>
    </row>
    <row r="4906" spans="12:13" x14ac:dyDescent="0.2">
      <c r="L4906" s="4">
        <v>4900</v>
      </c>
      <c r="M4906" s="21">
        <v>218910.74989434012</v>
      </c>
    </row>
    <row r="4907" spans="12:13" x14ac:dyDescent="0.2">
      <c r="L4907" s="4">
        <v>4901</v>
      </c>
      <c r="M4907" s="21">
        <v>-131808.2719381623</v>
      </c>
    </row>
    <row r="4908" spans="12:13" x14ac:dyDescent="0.2">
      <c r="L4908" s="4">
        <v>4902</v>
      </c>
      <c r="M4908" s="21">
        <v>-206493.90197414358</v>
      </c>
    </row>
    <row r="4909" spans="12:13" x14ac:dyDescent="0.2">
      <c r="L4909" s="4">
        <v>4903</v>
      </c>
      <c r="M4909" s="21">
        <v>113646.16627801961</v>
      </c>
    </row>
    <row r="4910" spans="12:13" x14ac:dyDescent="0.2">
      <c r="L4910" s="4">
        <v>4904</v>
      </c>
      <c r="M4910" s="21">
        <v>-261894.12173219537</v>
      </c>
    </row>
    <row r="4911" spans="12:13" x14ac:dyDescent="0.2">
      <c r="L4911" s="4">
        <v>4905</v>
      </c>
      <c r="M4911" s="21">
        <v>329881.52336855821</v>
      </c>
    </row>
    <row r="4912" spans="12:13" x14ac:dyDescent="0.2">
      <c r="L4912" s="4">
        <v>4906</v>
      </c>
      <c r="M4912" s="21">
        <v>220479.39987591575</v>
      </c>
    </row>
    <row r="4913" spans="12:13" x14ac:dyDescent="0.2">
      <c r="L4913" s="4">
        <v>4907</v>
      </c>
      <c r="M4913" s="21">
        <v>245094.03008918592</v>
      </c>
    </row>
    <row r="4914" spans="12:13" x14ac:dyDescent="0.2">
      <c r="L4914" s="4">
        <v>4908</v>
      </c>
      <c r="M4914" s="21">
        <v>-21030.992327097265</v>
      </c>
    </row>
    <row r="4915" spans="12:13" x14ac:dyDescent="0.2">
      <c r="L4915" s="4">
        <v>4909</v>
      </c>
      <c r="M4915" s="21">
        <v>317945.47782527993</v>
      </c>
    </row>
    <row r="4916" spans="12:13" x14ac:dyDescent="0.2">
      <c r="L4916" s="4">
        <v>4910</v>
      </c>
      <c r="M4916" s="21">
        <v>69569.358882271219</v>
      </c>
    </row>
    <row r="4917" spans="12:13" x14ac:dyDescent="0.2">
      <c r="L4917" s="4">
        <v>4911</v>
      </c>
      <c r="M4917" s="21">
        <v>-187953.01241039135</v>
      </c>
    </row>
    <row r="4918" spans="12:13" x14ac:dyDescent="0.2">
      <c r="L4918" s="4">
        <v>4912</v>
      </c>
      <c r="M4918" s="21">
        <v>111740.37392905849</v>
      </c>
    </row>
    <row r="4919" spans="12:13" x14ac:dyDescent="0.2">
      <c r="L4919" s="4">
        <v>4913</v>
      </c>
      <c r="M4919" s="21">
        <v>496014.03537691396</v>
      </c>
    </row>
    <row r="4920" spans="12:13" x14ac:dyDescent="0.2">
      <c r="L4920" s="4">
        <v>4914</v>
      </c>
      <c r="M4920" s="21">
        <v>-256235.25170173368</v>
      </c>
    </row>
    <row r="4921" spans="12:13" x14ac:dyDescent="0.2">
      <c r="L4921" s="4">
        <v>4915</v>
      </c>
      <c r="M4921" s="21">
        <v>448608.88438251382</v>
      </c>
    </row>
    <row r="4922" spans="12:13" x14ac:dyDescent="0.2">
      <c r="L4922" s="4">
        <v>4916</v>
      </c>
      <c r="M4922" s="21">
        <v>-197671.97849244357</v>
      </c>
    </row>
    <row r="4923" spans="12:13" x14ac:dyDescent="0.2">
      <c r="L4923" s="4">
        <v>4917</v>
      </c>
      <c r="M4923" s="21">
        <v>82254.804826499661</v>
      </c>
    </row>
    <row r="4924" spans="12:13" x14ac:dyDescent="0.2">
      <c r="L4924" s="4">
        <v>4918</v>
      </c>
      <c r="M4924" s="21">
        <v>91978.737985980726</v>
      </c>
    </row>
    <row r="4925" spans="12:13" x14ac:dyDescent="0.2">
      <c r="L4925" s="4">
        <v>4919</v>
      </c>
      <c r="M4925" s="21">
        <v>151496.51554248383</v>
      </c>
    </row>
    <row r="4926" spans="12:13" x14ac:dyDescent="0.2">
      <c r="L4926" s="4">
        <v>4920</v>
      </c>
      <c r="M4926" s="21">
        <v>190.24160464580928</v>
      </c>
    </row>
    <row r="4927" spans="12:13" x14ac:dyDescent="0.2">
      <c r="L4927" s="4">
        <v>4921</v>
      </c>
      <c r="M4927" s="21">
        <v>-20985.02964599691</v>
      </c>
    </row>
    <row r="4928" spans="12:13" x14ac:dyDescent="0.2">
      <c r="L4928" s="4">
        <v>4922</v>
      </c>
      <c r="M4928" s="21">
        <v>145950.52312499878</v>
      </c>
    </row>
    <row r="4929" spans="12:13" x14ac:dyDescent="0.2">
      <c r="L4929" s="4">
        <v>4923</v>
      </c>
      <c r="M4929" s="21">
        <v>-93829.0024918868</v>
      </c>
    </row>
    <row r="4930" spans="12:13" x14ac:dyDescent="0.2">
      <c r="L4930" s="4">
        <v>4924</v>
      </c>
      <c r="M4930" s="21">
        <v>-88471.744164166186</v>
      </c>
    </row>
    <row r="4931" spans="12:13" x14ac:dyDescent="0.2">
      <c r="L4931" s="4">
        <v>4925</v>
      </c>
      <c r="M4931" s="21">
        <v>-306117.77702070546</v>
      </c>
    </row>
    <row r="4932" spans="12:13" x14ac:dyDescent="0.2">
      <c r="L4932" s="4">
        <v>4926</v>
      </c>
      <c r="M4932" s="21">
        <v>132728.46310464657</v>
      </c>
    </row>
    <row r="4933" spans="12:13" x14ac:dyDescent="0.2">
      <c r="L4933" s="4">
        <v>4927</v>
      </c>
      <c r="M4933" s="21">
        <v>196581.45549133001</v>
      </c>
    </row>
    <row r="4934" spans="12:13" x14ac:dyDescent="0.2">
      <c r="L4934" s="4">
        <v>4928</v>
      </c>
      <c r="M4934" s="21">
        <v>-24529.72443315429</v>
      </c>
    </row>
    <row r="4935" spans="12:13" x14ac:dyDescent="0.2">
      <c r="L4935" s="4">
        <v>4929</v>
      </c>
      <c r="M4935" s="21">
        <v>-99599.395898824718</v>
      </c>
    </row>
    <row r="4936" spans="12:13" x14ac:dyDescent="0.2">
      <c r="L4936" s="4">
        <v>4930</v>
      </c>
      <c r="M4936" s="21">
        <v>175742.11280002838</v>
      </c>
    </row>
    <row r="4937" spans="12:13" x14ac:dyDescent="0.2">
      <c r="L4937" s="4">
        <v>4931</v>
      </c>
      <c r="M4937" s="21">
        <v>-2895.0672913280432</v>
      </c>
    </row>
    <row r="4938" spans="12:13" x14ac:dyDescent="0.2">
      <c r="L4938" s="4">
        <v>4932</v>
      </c>
      <c r="M4938" s="21">
        <v>-62990.34954953393</v>
      </c>
    </row>
    <row r="4939" spans="12:13" x14ac:dyDescent="0.2">
      <c r="L4939" s="4">
        <v>4933</v>
      </c>
      <c r="M4939" s="21">
        <v>313342.13301219442</v>
      </c>
    </row>
    <row r="4940" spans="12:13" x14ac:dyDescent="0.2">
      <c r="L4940" s="4">
        <v>4934</v>
      </c>
      <c r="M4940" s="21">
        <v>-111785.45856650732</v>
      </c>
    </row>
    <row r="4941" spans="12:13" x14ac:dyDescent="0.2">
      <c r="L4941" s="4">
        <v>4935</v>
      </c>
      <c r="M4941" s="21">
        <v>89441.609640200943</v>
      </c>
    </row>
    <row r="4942" spans="12:13" x14ac:dyDescent="0.2">
      <c r="L4942" s="4">
        <v>4936</v>
      </c>
      <c r="M4942" s="21">
        <v>87408.020470948395</v>
      </c>
    </row>
    <row r="4943" spans="12:13" x14ac:dyDescent="0.2">
      <c r="L4943" s="4">
        <v>4937</v>
      </c>
      <c r="M4943" s="21">
        <v>-82204.805041634303</v>
      </c>
    </row>
    <row r="4944" spans="12:13" x14ac:dyDescent="0.2">
      <c r="L4944" s="4">
        <v>4938</v>
      </c>
      <c r="M4944" s="21">
        <v>198051.09217863937</v>
      </c>
    </row>
    <row r="4945" spans="12:13" x14ac:dyDescent="0.2">
      <c r="L4945" s="4">
        <v>4939</v>
      </c>
      <c r="M4945" s="21">
        <v>-268336.83113521617</v>
      </c>
    </row>
    <row r="4946" spans="12:13" x14ac:dyDescent="0.2">
      <c r="L4946" s="4">
        <v>4940</v>
      </c>
      <c r="M4946" s="21">
        <v>-170266.91091456678</v>
      </c>
    </row>
    <row r="4947" spans="12:13" x14ac:dyDescent="0.2">
      <c r="L4947" s="4">
        <v>4941</v>
      </c>
      <c r="M4947" s="21">
        <v>-200162.05347901012</v>
      </c>
    </row>
    <row r="4948" spans="12:13" x14ac:dyDescent="0.2">
      <c r="L4948" s="4">
        <v>4942</v>
      </c>
      <c r="M4948" s="21">
        <v>17276.915101491439</v>
      </c>
    </row>
    <row r="4949" spans="12:13" x14ac:dyDescent="0.2">
      <c r="L4949" s="4">
        <v>4943</v>
      </c>
      <c r="M4949" s="21">
        <v>-128488.6931418148</v>
      </c>
    </row>
    <row r="4950" spans="12:13" x14ac:dyDescent="0.2">
      <c r="L4950" s="4">
        <v>4944</v>
      </c>
      <c r="M4950" s="21">
        <v>162405.97153441035</v>
      </c>
    </row>
    <row r="4951" spans="12:13" x14ac:dyDescent="0.2">
      <c r="L4951" s="4">
        <v>4945</v>
      </c>
      <c r="M4951" s="21">
        <v>-18139.106019893065</v>
      </c>
    </row>
    <row r="4952" spans="12:13" x14ac:dyDescent="0.2">
      <c r="L4952" s="4">
        <v>4946</v>
      </c>
      <c r="M4952" s="21">
        <v>-251314.42340733804</v>
      </c>
    </row>
    <row r="4953" spans="12:13" x14ac:dyDescent="0.2">
      <c r="L4953" s="4">
        <v>4947</v>
      </c>
      <c r="M4953" s="21">
        <v>66555.772485285794</v>
      </c>
    </row>
    <row r="4954" spans="12:13" x14ac:dyDescent="0.2">
      <c r="L4954" s="4">
        <v>4948</v>
      </c>
      <c r="M4954" s="21">
        <v>4481.2630905430415</v>
      </c>
    </row>
    <row r="4955" spans="12:13" x14ac:dyDescent="0.2">
      <c r="L4955" s="4">
        <v>4949</v>
      </c>
      <c r="M4955" s="21">
        <v>-382724.43429187703</v>
      </c>
    </row>
    <row r="4956" spans="12:13" x14ac:dyDescent="0.2">
      <c r="L4956" s="4">
        <v>4950</v>
      </c>
      <c r="M4956" s="21">
        <v>-1482.1897066561505</v>
      </c>
    </row>
    <row r="4957" spans="12:13" x14ac:dyDescent="0.2">
      <c r="L4957" s="4">
        <v>4951</v>
      </c>
      <c r="M4957" s="21">
        <v>-36660.283827015781</v>
      </c>
    </row>
    <row r="4958" spans="12:13" x14ac:dyDescent="0.2">
      <c r="L4958" s="4">
        <v>4952</v>
      </c>
      <c r="M4958" s="21">
        <v>-127036.50927427241</v>
      </c>
    </row>
    <row r="4959" spans="12:13" x14ac:dyDescent="0.2">
      <c r="L4959" s="4">
        <v>4953</v>
      </c>
      <c r="M4959" s="21">
        <v>258173.11703548423</v>
      </c>
    </row>
    <row r="4960" spans="12:13" x14ac:dyDescent="0.2">
      <c r="L4960" s="4">
        <v>4954</v>
      </c>
      <c r="M4960" s="21">
        <v>-11395.737105291162</v>
      </c>
    </row>
    <row r="4961" spans="12:13" x14ac:dyDescent="0.2">
      <c r="L4961" s="4">
        <v>4955</v>
      </c>
      <c r="M4961" s="21">
        <v>132121.70057135558</v>
      </c>
    </row>
    <row r="4962" spans="12:13" x14ac:dyDescent="0.2">
      <c r="L4962" s="4">
        <v>4956</v>
      </c>
      <c r="M4962" s="21">
        <v>-6178.3499725393485</v>
      </c>
    </row>
    <row r="4963" spans="12:13" x14ac:dyDescent="0.2">
      <c r="L4963" s="4">
        <v>4957</v>
      </c>
      <c r="M4963" s="21">
        <v>105732.72583326718</v>
      </c>
    </row>
    <row r="4964" spans="12:13" x14ac:dyDescent="0.2">
      <c r="L4964" s="4">
        <v>4958</v>
      </c>
      <c r="M4964" s="21">
        <v>-188719.32207085646</v>
      </c>
    </row>
    <row r="4965" spans="12:13" x14ac:dyDescent="0.2">
      <c r="L4965" s="4">
        <v>4959</v>
      </c>
      <c r="M4965" s="21">
        <v>-170960.50894666644</v>
      </c>
    </row>
    <row r="4966" spans="12:13" x14ac:dyDescent="0.2">
      <c r="L4966" s="4">
        <v>4960</v>
      </c>
      <c r="M4966" s="21">
        <v>18268.024470005388</v>
      </c>
    </row>
    <row r="4967" spans="12:13" x14ac:dyDescent="0.2">
      <c r="L4967" s="4">
        <v>4961</v>
      </c>
      <c r="M4967" s="21">
        <v>74074.011963411263</v>
      </c>
    </row>
    <row r="4968" spans="12:13" x14ac:dyDescent="0.2">
      <c r="L4968" s="4">
        <v>4962</v>
      </c>
      <c r="M4968" s="21">
        <v>-82348.254129898065</v>
      </c>
    </row>
    <row r="4969" spans="12:13" x14ac:dyDescent="0.2">
      <c r="L4969" s="4">
        <v>4963</v>
      </c>
      <c r="M4969" s="21">
        <v>3911.952350531501</v>
      </c>
    </row>
    <row r="4970" spans="12:13" x14ac:dyDescent="0.2">
      <c r="L4970" s="4">
        <v>4964</v>
      </c>
      <c r="M4970" s="21">
        <v>-95563.831589348774</v>
      </c>
    </row>
    <row r="4971" spans="12:13" x14ac:dyDescent="0.2">
      <c r="L4971" s="4">
        <v>4965</v>
      </c>
      <c r="M4971" s="21">
        <v>150242.56841437623</v>
      </c>
    </row>
    <row r="4972" spans="12:13" x14ac:dyDescent="0.2">
      <c r="L4972" s="4">
        <v>4966</v>
      </c>
      <c r="M4972" s="21">
        <v>70631.498899977625</v>
      </c>
    </row>
    <row r="4973" spans="12:13" x14ac:dyDescent="0.2">
      <c r="L4973" s="4">
        <v>4967</v>
      </c>
      <c r="M4973" s="21">
        <v>-101364.72989034458</v>
      </c>
    </row>
    <row r="4974" spans="12:13" x14ac:dyDescent="0.2">
      <c r="L4974" s="4">
        <v>4968</v>
      </c>
      <c r="M4974" s="21">
        <v>-52769.39787833218</v>
      </c>
    </row>
    <row r="4975" spans="12:13" x14ac:dyDescent="0.2">
      <c r="L4975" s="4">
        <v>4969</v>
      </c>
      <c r="M4975" s="21">
        <v>-42079.651703254291</v>
      </c>
    </row>
    <row r="4976" spans="12:13" x14ac:dyDescent="0.2">
      <c r="L4976" s="4">
        <v>4970</v>
      </c>
      <c r="M4976" s="21">
        <v>193069.82104093768</v>
      </c>
    </row>
    <row r="4977" spans="12:13" x14ac:dyDescent="0.2">
      <c r="L4977" s="4">
        <v>4971</v>
      </c>
      <c r="M4977" s="21">
        <v>737524.93080650805</v>
      </c>
    </row>
    <row r="4978" spans="12:13" x14ac:dyDescent="0.2">
      <c r="L4978" s="4">
        <v>4972</v>
      </c>
      <c r="M4978" s="21">
        <v>257390.47751277915</v>
      </c>
    </row>
    <row r="4979" spans="12:13" x14ac:dyDescent="0.2">
      <c r="L4979" s="4">
        <v>4973</v>
      </c>
      <c r="M4979" s="21">
        <v>-59285.406336437547</v>
      </c>
    </row>
    <row r="4980" spans="12:13" x14ac:dyDescent="0.2">
      <c r="L4980" s="4">
        <v>4974</v>
      </c>
      <c r="M4980" s="21">
        <v>-15358.756657817663</v>
      </c>
    </row>
    <row r="4981" spans="12:13" x14ac:dyDescent="0.2">
      <c r="L4981" s="4">
        <v>4975</v>
      </c>
      <c r="M4981" s="21">
        <v>281431.95875115704</v>
      </c>
    </row>
    <row r="4982" spans="12:13" x14ac:dyDescent="0.2">
      <c r="L4982" s="4">
        <v>4976</v>
      </c>
      <c r="M4982" s="21">
        <v>-189292.39833270648</v>
      </c>
    </row>
    <row r="4983" spans="12:13" x14ac:dyDescent="0.2">
      <c r="L4983" s="4">
        <v>4977</v>
      </c>
      <c r="M4983" s="21">
        <v>98964.99856534772</v>
      </c>
    </row>
    <row r="4984" spans="12:13" x14ac:dyDescent="0.2">
      <c r="L4984" s="4">
        <v>4978</v>
      </c>
      <c r="M4984" s="21">
        <v>-118829.9772460555</v>
      </c>
    </row>
    <row r="4985" spans="12:13" x14ac:dyDescent="0.2">
      <c r="L4985" s="4">
        <v>4979</v>
      </c>
      <c r="M4985" s="21">
        <v>94881.231497349072</v>
      </c>
    </row>
    <row r="4986" spans="12:13" x14ac:dyDescent="0.2">
      <c r="L4986" s="4">
        <v>4980</v>
      </c>
      <c r="M4986" s="21">
        <v>-133835.18540014024</v>
      </c>
    </row>
    <row r="4987" spans="12:13" x14ac:dyDescent="0.2">
      <c r="L4987" s="4">
        <v>4981</v>
      </c>
      <c r="M4987" s="21">
        <v>59686.621083714272</v>
      </c>
    </row>
    <row r="4988" spans="12:13" x14ac:dyDescent="0.2">
      <c r="L4988" s="4">
        <v>4982</v>
      </c>
      <c r="M4988" s="21">
        <v>-222750.98575676832</v>
      </c>
    </row>
    <row r="4989" spans="12:13" x14ac:dyDescent="0.2">
      <c r="L4989" s="4">
        <v>4983</v>
      </c>
      <c r="M4989" s="21">
        <v>298884.79464851075</v>
      </c>
    </row>
    <row r="4990" spans="12:13" x14ac:dyDescent="0.2">
      <c r="L4990" s="4">
        <v>4984</v>
      </c>
      <c r="M4990" s="21">
        <v>-122561.33124241329</v>
      </c>
    </row>
    <row r="4991" spans="12:13" x14ac:dyDescent="0.2">
      <c r="L4991" s="4">
        <v>4985</v>
      </c>
      <c r="M4991" s="21">
        <v>179719.2747784947</v>
      </c>
    </row>
    <row r="4992" spans="12:13" x14ac:dyDescent="0.2">
      <c r="L4992" s="4">
        <v>4986</v>
      </c>
      <c r="M4992" s="21">
        <v>-90514.15665151985</v>
      </c>
    </row>
    <row r="4993" spans="12:13" x14ac:dyDescent="0.2">
      <c r="L4993" s="4">
        <v>4987</v>
      </c>
      <c r="M4993" s="21">
        <v>96577.185755354469</v>
      </c>
    </row>
    <row r="4994" spans="12:13" x14ac:dyDescent="0.2">
      <c r="L4994" s="4">
        <v>4988</v>
      </c>
      <c r="M4994" s="21">
        <v>28499.998408548796</v>
      </c>
    </row>
    <row r="4995" spans="12:13" x14ac:dyDescent="0.2">
      <c r="L4995" s="4">
        <v>4989</v>
      </c>
      <c r="M4995" s="21">
        <v>36930.105256906274</v>
      </c>
    </row>
    <row r="4996" spans="12:13" x14ac:dyDescent="0.2">
      <c r="L4996" s="4">
        <v>4990</v>
      </c>
      <c r="M4996" s="21">
        <v>639995.97583476768</v>
      </c>
    </row>
    <row r="4997" spans="12:13" x14ac:dyDescent="0.2">
      <c r="L4997" s="4">
        <v>4991</v>
      </c>
      <c r="M4997" s="21">
        <v>29327.538008324831</v>
      </c>
    </row>
    <row r="4998" spans="12:13" x14ac:dyDescent="0.2">
      <c r="L4998" s="4">
        <v>4992</v>
      </c>
      <c r="M4998" s="21">
        <v>-163307.10389480798</v>
      </c>
    </row>
    <row r="4999" spans="12:13" x14ac:dyDescent="0.2">
      <c r="L4999" s="4">
        <v>4993</v>
      </c>
      <c r="M4999" s="21">
        <v>10321.759085787664</v>
      </c>
    </row>
    <row r="5000" spans="12:13" x14ac:dyDescent="0.2">
      <c r="L5000" s="4">
        <v>4994</v>
      </c>
      <c r="M5000" s="21">
        <v>-295665.16429682274</v>
      </c>
    </row>
    <row r="5001" spans="12:13" x14ac:dyDescent="0.2">
      <c r="L5001" s="4">
        <v>4995</v>
      </c>
      <c r="M5001" s="21">
        <v>-133450.72769315494</v>
      </c>
    </row>
    <row r="5002" spans="12:13" x14ac:dyDescent="0.2">
      <c r="L5002" s="4">
        <v>4996</v>
      </c>
      <c r="M5002" s="21">
        <v>-200016.46964252699</v>
      </c>
    </row>
    <row r="5003" spans="12:13" x14ac:dyDescent="0.2">
      <c r="L5003" s="4">
        <v>4997</v>
      </c>
      <c r="M5003" s="21">
        <v>499470.66926628246</v>
      </c>
    </row>
    <row r="5004" spans="12:13" x14ac:dyDescent="0.2">
      <c r="L5004" s="4">
        <v>4998</v>
      </c>
      <c r="M5004" s="21">
        <v>-217425.61641152896</v>
      </c>
    </row>
    <row r="5005" spans="12:13" x14ac:dyDescent="0.2">
      <c r="L5005" s="4">
        <v>4999</v>
      </c>
      <c r="M5005" s="21">
        <v>-182289.31240724976</v>
      </c>
    </row>
    <row r="5006" spans="12:13" x14ac:dyDescent="0.2">
      <c r="L5006" s="4">
        <v>5000</v>
      </c>
      <c r="M5006" s="21">
        <v>-317443.09656710288</v>
      </c>
    </row>
  </sheetData>
  <pageMargins left="0.75" right="0.75" top="1" bottom="1" header="0.5" footer="0.5"/>
  <pageSetup paperSize="9" fitToHeight="0" orientation="landscape"/>
  <rowBreaks count="2" manualBreakCount="2">
    <brk id="19" max="16383" man="1"/>
    <brk id="49" max="16383" man="1"/>
  </rowBreaks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006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" customWidth="1"/>
    <col min="2" max="2" width="46" customWidth="1"/>
    <col min="3" max="3" width="15" customWidth="1"/>
    <col min="4" max="8" width="13" customWidth="1"/>
    <col min="9" max="10" width="14" customWidth="1"/>
    <col min="11" max="11" width="3" customWidth="1"/>
    <col min="12" max="12" width="10" customWidth="1"/>
    <col min="13" max="13" width="14" customWidth="1"/>
    <col min="14" max="14" width="12" customWidth="1"/>
    <col min="15" max="15" width="13" customWidth="1"/>
    <col min="16" max="16" width="3" customWidth="1"/>
    <col min="17" max="18" width="13" customWidth="1"/>
    <col min="19" max="19" width="11" customWidth="1"/>
    <col min="20" max="20" width="10" customWidth="1"/>
    <col min="21" max="22" width="11" customWidth="1"/>
  </cols>
  <sheetData>
    <row r="1" spans="2:22" ht="18" x14ac:dyDescent="0.2">
      <c r="B1" s="16" t="s">
        <v>110</v>
      </c>
    </row>
    <row r="2" spans="2:22" x14ac:dyDescent="0.2">
      <c r="B2" s="2" t="s">
        <v>111</v>
      </c>
    </row>
    <row r="3" spans="2:22" x14ac:dyDescent="0.2">
      <c r="B3" s="2" t="s">
        <v>36</v>
      </c>
    </row>
    <row r="4" spans="2:22" x14ac:dyDescent="0.2">
      <c r="L4" s="3" t="s">
        <v>37</v>
      </c>
      <c r="M4" s="3"/>
      <c r="N4" s="3"/>
      <c r="O4" s="3"/>
      <c r="Q4" s="3" t="s">
        <v>38</v>
      </c>
      <c r="R4" s="3"/>
      <c r="S4" s="3"/>
      <c r="T4" s="3"/>
      <c r="U4" s="3"/>
      <c r="V4" s="3"/>
    </row>
    <row r="5" spans="2:22" x14ac:dyDescent="0.2">
      <c r="B5" s="3" t="s">
        <v>39</v>
      </c>
      <c r="C5" s="3"/>
      <c r="D5" s="3"/>
      <c r="E5" s="3"/>
      <c r="F5" s="3"/>
      <c r="G5" s="3"/>
      <c r="H5" s="3"/>
      <c r="I5" s="3"/>
      <c r="J5" s="3"/>
      <c r="L5" s="5" t="s">
        <v>40</v>
      </c>
      <c r="M5" s="6" t="s">
        <v>41</v>
      </c>
      <c r="Q5" s="4" t="s">
        <v>42</v>
      </c>
      <c r="R5" s="17">
        <f>ROUNDUP((MAX($M$7:$M$5006)-MIN($M$7:$M$5006))/30/10000,0)*10000</f>
        <v>40000</v>
      </c>
    </row>
    <row r="6" spans="2:22" x14ac:dyDescent="0.2">
      <c r="B6" s="4" t="s">
        <v>43</v>
      </c>
      <c r="C6" s="18">
        <v>1</v>
      </c>
      <c r="D6" s="2" t="s">
        <v>44</v>
      </c>
      <c r="M6" s="19">
        <f ca="1">$C$40</f>
        <v>92071.244095479517</v>
      </c>
      <c r="Q6" s="5" t="s">
        <v>45</v>
      </c>
      <c r="R6" s="6" t="s">
        <v>46</v>
      </c>
      <c r="S6" s="6" t="s">
        <v>47</v>
      </c>
      <c r="T6" s="6" t="s">
        <v>48</v>
      </c>
      <c r="U6" s="6" t="s">
        <v>49</v>
      </c>
      <c r="V6" s="6" t="s">
        <v>50</v>
      </c>
    </row>
    <row r="7" spans="2:22" x14ac:dyDescent="0.2">
      <c r="B7" s="4" t="s">
        <v>51</v>
      </c>
      <c r="C7" s="20">
        <v>800000</v>
      </c>
      <c r="L7" s="4">
        <v>1</v>
      </c>
      <c r="M7" s="21">
        <f t="dataTable" ref="M7:M5006" dt2D="0" dtr="0" r1="Z1" ca="1"/>
        <v>-29448.827792700002</v>
      </c>
      <c r="Q7" s="17">
        <f>INT(MIN($M$7:$M$5006)/$R$5)*$R$5</f>
        <v>-520000</v>
      </c>
      <c r="R7" s="17">
        <f t="shared" ref="R7:R38" si="0">Q7+$R$5</f>
        <v>-480000</v>
      </c>
      <c r="S7" s="12" t="str">
        <f t="shared" ref="S7:S38" si="1">TEXT((Q7+R7)/2000,"#,##0")&amp;"k"</f>
        <v>-500k</v>
      </c>
      <c r="T7" s="22">
        <f t="shared" ref="T7:T38" si="2">COUNTIFS($M$7:$M$5006,"&gt;="&amp;Q7,$M$7:$M$5006,"&lt;"&amp;R7)</f>
        <v>6</v>
      </c>
      <c r="U7" s="23">
        <f t="shared" ref="U7:U38" si="3">IF(R7&lt;=0,T7/COUNT($M$7:$M$5006),0)</f>
        <v>1.1999999999999999E-3</v>
      </c>
      <c r="V7" s="23">
        <f t="shared" ref="V7:V38" si="4">IF(Q7&gt;=0,T7/COUNT($M$7:$M$5006),0)</f>
        <v>0</v>
      </c>
    </row>
    <row r="8" spans="2:22" x14ac:dyDescent="0.2">
      <c r="B8" s="4" t="s">
        <v>52</v>
      </c>
      <c r="C8" s="24">
        <v>15000</v>
      </c>
      <c r="L8" s="4">
        <v>2</v>
      </c>
      <c r="M8" s="21">
        <v>83450.591029487667</v>
      </c>
      <c r="Q8" s="17">
        <f t="shared" ref="Q8:Q38" si="5">R7</f>
        <v>-480000</v>
      </c>
      <c r="R8" s="17">
        <f t="shared" si="0"/>
        <v>-440000</v>
      </c>
      <c r="S8" s="12" t="str">
        <f t="shared" si="1"/>
        <v>-460k</v>
      </c>
      <c r="T8" s="22">
        <f t="shared" si="2"/>
        <v>5</v>
      </c>
      <c r="U8" s="23">
        <f t="shared" si="3"/>
        <v>1E-3</v>
      </c>
      <c r="V8" s="23">
        <f t="shared" si="4"/>
        <v>0</v>
      </c>
    </row>
    <row r="9" spans="2:22" x14ac:dyDescent="0.2">
      <c r="B9" s="4" t="s">
        <v>53</v>
      </c>
      <c r="C9" s="25">
        <v>50</v>
      </c>
      <c r="L9" s="4">
        <v>3</v>
      </c>
      <c r="M9" s="21">
        <v>-80931.505843965511</v>
      </c>
      <c r="Q9" s="17">
        <f t="shared" si="5"/>
        <v>-440000</v>
      </c>
      <c r="R9" s="17">
        <f t="shared" si="0"/>
        <v>-400000</v>
      </c>
      <c r="S9" s="12" t="str">
        <f t="shared" si="1"/>
        <v>-420k</v>
      </c>
      <c r="T9" s="22">
        <f t="shared" si="2"/>
        <v>11</v>
      </c>
      <c r="U9" s="23">
        <f t="shared" si="3"/>
        <v>2.2000000000000001E-3</v>
      </c>
      <c r="V9" s="23">
        <f t="shared" si="4"/>
        <v>0</v>
      </c>
    </row>
    <row r="10" spans="2:22" x14ac:dyDescent="0.2">
      <c r="B10" s="4" t="s">
        <v>54</v>
      </c>
      <c r="C10" s="25">
        <v>30</v>
      </c>
      <c r="L10" s="4">
        <v>4</v>
      </c>
      <c r="M10" s="21">
        <v>-41215.938586542223</v>
      </c>
      <c r="Q10" s="17">
        <f t="shared" si="5"/>
        <v>-400000</v>
      </c>
      <c r="R10" s="17">
        <f t="shared" si="0"/>
        <v>-360000</v>
      </c>
      <c r="S10" s="12" t="str">
        <f t="shared" si="1"/>
        <v>-380k</v>
      </c>
      <c r="T10" s="22">
        <f t="shared" si="2"/>
        <v>19</v>
      </c>
      <c r="U10" s="23">
        <f t="shared" si="3"/>
        <v>3.8E-3</v>
      </c>
      <c r="V10" s="23">
        <f t="shared" si="4"/>
        <v>0</v>
      </c>
    </row>
    <row r="11" spans="2:22" x14ac:dyDescent="0.2">
      <c r="B11" s="4" t="s">
        <v>55</v>
      </c>
      <c r="C11" s="20">
        <v>80000</v>
      </c>
      <c r="L11" s="4">
        <v>5</v>
      </c>
      <c r="M11" s="21">
        <v>-193428.79682763331</v>
      </c>
      <c r="Q11" s="17">
        <f t="shared" si="5"/>
        <v>-360000</v>
      </c>
      <c r="R11" s="17">
        <f t="shared" si="0"/>
        <v>-320000</v>
      </c>
      <c r="S11" s="12" t="str">
        <f t="shared" si="1"/>
        <v>-340k</v>
      </c>
      <c r="T11" s="22">
        <f t="shared" si="2"/>
        <v>52</v>
      </c>
      <c r="U11" s="23">
        <f t="shared" si="3"/>
        <v>1.04E-2</v>
      </c>
      <c r="V11" s="23">
        <f t="shared" si="4"/>
        <v>0</v>
      </c>
    </row>
    <row r="12" spans="2:22" x14ac:dyDescent="0.2">
      <c r="B12" s="4" t="s">
        <v>56</v>
      </c>
      <c r="C12" s="26">
        <v>0.1</v>
      </c>
      <c r="L12" s="4">
        <v>6</v>
      </c>
      <c r="M12" s="21">
        <v>-30268.980245696264</v>
      </c>
      <c r="Q12" s="17">
        <f t="shared" si="5"/>
        <v>-320000</v>
      </c>
      <c r="R12" s="17">
        <f t="shared" si="0"/>
        <v>-280000</v>
      </c>
      <c r="S12" s="12" t="str">
        <f t="shared" si="1"/>
        <v>-300k</v>
      </c>
      <c r="T12" s="22">
        <f t="shared" si="2"/>
        <v>81</v>
      </c>
      <c r="U12" s="23">
        <f t="shared" si="3"/>
        <v>1.6199999999999999E-2</v>
      </c>
      <c r="V12" s="23">
        <f t="shared" si="4"/>
        <v>0</v>
      </c>
    </row>
    <row r="13" spans="2:22" x14ac:dyDescent="0.2">
      <c r="B13" s="4" t="s">
        <v>112</v>
      </c>
      <c r="C13" s="24">
        <v>17000</v>
      </c>
      <c r="L13" s="4">
        <v>7</v>
      </c>
      <c r="M13" s="21">
        <v>87143.41772465696</v>
      </c>
      <c r="Q13" s="17">
        <f t="shared" si="5"/>
        <v>-280000</v>
      </c>
      <c r="R13" s="17">
        <f t="shared" si="0"/>
        <v>-240000</v>
      </c>
      <c r="S13" s="12" t="str">
        <f t="shared" si="1"/>
        <v>-260k</v>
      </c>
      <c r="T13" s="22">
        <f t="shared" si="2"/>
        <v>133</v>
      </c>
      <c r="U13" s="23">
        <f t="shared" si="3"/>
        <v>2.6599999999999999E-2</v>
      </c>
      <c r="V13" s="23">
        <f t="shared" si="4"/>
        <v>0</v>
      </c>
    </row>
    <row r="14" spans="2:22" x14ac:dyDescent="0.2">
      <c r="L14" s="4">
        <v>8</v>
      </c>
      <c r="M14" s="21">
        <v>71990.935543516476</v>
      </c>
      <c r="Q14" s="17">
        <f t="shared" si="5"/>
        <v>-240000</v>
      </c>
      <c r="R14" s="17">
        <f t="shared" si="0"/>
        <v>-200000</v>
      </c>
      <c r="S14" s="12" t="str">
        <f t="shared" si="1"/>
        <v>-220k</v>
      </c>
      <c r="T14" s="22">
        <f t="shared" si="2"/>
        <v>228</v>
      </c>
      <c r="U14" s="23">
        <f t="shared" si="3"/>
        <v>4.5600000000000002E-2</v>
      </c>
      <c r="V14" s="23">
        <f t="shared" si="4"/>
        <v>0</v>
      </c>
    </row>
    <row r="15" spans="2:22" x14ac:dyDescent="0.2">
      <c r="B15" s="3" t="s">
        <v>57</v>
      </c>
      <c r="C15" s="3"/>
      <c r="D15" s="3"/>
      <c r="E15" s="3"/>
      <c r="F15" s="3"/>
      <c r="G15" s="3"/>
      <c r="H15" s="3"/>
      <c r="I15" s="3"/>
      <c r="J15" s="3"/>
      <c r="L15" s="4">
        <v>9</v>
      </c>
      <c r="M15" s="21">
        <v>43537.28447463343</v>
      </c>
      <c r="Q15" s="17">
        <f t="shared" si="5"/>
        <v>-200000</v>
      </c>
      <c r="R15" s="17">
        <f t="shared" si="0"/>
        <v>-160000</v>
      </c>
      <c r="S15" s="12" t="str">
        <f t="shared" si="1"/>
        <v>-180k</v>
      </c>
      <c r="T15" s="22">
        <f t="shared" si="2"/>
        <v>281</v>
      </c>
      <c r="U15" s="23">
        <f t="shared" si="3"/>
        <v>5.62E-2</v>
      </c>
      <c r="V15" s="23">
        <f t="shared" si="4"/>
        <v>0</v>
      </c>
    </row>
    <row r="16" spans="2:22" x14ac:dyDescent="0.2">
      <c r="B16" s="5" t="s">
        <v>58</v>
      </c>
      <c r="C16" s="6" t="s">
        <v>59</v>
      </c>
      <c r="D16" s="6" t="s">
        <v>60</v>
      </c>
      <c r="E16" s="6" t="s">
        <v>61</v>
      </c>
      <c r="F16" s="6" t="s">
        <v>62</v>
      </c>
      <c r="G16" s="6" t="s">
        <v>63</v>
      </c>
      <c r="H16" s="6" t="s">
        <v>64</v>
      </c>
      <c r="I16" s="6" t="s">
        <v>65</v>
      </c>
      <c r="J16" s="6" t="s">
        <v>66</v>
      </c>
      <c r="L16" s="4">
        <v>10</v>
      </c>
      <c r="M16" s="21">
        <v>1370.0795300606987</v>
      </c>
      <c r="Q16" s="17">
        <f t="shared" si="5"/>
        <v>-160000</v>
      </c>
      <c r="R16" s="17">
        <f t="shared" si="0"/>
        <v>-120000</v>
      </c>
      <c r="S16" s="12" t="str">
        <f t="shared" si="1"/>
        <v>-140k</v>
      </c>
      <c r="T16" s="22">
        <f t="shared" si="2"/>
        <v>353</v>
      </c>
      <c r="U16" s="23">
        <f t="shared" si="3"/>
        <v>7.0599999999999996E-2</v>
      </c>
      <c r="V16" s="23">
        <f t="shared" si="4"/>
        <v>0</v>
      </c>
    </row>
    <row r="17" spans="2:22" x14ac:dyDescent="0.2">
      <c r="B17" s="4" t="s">
        <v>53</v>
      </c>
      <c r="C17" s="4" t="s">
        <v>113</v>
      </c>
      <c r="D17" s="27">
        <f>(F17+4*G17+H17)/6</f>
        <v>49.333333333333336</v>
      </c>
      <c r="F17" s="25">
        <v>44</v>
      </c>
      <c r="G17" s="25">
        <v>50</v>
      </c>
      <c r="H17" s="25">
        <v>52</v>
      </c>
      <c r="I17" s="27">
        <f ca="1">_xlfn.BETA.INV(RAND(),C22,C23,F17,H17)</f>
        <v>50.3664161264036</v>
      </c>
      <c r="J17" s="28">
        <f ca="1">IF($C$6=1,I17,$C$9)</f>
        <v>50.3664161264036</v>
      </c>
      <c r="L17" s="4">
        <v>11</v>
      </c>
      <c r="M17" s="21">
        <v>-158049.58997910505</v>
      </c>
      <c r="Q17" s="17">
        <f t="shared" si="5"/>
        <v>-120000</v>
      </c>
      <c r="R17" s="17">
        <f t="shared" si="0"/>
        <v>-80000</v>
      </c>
      <c r="S17" s="12" t="str">
        <f t="shared" si="1"/>
        <v>-100k</v>
      </c>
      <c r="T17" s="22">
        <f t="shared" si="2"/>
        <v>457</v>
      </c>
      <c r="U17" s="23">
        <f t="shared" si="3"/>
        <v>9.1399999999999995E-2</v>
      </c>
      <c r="V17" s="23">
        <f t="shared" si="4"/>
        <v>0</v>
      </c>
    </row>
    <row r="18" spans="2:22" x14ac:dyDescent="0.2">
      <c r="B18" s="4" t="s">
        <v>114</v>
      </c>
      <c r="C18" s="4" t="s">
        <v>67</v>
      </c>
      <c r="D18" s="24">
        <v>15000</v>
      </c>
      <c r="E18" s="24">
        <v>1500</v>
      </c>
      <c r="I18" s="22">
        <f ca="1">_xlfn.NORM.INV(RAND(),D18,E18)</f>
        <v>15436.370208389488</v>
      </c>
      <c r="J18" s="29">
        <f ca="1">IF($C$6=1,MIN(I18,$C$13),$C$8)</f>
        <v>15436.370208389488</v>
      </c>
      <c r="L18" s="4">
        <v>12</v>
      </c>
      <c r="M18" s="21">
        <v>-216173.10210631599</v>
      </c>
      <c r="Q18" s="17">
        <f t="shared" si="5"/>
        <v>-80000</v>
      </c>
      <c r="R18" s="17">
        <f t="shared" si="0"/>
        <v>-40000</v>
      </c>
      <c r="S18" s="12" t="str">
        <f t="shared" si="1"/>
        <v>-60k</v>
      </c>
      <c r="T18" s="22">
        <f t="shared" si="2"/>
        <v>510</v>
      </c>
      <c r="U18" s="23">
        <f t="shared" si="3"/>
        <v>0.10199999999999999</v>
      </c>
      <c r="V18" s="23">
        <f t="shared" si="4"/>
        <v>0</v>
      </c>
    </row>
    <row r="19" spans="2:22" x14ac:dyDescent="0.2">
      <c r="B19" s="4" t="s">
        <v>54</v>
      </c>
      <c r="C19" s="4" t="s">
        <v>115</v>
      </c>
      <c r="D19" s="27">
        <f>C27</f>
        <v>30.0625</v>
      </c>
      <c r="E19" s="32">
        <f>C28</f>
        <v>1.2443443482986767</v>
      </c>
      <c r="I19" s="27">
        <f ca="1">_xlfn.NORM.INV(RAND(),D19,E19)</f>
        <v>29.938935920568305</v>
      </c>
      <c r="J19" s="28">
        <f ca="1">IF($C$6=1,I19,$C$10)</f>
        <v>29.938935920568305</v>
      </c>
      <c r="L19" s="4">
        <v>13</v>
      </c>
      <c r="M19" s="21">
        <v>-116039.56747572293</v>
      </c>
      <c r="Q19" s="17">
        <f t="shared" si="5"/>
        <v>-40000</v>
      </c>
      <c r="R19" s="17">
        <f t="shared" si="0"/>
        <v>0</v>
      </c>
      <c r="S19" s="12" t="str">
        <f t="shared" si="1"/>
        <v>-20k</v>
      </c>
      <c r="T19" s="22">
        <f t="shared" si="2"/>
        <v>538</v>
      </c>
      <c r="U19" s="23">
        <f t="shared" si="3"/>
        <v>0.1076</v>
      </c>
      <c r="V19" s="23">
        <f t="shared" si="4"/>
        <v>0</v>
      </c>
    </row>
    <row r="20" spans="2:22" x14ac:dyDescent="0.2">
      <c r="B20" s="4" t="s">
        <v>55</v>
      </c>
      <c r="C20" s="4" t="s">
        <v>116</v>
      </c>
      <c r="J20" s="17">
        <f>$C$11</f>
        <v>80000</v>
      </c>
      <c r="L20" s="4">
        <v>14</v>
      </c>
      <c r="M20" s="21">
        <v>-856.33995057010907</v>
      </c>
      <c r="Q20" s="17">
        <f t="shared" si="5"/>
        <v>0</v>
      </c>
      <c r="R20" s="17">
        <f t="shared" si="0"/>
        <v>40000</v>
      </c>
      <c r="S20" s="12" t="str">
        <f t="shared" si="1"/>
        <v>20k</v>
      </c>
      <c r="T20" s="22">
        <f t="shared" si="2"/>
        <v>530</v>
      </c>
      <c r="U20" s="23">
        <f t="shared" si="3"/>
        <v>0</v>
      </c>
      <c r="V20" s="23">
        <f t="shared" si="4"/>
        <v>0.106</v>
      </c>
    </row>
    <row r="21" spans="2:22" x14ac:dyDescent="0.2">
      <c r="L21" s="4">
        <v>15</v>
      </c>
      <c r="M21" s="21">
        <v>48322.251256049669</v>
      </c>
      <c r="Q21" s="17">
        <f t="shared" si="5"/>
        <v>40000</v>
      </c>
      <c r="R21" s="17">
        <f t="shared" si="0"/>
        <v>80000</v>
      </c>
      <c r="S21" s="12" t="str">
        <f t="shared" si="1"/>
        <v>60k</v>
      </c>
      <c r="T21" s="22">
        <f t="shared" si="2"/>
        <v>426</v>
      </c>
      <c r="U21" s="23">
        <f t="shared" si="3"/>
        <v>0</v>
      </c>
      <c r="V21" s="23">
        <f t="shared" si="4"/>
        <v>8.5199999999999998E-2</v>
      </c>
    </row>
    <row r="22" spans="2:22" x14ac:dyDescent="0.2">
      <c r="B22" s="34" t="s">
        <v>117</v>
      </c>
      <c r="C22" s="39">
        <f>1+4*(G17-F17)/(H17-F17)</f>
        <v>4</v>
      </c>
      <c r="D22" s="2" t="s">
        <v>118</v>
      </c>
      <c r="L22" s="4">
        <v>16</v>
      </c>
      <c r="M22" s="21">
        <v>-192299.87018479308</v>
      </c>
      <c r="Q22" s="17">
        <f t="shared" si="5"/>
        <v>80000</v>
      </c>
      <c r="R22" s="17">
        <f t="shared" si="0"/>
        <v>120000</v>
      </c>
      <c r="S22" s="12" t="str">
        <f t="shared" si="1"/>
        <v>100k</v>
      </c>
      <c r="T22" s="22">
        <f t="shared" si="2"/>
        <v>407</v>
      </c>
      <c r="U22" s="23">
        <f t="shared" si="3"/>
        <v>0</v>
      </c>
      <c r="V22" s="23">
        <f t="shared" si="4"/>
        <v>8.14E-2</v>
      </c>
    </row>
    <row r="23" spans="2:22" x14ac:dyDescent="0.2">
      <c r="B23" s="34" t="s">
        <v>119</v>
      </c>
      <c r="C23" s="39">
        <f>1+4*(H17-G17)/(H17-F17)</f>
        <v>2</v>
      </c>
      <c r="L23" s="4">
        <v>17</v>
      </c>
      <c r="M23" s="21">
        <v>-37052.860604816102</v>
      </c>
      <c r="Q23" s="17">
        <f t="shared" si="5"/>
        <v>120000</v>
      </c>
      <c r="R23" s="17">
        <f t="shared" si="0"/>
        <v>160000</v>
      </c>
      <c r="S23" s="12" t="str">
        <f t="shared" si="1"/>
        <v>140k</v>
      </c>
      <c r="T23" s="22">
        <f t="shared" si="2"/>
        <v>325</v>
      </c>
      <c r="U23" s="23">
        <f t="shared" si="3"/>
        <v>0</v>
      </c>
      <c r="V23" s="23">
        <f t="shared" si="4"/>
        <v>6.5000000000000002E-2</v>
      </c>
    </row>
    <row r="24" spans="2:22" x14ac:dyDescent="0.2">
      <c r="L24" s="4">
        <v>18</v>
      </c>
      <c r="M24" s="21">
        <v>-15469.634452491868</v>
      </c>
      <c r="Q24" s="17">
        <f t="shared" si="5"/>
        <v>160000</v>
      </c>
      <c r="R24" s="17">
        <f t="shared" si="0"/>
        <v>200000</v>
      </c>
      <c r="S24" s="12" t="str">
        <f t="shared" si="1"/>
        <v>180k</v>
      </c>
      <c r="T24" s="22">
        <f t="shared" si="2"/>
        <v>255</v>
      </c>
      <c r="U24" s="23">
        <f t="shared" si="3"/>
        <v>0</v>
      </c>
      <c r="V24" s="23">
        <f t="shared" si="4"/>
        <v>5.0999999999999997E-2</v>
      </c>
    </row>
    <row r="25" spans="2:22" x14ac:dyDescent="0.2">
      <c r="B25" s="5" t="s">
        <v>120</v>
      </c>
      <c r="C25" s="6" t="s">
        <v>121</v>
      </c>
      <c r="D25" s="6" t="s">
        <v>122</v>
      </c>
      <c r="E25" s="6" t="s">
        <v>123</v>
      </c>
      <c r="F25" s="6" t="s">
        <v>124</v>
      </c>
      <c r="G25" s="6" t="s">
        <v>125</v>
      </c>
      <c r="H25" s="6" t="s">
        <v>126</v>
      </c>
      <c r="I25" s="6" t="s">
        <v>127</v>
      </c>
      <c r="J25" s="6" t="s">
        <v>128</v>
      </c>
      <c r="L25" s="4">
        <v>19</v>
      </c>
      <c r="M25" s="21">
        <v>241737.94650515958</v>
      </c>
      <c r="Q25" s="17">
        <f t="shared" si="5"/>
        <v>200000</v>
      </c>
      <c r="R25" s="17">
        <f t="shared" si="0"/>
        <v>240000</v>
      </c>
      <c r="S25" s="12" t="str">
        <f t="shared" si="1"/>
        <v>220k</v>
      </c>
      <c r="T25" s="22">
        <f t="shared" si="2"/>
        <v>174</v>
      </c>
      <c r="U25" s="23">
        <f t="shared" si="3"/>
        <v>0</v>
      </c>
      <c r="V25" s="23">
        <f t="shared" si="4"/>
        <v>3.4799999999999998E-2</v>
      </c>
    </row>
    <row r="26" spans="2:22" x14ac:dyDescent="0.2">
      <c r="B26" s="4" t="s">
        <v>129</v>
      </c>
      <c r="C26" s="25">
        <v>28.5</v>
      </c>
      <c r="D26" s="25">
        <v>29</v>
      </c>
      <c r="E26" s="25">
        <v>31.2</v>
      </c>
      <c r="F26" s="25">
        <v>30.4</v>
      </c>
      <c r="G26" s="25">
        <v>29.8</v>
      </c>
      <c r="H26" s="25">
        <v>32.1</v>
      </c>
      <c r="I26" s="25">
        <v>30.6</v>
      </c>
      <c r="J26" s="25">
        <v>28.9</v>
      </c>
      <c r="L26" s="4">
        <v>20</v>
      </c>
      <c r="M26" s="21">
        <v>54746.847503982252</v>
      </c>
      <c r="Q26" s="17">
        <f t="shared" si="5"/>
        <v>240000</v>
      </c>
      <c r="R26" s="17">
        <f t="shared" si="0"/>
        <v>280000</v>
      </c>
      <c r="S26" s="12" t="str">
        <f t="shared" si="1"/>
        <v>260k</v>
      </c>
      <c r="T26" s="22">
        <f t="shared" si="2"/>
        <v>97</v>
      </c>
      <c r="U26" s="23">
        <f t="shared" si="3"/>
        <v>0</v>
      </c>
      <c r="V26" s="23">
        <f t="shared" si="4"/>
        <v>1.9400000000000001E-2</v>
      </c>
    </row>
    <row r="27" spans="2:22" x14ac:dyDescent="0.2">
      <c r="B27" s="34" t="s">
        <v>130</v>
      </c>
      <c r="C27" s="32">
        <f>AVERAGE(C26:J26)</f>
        <v>30.0625</v>
      </c>
      <c r="L27" s="4">
        <v>21</v>
      </c>
      <c r="M27" s="21">
        <v>-120292.21534169999</v>
      </c>
      <c r="Q27" s="17">
        <f t="shared" si="5"/>
        <v>280000</v>
      </c>
      <c r="R27" s="17">
        <f t="shared" si="0"/>
        <v>320000</v>
      </c>
      <c r="S27" s="12" t="str">
        <f t="shared" si="1"/>
        <v>300k</v>
      </c>
      <c r="T27" s="22">
        <f t="shared" si="2"/>
        <v>63</v>
      </c>
      <c r="U27" s="23">
        <f t="shared" si="3"/>
        <v>0</v>
      </c>
      <c r="V27" s="23">
        <f t="shared" si="4"/>
        <v>1.26E-2</v>
      </c>
    </row>
    <row r="28" spans="2:22" x14ac:dyDescent="0.2">
      <c r="B28" s="34" t="s">
        <v>131</v>
      </c>
      <c r="C28" s="32">
        <f>_xlfn.STDEV.S(C26:J26)</f>
        <v>1.2443443482986767</v>
      </c>
      <c r="D28" s="2" t="s">
        <v>132</v>
      </c>
      <c r="L28" s="4">
        <v>22</v>
      </c>
      <c r="M28" s="21">
        <v>-38936.095319951317</v>
      </c>
      <c r="Q28" s="17">
        <f t="shared" si="5"/>
        <v>320000</v>
      </c>
      <c r="R28" s="17">
        <f t="shared" si="0"/>
        <v>360000</v>
      </c>
      <c r="S28" s="12" t="str">
        <f t="shared" si="1"/>
        <v>340k</v>
      </c>
      <c r="T28" s="22">
        <f t="shared" si="2"/>
        <v>24</v>
      </c>
      <c r="U28" s="23">
        <f t="shared" si="3"/>
        <v>0</v>
      </c>
      <c r="V28" s="23">
        <f t="shared" si="4"/>
        <v>4.7999999999999996E-3</v>
      </c>
    </row>
    <row r="29" spans="2:22" x14ac:dyDescent="0.2">
      <c r="L29" s="4">
        <v>23</v>
      </c>
      <c r="M29" s="21">
        <v>175733.54803958142</v>
      </c>
      <c r="Q29" s="17">
        <f t="shared" si="5"/>
        <v>360000</v>
      </c>
      <c r="R29" s="17">
        <f t="shared" si="0"/>
        <v>400000</v>
      </c>
      <c r="S29" s="12" t="str">
        <f t="shared" si="1"/>
        <v>380k</v>
      </c>
      <c r="T29" s="22">
        <f t="shared" si="2"/>
        <v>17</v>
      </c>
      <c r="U29" s="23">
        <f t="shared" si="3"/>
        <v>0</v>
      </c>
      <c r="V29" s="23">
        <f t="shared" si="4"/>
        <v>3.3999999999999998E-3</v>
      </c>
    </row>
    <row r="30" spans="2:22" x14ac:dyDescent="0.2">
      <c r="B30" s="3" t="s">
        <v>68</v>
      </c>
      <c r="C30" s="3"/>
      <c r="D30" s="3"/>
      <c r="E30" s="3"/>
      <c r="F30" s="3"/>
      <c r="G30" s="3"/>
      <c r="H30" s="3"/>
      <c r="I30" s="3"/>
      <c r="J30" s="3"/>
      <c r="L30" s="4">
        <v>24</v>
      </c>
      <c r="M30" s="21">
        <v>-216815.9381389186</v>
      </c>
      <c r="Q30" s="17">
        <f t="shared" si="5"/>
        <v>400000</v>
      </c>
      <c r="R30" s="17">
        <f t="shared" si="0"/>
        <v>440000</v>
      </c>
      <c r="S30" s="12" t="str">
        <f t="shared" si="1"/>
        <v>420k</v>
      </c>
      <c r="T30" s="22">
        <f t="shared" si="2"/>
        <v>5</v>
      </c>
      <c r="U30" s="23">
        <f t="shared" si="3"/>
        <v>0</v>
      </c>
      <c r="V30" s="23">
        <f t="shared" si="4"/>
        <v>1E-3</v>
      </c>
    </row>
    <row r="31" spans="2:22" x14ac:dyDescent="0.2">
      <c r="B31" s="5" t="s">
        <v>69</v>
      </c>
      <c r="C31" s="6" t="s">
        <v>70</v>
      </c>
      <c r="D31" s="6" t="s">
        <v>71</v>
      </c>
      <c r="E31" s="6" t="s">
        <v>72</v>
      </c>
      <c r="F31" s="6" t="s">
        <v>73</v>
      </c>
      <c r="G31" s="6" t="s">
        <v>74</v>
      </c>
      <c r="H31" s="6" t="s">
        <v>75</v>
      </c>
      <c r="L31" s="4">
        <v>25</v>
      </c>
      <c r="M31" s="21">
        <v>165260.75565295515</v>
      </c>
      <c r="Q31" s="17">
        <f t="shared" si="5"/>
        <v>440000</v>
      </c>
      <c r="R31" s="17">
        <f t="shared" si="0"/>
        <v>480000</v>
      </c>
      <c r="S31" s="12" t="str">
        <f t="shared" si="1"/>
        <v>460k</v>
      </c>
      <c r="T31" s="22">
        <f t="shared" si="2"/>
        <v>3</v>
      </c>
      <c r="U31" s="23">
        <f t="shared" si="3"/>
        <v>0</v>
      </c>
      <c r="V31" s="23">
        <f t="shared" si="4"/>
        <v>5.9999999999999995E-4</v>
      </c>
    </row>
    <row r="32" spans="2:22" x14ac:dyDescent="0.2">
      <c r="B32" s="4" t="s">
        <v>76</v>
      </c>
      <c r="C32" s="17">
        <f>-$C$7</f>
        <v>-800000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L32" s="4">
        <v>26</v>
      </c>
      <c r="M32" s="21">
        <v>-74542.940919560264</v>
      </c>
      <c r="Q32" s="17">
        <f t="shared" si="5"/>
        <v>480000</v>
      </c>
      <c r="R32" s="17">
        <f t="shared" si="0"/>
        <v>520000</v>
      </c>
      <c r="S32" s="12" t="str">
        <f t="shared" si="1"/>
        <v>500k</v>
      </c>
      <c r="T32" s="22">
        <f t="shared" si="2"/>
        <v>0</v>
      </c>
      <c r="U32" s="23">
        <f t="shared" si="3"/>
        <v>0</v>
      </c>
      <c r="V32" s="23">
        <f t="shared" si="4"/>
        <v>0</v>
      </c>
    </row>
    <row r="33" spans="2:22" x14ac:dyDescent="0.2">
      <c r="B33" s="4" t="s">
        <v>77</v>
      </c>
      <c r="C33" s="17">
        <v>0</v>
      </c>
      <c r="D33" s="17">
        <f ca="1">$J$18*$J$17</f>
        <v>777474.64539696439</v>
      </c>
      <c r="E33" s="17">
        <f ca="1">$J$18*$J$17</f>
        <v>777474.64539696439</v>
      </c>
      <c r="F33" s="17">
        <f ca="1">$J$18*$J$17</f>
        <v>777474.64539696439</v>
      </c>
      <c r="G33" s="17">
        <f ca="1">$J$18*$J$17</f>
        <v>777474.64539696439</v>
      </c>
      <c r="H33" s="17">
        <f ca="1">$J$18*$J$17</f>
        <v>777474.64539696439</v>
      </c>
      <c r="L33" s="4">
        <v>27</v>
      </c>
      <c r="M33" s="21">
        <v>120720.01763330578</v>
      </c>
      <c r="Q33" s="17">
        <f t="shared" si="5"/>
        <v>520000</v>
      </c>
      <c r="R33" s="17">
        <f t="shared" si="0"/>
        <v>560000</v>
      </c>
      <c r="S33" s="12" t="str">
        <f t="shared" si="1"/>
        <v>540k</v>
      </c>
      <c r="T33" s="22">
        <f t="shared" si="2"/>
        <v>0</v>
      </c>
      <c r="U33" s="23">
        <f t="shared" si="3"/>
        <v>0</v>
      </c>
      <c r="V33" s="23">
        <f t="shared" si="4"/>
        <v>0</v>
      </c>
    </row>
    <row r="34" spans="2:22" x14ac:dyDescent="0.2">
      <c r="B34" s="4" t="s">
        <v>78</v>
      </c>
      <c r="C34" s="17">
        <v>0</v>
      </c>
      <c r="D34" s="17">
        <f ca="1">-$J$18*$J$19</f>
        <v>-462148.49851514248</v>
      </c>
      <c r="E34" s="17">
        <f ca="1">-$J$18*$J$19</f>
        <v>-462148.49851514248</v>
      </c>
      <c r="F34" s="17">
        <f ca="1">-$J$18*$J$19</f>
        <v>-462148.49851514248</v>
      </c>
      <c r="G34" s="17">
        <f ca="1">-$J$18*$J$19</f>
        <v>-462148.49851514248</v>
      </c>
      <c r="H34" s="17">
        <f ca="1">-$J$18*$J$19</f>
        <v>-462148.49851514248</v>
      </c>
      <c r="L34" s="4">
        <v>28</v>
      </c>
      <c r="M34" s="21">
        <v>-79458.96945836948</v>
      </c>
      <c r="Q34" s="17">
        <f t="shared" si="5"/>
        <v>560000</v>
      </c>
      <c r="R34" s="17">
        <f t="shared" si="0"/>
        <v>600000</v>
      </c>
      <c r="S34" s="12" t="str">
        <f t="shared" si="1"/>
        <v>580k</v>
      </c>
      <c r="T34" s="22">
        <f t="shared" si="2"/>
        <v>0</v>
      </c>
      <c r="U34" s="23">
        <f t="shared" si="3"/>
        <v>0</v>
      </c>
      <c r="V34" s="23">
        <f t="shared" si="4"/>
        <v>0</v>
      </c>
    </row>
    <row r="35" spans="2:22" x14ac:dyDescent="0.2">
      <c r="B35" s="4" t="s">
        <v>79</v>
      </c>
      <c r="C35" s="17">
        <v>0</v>
      </c>
      <c r="D35" s="17">
        <f>-$C$11</f>
        <v>-80000</v>
      </c>
      <c r="E35" s="17">
        <f>-$C$11</f>
        <v>-80000</v>
      </c>
      <c r="F35" s="17">
        <f>-$C$11</f>
        <v>-80000</v>
      </c>
      <c r="G35" s="17">
        <f>-$C$11</f>
        <v>-80000</v>
      </c>
      <c r="H35" s="17">
        <f>-$C$11</f>
        <v>-80000</v>
      </c>
      <c r="L35" s="4">
        <v>29</v>
      </c>
      <c r="M35" s="21">
        <v>10482.483525014541</v>
      </c>
      <c r="Q35" s="17">
        <f t="shared" si="5"/>
        <v>600000</v>
      </c>
      <c r="R35" s="17">
        <f t="shared" si="0"/>
        <v>640000</v>
      </c>
      <c r="S35" s="12" t="str">
        <f t="shared" si="1"/>
        <v>620k</v>
      </c>
      <c r="T35" s="22">
        <f t="shared" si="2"/>
        <v>0</v>
      </c>
      <c r="U35" s="23">
        <f t="shared" si="3"/>
        <v>0</v>
      </c>
      <c r="V35" s="23">
        <f t="shared" si="4"/>
        <v>0</v>
      </c>
    </row>
    <row r="36" spans="2:22" x14ac:dyDescent="0.2">
      <c r="B36" s="30" t="s">
        <v>80</v>
      </c>
      <c r="C36" s="31">
        <f t="shared" ref="C36:H36" si="6">SUM(C32:C35)</f>
        <v>-800000</v>
      </c>
      <c r="D36" s="31">
        <f t="shared" ca="1" si="6"/>
        <v>235326.14688182191</v>
      </c>
      <c r="E36" s="31">
        <f t="shared" ca="1" si="6"/>
        <v>235326.14688182191</v>
      </c>
      <c r="F36" s="31">
        <f t="shared" ca="1" si="6"/>
        <v>235326.14688182191</v>
      </c>
      <c r="G36" s="31">
        <f t="shared" ca="1" si="6"/>
        <v>235326.14688182191</v>
      </c>
      <c r="H36" s="31">
        <f t="shared" ca="1" si="6"/>
        <v>235326.14688182191</v>
      </c>
      <c r="L36" s="4">
        <v>30</v>
      </c>
      <c r="M36" s="21">
        <v>-85353.220494790803</v>
      </c>
      <c r="Q36" s="17">
        <f t="shared" si="5"/>
        <v>640000</v>
      </c>
      <c r="R36" s="17">
        <f t="shared" si="0"/>
        <v>680000</v>
      </c>
      <c r="S36" s="12" t="str">
        <f t="shared" si="1"/>
        <v>660k</v>
      </c>
      <c r="T36" s="22">
        <f t="shared" si="2"/>
        <v>0</v>
      </c>
      <c r="U36" s="23">
        <f t="shared" si="3"/>
        <v>0</v>
      </c>
      <c r="V36" s="23">
        <f t="shared" si="4"/>
        <v>0</v>
      </c>
    </row>
    <row r="37" spans="2:22" x14ac:dyDescent="0.2">
      <c r="B37" s="4" t="s">
        <v>81</v>
      </c>
      <c r="C37" s="32">
        <f>1/(1+$C$12)^0</f>
        <v>1</v>
      </c>
      <c r="D37" s="32">
        <f>1/(1+$C$12)^1</f>
        <v>0.90909090909090906</v>
      </c>
      <c r="E37" s="32">
        <f>1/(1+$C$12)^2</f>
        <v>0.82644628099173545</v>
      </c>
      <c r="F37" s="32">
        <f>1/(1+$C$12)^3</f>
        <v>0.75131480090157754</v>
      </c>
      <c r="G37" s="32">
        <f>1/(1+$C$12)^4</f>
        <v>0.68301345536507052</v>
      </c>
      <c r="H37" s="32">
        <f>1/(1+$C$12)^5</f>
        <v>0.62092132305915493</v>
      </c>
      <c r="L37" s="4">
        <v>31</v>
      </c>
      <c r="M37" s="21">
        <v>42104.39018192995</v>
      </c>
      <c r="Q37" s="17">
        <f t="shared" si="5"/>
        <v>680000</v>
      </c>
      <c r="R37" s="17">
        <f t="shared" si="0"/>
        <v>720000</v>
      </c>
      <c r="S37" s="12" t="str">
        <f t="shared" si="1"/>
        <v>700k</v>
      </c>
      <c r="T37" s="22">
        <f t="shared" si="2"/>
        <v>0</v>
      </c>
      <c r="U37" s="23">
        <f t="shared" si="3"/>
        <v>0</v>
      </c>
      <c r="V37" s="23">
        <f t="shared" si="4"/>
        <v>0</v>
      </c>
    </row>
    <row r="38" spans="2:22" x14ac:dyDescent="0.2">
      <c r="B38" s="4" t="s">
        <v>82</v>
      </c>
      <c r="C38" s="17">
        <f t="shared" ref="C38:H38" si="7">C36*C37</f>
        <v>-800000</v>
      </c>
      <c r="D38" s="17">
        <f t="shared" ca="1" si="7"/>
        <v>213932.86080165626</v>
      </c>
      <c r="E38" s="17">
        <f t="shared" ca="1" si="7"/>
        <v>194484.41891059661</v>
      </c>
      <c r="F38" s="17">
        <f t="shared" ca="1" si="7"/>
        <v>176804.01719145142</v>
      </c>
      <c r="G38" s="17">
        <f t="shared" ca="1" si="7"/>
        <v>160730.92471950132</v>
      </c>
      <c r="H38" s="17">
        <f t="shared" ca="1" si="7"/>
        <v>146119.02247227388</v>
      </c>
      <c r="L38" s="4">
        <v>32</v>
      </c>
      <c r="M38" s="21">
        <v>-92949.893943875344</v>
      </c>
      <c r="Q38" s="17">
        <f t="shared" si="5"/>
        <v>720000</v>
      </c>
      <c r="R38" s="17">
        <f t="shared" si="0"/>
        <v>760000</v>
      </c>
      <c r="S38" s="12" t="str">
        <f t="shared" si="1"/>
        <v>740k</v>
      </c>
      <c r="T38" s="22">
        <f t="shared" si="2"/>
        <v>0</v>
      </c>
      <c r="U38" s="23">
        <f t="shared" si="3"/>
        <v>0</v>
      </c>
      <c r="V38" s="23">
        <f t="shared" si="4"/>
        <v>0</v>
      </c>
    </row>
    <row r="39" spans="2:22" x14ac:dyDescent="0.2">
      <c r="L39" s="4">
        <v>33</v>
      </c>
      <c r="M39" s="21">
        <v>-150090.31335235079</v>
      </c>
      <c r="Q39" s="4" t="s">
        <v>96</v>
      </c>
      <c r="T39" s="36">
        <f>SUM(T7:T38)/COUNT($M$7:$M$5006)</f>
        <v>1</v>
      </c>
    </row>
    <row r="40" spans="2:22" x14ac:dyDescent="0.2">
      <c r="B40" s="30" t="s">
        <v>83</v>
      </c>
      <c r="C40" s="33">
        <f ca="1">SUM(C38:H38)</f>
        <v>92071.244095479517</v>
      </c>
      <c r="L40" s="4">
        <v>34</v>
      </c>
      <c r="M40" s="21">
        <v>-252706.03441527748</v>
      </c>
    </row>
    <row r="41" spans="2:22" x14ac:dyDescent="0.2">
      <c r="B41" s="34" t="s">
        <v>84</v>
      </c>
      <c r="C41" s="17">
        <f ca="1">NPV($C$12,D36:H36)+C36</f>
        <v>92071.244095479487</v>
      </c>
      <c r="D41" s="2" t="s">
        <v>85</v>
      </c>
      <c r="L41" s="4">
        <v>35</v>
      </c>
      <c r="M41" s="21">
        <v>-160458.39153686861</v>
      </c>
    </row>
    <row r="42" spans="2:22" x14ac:dyDescent="0.2">
      <c r="L42" s="4">
        <v>36</v>
      </c>
      <c r="M42" s="21">
        <v>156144.44099071171</v>
      </c>
    </row>
    <row r="43" spans="2:22" x14ac:dyDescent="0.2">
      <c r="B43" s="5" t="s">
        <v>86</v>
      </c>
      <c r="C43" s="6" t="s">
        <v>87</v>
      </c>
      <c r="D43" s="6" t="s">
        <v>88</v>
      </c>
      <c r="L43" s="4">
        <v>37</v>
      </c>
      <c r="M43" s="21">
        <v>-43884.953697289224</v>
      </c>
    </row>
    <row r="44" spans="2:22" x14ac:dyDescent="0.2">
      <c r="B44" s="4" t="s">
        <v>89</v>
      </c>
      <c r="C44" s="27">
        <f>($C$7/SUM(D37:H37)+$C$11)/$C$8+$C$10</f>
        <v>49.402532309053086</v>
      </c>
      <c r="D44" s="23">
        <f>C44/$C$9-1</f>
        <v>-1.1949353818938246E-2</v>
      </c>
      <c r="E44" s="2" t="s">
        <v>90</v>
      </c>
      <c r="L44" s="4">
        <v>38</v>
      </c>
      <c r="M44" s="21">
        <v>52573.808998022025</v>
      </c>
    </row>
    <row r="45" spans="2:22" x14ac:dyDescent="0.2">
      <c r="B45" s="4" t="s">
        <v>91</v>
      </c>
      <c r="C45" s="22">
        <f>($C$7/SUM(D37:H37)+$C$11)/($C$9-$C$10)</f>
        <v>14551.899231789814</v>
      </c>
      <c r="D45" s="23">
        <f>C45/$C$8-1</f>
        <v>-2.9873384547345783E-2</v>
      </c>
      <c r="L45" s="4">
        <v>39</v>
      </c>
      <c r="M45" s="21">
        <v>-221271.31168277547</v>
      </c>
    </row>
    <row r="46" spans="2:22" x14ac:dyDescent="0.2">
      <c r="L46" s="4">
        <v>40</v>
      </c>
      <c r="M46" s="21">
        <v>-2488.2598267789872</v>
      </c>
    </row>
    <row r="47" spans="2:22" x14ac:dyDescent="0.2">
      <c r="B47" s="3" t="s">
        <v>92</v>
      </c>
      <c r="C47" s="3"/>
      <c r="D47" s="3"/>
      <c r="E47" s="3"/>
      <c r="F47" s="3"/>
      <c r="G47" s="3"/>
      <c r="H47" s="3"/>
      <c r="I47" s="3"/>
      <c r="J47" s="3"/>
      <c r="L47" s="4">
        <v>41</v>
      </c>
      <c r="M47" s="21">
        <v>-186505.37103238387</v>
      </c>
    </row>
    <row r="48" spans="2:22" x14ac:dyDescent="0.2">
      <c r="B48" s="5" t="s">
        <v>93</v>
      </c>
      <c r="C48" s="6" t="s">
        <v>87</v>
      </c>
      <c r="D48" s="6" t="s">
        <v>94</v>
      </c>
      <c r="L48" s="4">
        <v>42</v>
      </c>
      <c r="M48" s="21">
        <v>4999.1367503529473</v>
      </c>
    </row>
    <row r="49" spans="2:13" x14ac:dyDescent="0.2">
      <c r="B49" s="30" t="s">
        <v>9</v>
      </c>
      <c r="C49" s="35">
        <f>AVERAGE($M$7:$M$5006)</f>
        <v>-12665.029326236105</v>
      </c>
      <c r="D49" s="2" t="s">
        <v>95</v>
      </c>
      <c r="L49" s="4">
        <v>43</v>
      </c>
      <c r="M49" s="21">
        <v>-31246.968637866579</v>
      </c>
    </row>
    <row r="50" spans="2:13" x14ac:dyDescent="0.2">
      <c r="B50" s="4" t="s">
        <v>97</v>
      </c>
      <c r="C50" s="17">
        <f>_xlfn.STDEV.S($M$7:$M$5006)</f>
        <v>147934.49026900021</v>
      </c>
      <c r="D50" s="2" t="s">
        <v>98</v>
      </c>
      <c r="L50" s="4">
        <v>44</v>
      </c>
      <c r="M50" s="21">
        <v>136219.66564287021</v>
      </c>
    </row>
    <row r="51" spans="2:13" x14ac:dyDescent="0.2">
      <c r="B51" s="4" t="s">
        <v>10</v>
      </c>
      <c r="C51" s="17">
        <f>_xlfn.PERCENTILE.INC($M$7:$M$5006,0.05)</f>
        <v>-255052.87877487202</v>
      </c>
      <c r="D51" s="2" t="s">
        <v>99</v>
      </c>
      <c r="L51" s="4">
        <v>45</v>
      </c>
      <c r="M51" s="21">
        <v>195306.1171114007</v>
      </c>
    </row>
    <row r="52" spans="2:13" x14ac:dyDescent="0.2">
      <c r="B52" s="4" t="s">
        <v>100</v>
      </c>
      <c r="C52" s="17">
        <f>_xlfn.PERCENTILE.INC($M$7:$M$5006,0.5)</f>
        <v>-12156.814264525812</v>
      </c>
      <c r="D52" s="2" t="s">
        <v>99</v>
      </c>
      <c r="L52" s="4">
        <v>46</v>
      </c>
      <c r="M52" s="21">
        <v>15974.030575048528</v>
      </c>
    </row>
    <row r="53" spans="2:13" x14ac:dyDescent="0.2">
      <c r="B53" s="4" t="s">
        <v>12</v>
      </c>
      <c r="C53" s="17">
        <f>_xlfn.PERCENTILE.INC($M$7:$M$5006,0.95)</f>
        <v>227328.51758691375</v>
      </c>
      <c r="D53" s="2" t="s">
        <v>99</v>
      </c>
      <c r="L53" s="4">
        <v>47</v>
      </c>
      <c r="M53" s="21">
        <v>-4148.0659723339049</v>
      </c>
    </row>
    <row r="54" spans="2:13" x14ac:dyDescent="0.2">
      <c r="B54" s="4" t="s">
        <v>101</v>
      </c>
      <c r="C54" s="17">
        <f>MIN($M$7:$M$5006)</f>
        <v>-515707.68691605405</v>
      </c>
      <c r="D54" s="2" t="s">
        <v>102</v>
      </c>
      <c r="L54" s="4">
        <v>48</v>
      </c>
      <c r="M54" s="21">
        <v>139605.29659350662</v>
      </c>
    </row>
    <row r="55" spans="2:13" x14ac:dyDescent="0.2">
      <c r="B55" s="4" t="s">
        <v>103</v>
      </c>
      <c r="C55" s="17">
        <f>MAX($M$7:$M$5006)</f>
        <v>451038.25636632834</v>
      </c>
      <c r="D55" s="2" t="s">
        <v>104</v>
      </c>
      <c r="L55" s="4">
        <v>49</v>
      </c>
      <c r="M55" s="21">
        <v>109708.69972632173</v>
      </c>
    </row>
    <row r="56" spans="2:13" x14ac:dyDescent="0.2">
      <c r="B56" s="30" t="s">
        <v>13</v>
      </c>
      <c r="C56" s="37">
        <f>COUNTIF($M$7:$M$5006,"&lt;0")/COUNT($M$7:$M$5006)</f>
        <v>0.53480000000000005</v>
      </c>
      <c r="D56" s="2" t="s">
        <v>105</v>
      </c>
      <c r="L56" s="4">
        <v>50</v>
      </c>
      <c r="M56" s="21">
        <v>93694.345010271529</v>
      </c>
    </row>
    <row r="57" spans="2:13" x14ac:dyDescent="0.2">
      <c r="B57" s="4" t="s">
        <v>106</v>
      </c>
      <c r="C57" s="38">
        <f>SQRT($C$56*(1-$C$56)/COUNT($M$7:$M$5006))</f>
        <v>7.0539203284414832E-3</v>
      </c>
      <c r="D57" s="2" t="s">
        <v>107</v>
      </c>
      <c r="L57" s="4">
        <v>51</v>
      </c>
      <c r="M57" s="21">
        <v>16226.866352742974</v>
      </c>
    </row>
    <row r="58" spans="2:13" x14ac:dyDescent="0.2">
      <c r="B58" s="4" t="s">
        <v>108</v>
      </c>
      <c r="C58" s="17">
        <f>$C$50/SQRT(COUNT($M$7:$M$5006))</f>
        <v>2092.1096248117074</v>
      </c>
      <c r="D58" s="2" t="s">
        <v>109</v>
      </c>
      <c r="L58" s="4">
        <v>52</v>
      </c>
      <c r="M58" s="21">
        <v>66411.139401569555</v>
      </c>
    </row>
    <row r="59" spans="2:13" x14ac:dyDescent="0.2">
      <c r="L59" s="4">
        <v>53</v>
      </c>
      <c r="M59" s="21">
        <v>-32223.746222744187</v>
      </c>
    </row>
    <row r="60" spans="2:13" x14ac:dyDescent="0.2">
      <c r="L60" s="4">
        <v>54</v>
      </c>
      <c r="M60" s="21">
        <v>178250.35505282122</v>
      </c>
    </row>
    <row r="61" spans="2:13" x14ac:dyDescent="0.2">
      <c r="L61" s="4">
        <v>55</v>
      </c>
      <c r="M61" s="21">
        <v>-94543.184013663878</v>
      </c>
    </row>
    <row r="62" spans="2:13" x14ac:dyDescent="0.2">
      <c r="L62" s="4">
        <v>56</v>
      </c>
      <c r="M62" s="21">
        <v>68373.69750848948</v>
      </c>
    </row>
    <row r="63" spans="2:13" x14ac:dyDescent="0.2">
      <c r="L63" s="4">
        <v>57</v>
      </c>
      <c r="M63" s="21">
        <v>-177199.49043377736</v>
      </c>
    </row>
    <row r="64" spans="2:13" x14ac:dyDescent="0.2">
      <c r="L64" s="4">
        <v>58</v>
      </c>
      <c r="M64" s="21">
        <v>-150986.74967197378</v>
      </c>
    </row>
    <row r="65" spans="12:13" x14ac:dyDescent="0.2">
      <c r="L65" s="4">
        <v>59</v>
      </c>
      <c r="M65" s="21">
        <v>-39625.393112156235</v>
      </c>
    </row>
    <row r="66" spans="12:13" x14ac:dyDescent="0.2">
      <c r="L66" s="4">
        <v>60</v>
      </c>
      <c r="M66" s="21">
        <v>316998.76403513039</v>
      </c>
    </row>
    <row r="67" spans="12:13" x14ac:dyDescent="0.2">
      <c r="L67" s="4">
        <v>61</v>
      </c>
      <c r="M67" s="21">
        <v>-80655.552749632145</v>
      </c>
    </row>
    <row r="68" spans="12:13" x14ac:dyDescent="0.2">
      <c r="L68" s="4">
        <v>62</v>
      </c>
      <c r="M68" s="21">
        <v>142862.19526403392</v>
      </c>
    </row>
    <row r="69" spans="12:13" x14ac:dyDescent="0.2">
      <c r="L69" s="4">
        <v>63</v>
      </c>
      <c r="M69" s="21">
        <v>76403.872556047572</v>
      </c>
    </row>
    <row r="70" spans="12:13" x14ac:dyDescent="0.2">
      <c r="L70" s="4">
        <v>64</v>
      </c>
      <c r="M70" s="21">
        <v>63560.117853905831</v>
      </c>
    </row>
    <row r="71" spans="12:13" x14ac:dyDescent="0.2">
      <c r="L71" s="4">
        <v>65</v>
      </c>
      <c r="M71" s="21">
        <v>45453.271898315608</v>
      </c>
    </row>
    <row r="72" spans="12:13" x14ac:dyDescent="0.2">
      <c r="L72" s="4">
        <v>66</v>
      </c>
      <c r="M72" s="21">
        <v>221874.23625343372</v>
      </c>
    </row>
    <row r="73" spans="12:13" x14ac:dyDescent="0.2">
      <c r="L73" s="4">
        <v>67</v>
      </c>
      <c r="M73" s="21">
        <v>169676.03044015449</v>
      </c>
    </row>
    <row r="74" spans="12:13" x14ac:dyDescent="0.2">
      <c r="L74" s="4">
        <v>68</v>
      </c>
      <c r="M74" s="21">
        <v>-159457.90287448396</v>
      </c>
    </row>
    <row r="75" spans="12:13" x14ac:dyDescent="0.2">
      <c r="L75" s="4">
        <v>69</v>
      </c>
      <c r="M75" s="21">
        <v>68113.534563417546</v>
      </c>
    </row>
    <row r="76" spans="12:13" x14ac:dyDescent="0.2">
      <c r="L76" s="4">
        <v>70</v>
      </c>
      <c r="M76" s="21">
        <v>-229395.63348777423</v>
      </c>
    </row>
    <row r="77" spans="12:13" x14ac:dyDescent="0.2">
      <c r="L77" s="4">
        <v>71</v>
      </c>
      <c r="M77" s="21">
        <v>58686.74210713213</v>
      </c>
    </row>
    <row r="78" spans="12:13" x14ac:dyDescent="0.2">
      <c r="L78" s="4">
        <v>72</v>
      </c>
      <c r="M78" s="21">
        <v>92306.049274086778</v>
      </c>
    </row>
    <row r="79" spans="12:13" x14ac:dyDescent="0.2">
      <c r="L79" s="4">
        <v>73</v>
      </c>
      <c r="M79" s="21">
        <v>-8782.8384186822223</v>
      </c>
    </row>
    <row r="80" spans="12:13" x14ac:dyDescent="0.2">
      <c r="L80" s="4">
        <v>74</v>
      </c>
      <c r="M80" s="21">
        <v>-113465.13170360566</v>
      </c>
    </row>
    <row r="81" spans="12:13" x14ac:dyDescent="0.2">
      <c r="L81" s="4">
        <v>75</v>
      </c>
      <c r="M81" s="21">
        <v>-38919.303645560591</v>
      </c>
    </row>
    <row r="82" spans="12:13" x14ac:dyDescent="0.2">
      <c r="L82" s="4">
        <v>76</v>
      </c>
      <c r="M82" s="21">
        <v>103589.75050269772</v>
      </c>
    </row>
    <row r="83" spans="12:13" x14ac:dyDescent="0.2">
      <c r="L83" s="4">
        <v>77</v>
      </c>
      <c r="M83" s="21">
        <v>53979.555108518456</v>
      </c>
    </row>
    <row r="84" spans="12:13" x14ac:dyDescent="0.2">
      <c r="L84" s="4">
        <v>78</v>
      </c>
      <c r="M84" s="21">
        <v>-71593.278167534765</v>
      </c>
    </row>
    <row r="85" spans="12:13" x14ac:dyDescent="0.2">
      <c r="L85" s="4">
        <v>79</v>
      </c>
      <c r="M85" s="21">
        <v>-42886.800572312364</v>
      </c>
    </row>
    <row r="86" spans="12:13" x14ac:dyDescent="0.2">
      <c r="L86" s="4">
        <v>80</v>
      </c>
      <c r="M86" s="21">
        <v>-167910.99651035154</v>
      </c>
    </row>
    <row r="87" spans="12:13" x14ac:dyDescent="0.2">
      <c r="L87" s="4">
        <v>81</v>
      </c>
      <c r="M87" s="21">
        <v>-205785.20456172997</v>
      </c>
    </row>
    <row r="88" spans="12:13" x14ac:dyDescent="0.2">
      <c r="L88" s="4">
        <v>82</v>
      </c>
      <c r="M88" s="21">
        <v>-370.46985902426241</v>
      </c>
    </row>
    <row r="89" spans="12:13" x14ac:dyDescent="0.2">
      <c r="L89" s="4">
        <v>83</v>
      </c>
      <c r="M89" s="21">
        <v>3901.0686225692043</v>
      </c>
    </row>
    <row r="90" spans="12:13" x14ac:dyDescent="0.2">
      <c r="L90" s="4">
        <v>84</v>
      </c>
      <c r="M90" s="21">
        <v>-317054.07852399972</v>
      </c>
    </row>
    <row r="91" spans="12:13" x14ac:dyDescent="0.2">
      <c r="L91" s="4">
        <v>85</v>
      </c>
      <c r="M91" s="21">
        <v>116645.11498486745</v>
      </c>
    </row>
    <row r="92" spans="12:13" x14ac:dyDescent="0.2">
      <c r="L92" s="4">
        <v>86</v>
      </c>
      <c r="M92" s="21">
        <v>219142.49936821358</v>
      </c>
    </row>
    <row r="93" spans="12:13" x14ac:dyDescent="0.2">
      <c r="L93" s="4">
        <v>87</v>
      </c>
      <c r="M93" s="21">
        <v>-40154.953617858147</v>
      </c>
    </row>
    <row r="94" spans="12:13" x14ac:dyDescent="0.2">
      <c r="L94" s="4">
        <v>88</v>
      </c>
      <c r="M94" s="21">
        <v>-11727.736352990847</v>
      </c>
    </row>
    <row r="95" spans="12:13" x14ac:dyDescent="0.2">
      <c r="L95" s="4">
        <v>89</v>
      </c>
      <c r="M95" s="21">
        <v>139243.31465890605</v>
      </c>
    </row>
    <row r="96" spans="12:13" x14ac:dyDescent="0.2">
      <c r="L96" s="4">
        <v>90</v>
      </c>
      <c r="M96" s="21">
        <v>21339.582328908582</v>
      </c>
    </row>
    <row r="97" spans="12:13" x14ac:dyDescent="0.2">
      <c r="L97" s="4">
        <v>91</v>
      </c>
      <c r="M97" s="21">
        <v>-78779.319360547815</v>
      </c>
    </row>
    <row r="98" spans="12:13" x14ac:dyDescent="0.2">
      <c r="L98" s="4">
        <v>92</v>
      </c>
      <c r="M98" s="21">
        <v>-29406.724717735196</v>
      </c>
    </row>
    <row r="99" spans="12:13" x14ac:dyDescent="0.2">
      <c r="L99" s="4">
        <v>93</v>
      </c>
      <c r="M99" s="21">
        <v>-164720.00802812297</v>
      </c>
    </row>
    <row r="100" spans="12:13" x14ac:dyDescent="0.2">
      <c r="L100" s="4">
        <v>94</v>
      </c>
      <c r="M100" s="21">
        <v>234441.76052094591</v>
      </c>
    </row>
    <row r="101" spans="12:13" x14ac:dyDescent="0.2">
      <c r="L101" s="4">
        <v>95</v>
      </c>
      <c r="M101" s="21">
        <v>-230429.74032794373</v>
      </c>
    </row>
    <row r="102" spans="12:13" x14ac:dyDescent="0.2">
      <c r="L102" s="4">
        <v>96</v>
      </c>
      <c r="M102" s="21">
        <v>61075.152674476412</v>
      </c>
    </row>
    <row r="103" spans="12:13" x14ac:dyDescent="0.2">
      <c r="L103" s="4">
        <v>97</v>
      </c>
      <c r="M103" s="21">
        <v>29334.907345291605</v>
      </c>
    </row>
    <row r="104" spans="12:13" x14ac:dyDescent="0.2">
      <c r="L104" s="4">
        <v>98</v>
      </c>
      <c r="M104" s="21">
        <v>-274652.28013701609</v>
      </c>
    </row>
    <row r="105" spans="12:13" x14ac:dyDescent="0.2">
      <c r="L105" s="4">
        <v>99</v>
      </c>
      <c r="M105" s="21">
        <v>-157821.33375648657</v>
      </c>
    </row>
    <row r="106" spans="12:13" x14ac:dyDescent="0.2">
      <c r="L106" s="4">
        <v>100</v>
      </c>
      <c r="M106" s="21">
        <v>49715.243041825743</v>
      </c>
    </row>
    <row r="107" spans="12:13" x14ac:dyDescent="0.2">
      <c r="L107" s="4">
        <v>101</v>
      </c>
      <c r="M107" s="21">
        <v>116252.2321050048</v>
      </c>
    </row>
    <row r="108" spans="12:13" x14ac:dyDescent="0.2">
      <c r="L108" s="4">
        <v>102</v>
      </c>
      <c r="M108" s="21">
        <v>119555.0848653742</v>
      </c>
    </row>
    <row r="109" spans="12:13" x14ac:dyDescent="0.2">
      <c r="L109" s="4">
        <v>103</v>
      </c>
      <c r="M109" s="21">
        <v>209869.51127524037</v>
      </c>
    </row>
    <row r="110" spans="12:13" x14ac:dyDescent="0.2">
      <c r="L110" s="4">
        <v>104</v>
      </c>
      <c r="M110" s="21">
        <v>-4411.3237714406423</v>
      </c>
    </row>
    <row r="111" spans="12:13" x14ac:dyDescent="0.2">
      <c r="L111" s="4">
        <v>105</v>
      </c>
      <c r="M111" s="21">
        <v>-108158.31607820495</v>
      </c>
    </row>
    <row r="112" spans="12:13" x14ac:dyDescent="0.2">
      <c r="L112" s="4">
        <v>106</v>
      </c>
      <c r="M112" s="21">
        <v>-7252.2592442528403</v>
      </c>
    </row>
    <row r="113" spans="12:13" x14ac:dyDescent="0.2">
      <c r="L113" s="4">
        <v>107</v>
      </c>
      <c r="M113" s="21">
        <v>86728.766350487975</v>
      </c>
    </row>
    <row r="114" spans="12:13" x14ac:dyDescent="0.2">
      <c r="L114" s="4">
        <v>108</v>
      </c>
      <c r="M114" s="21">
        <v>204044.78631688401</v>
      </c>
    </row>
    <row r="115" spans="12:13" x14ac:dyDescent="0.2">
      <c r="L115" s="4">
        <v>109</v>
      </c>
      <c r="M115" s="21">
        <v>127910.24430906266</v>
      </c>
    </row>
    <row r="116" spans="12:13" x14ac:dyDescent="0.2">
      <c r="L116" s="4">
        <v>110</v>
      </c>
      <c r="M116" s="21">
        <v>-216408.70485538346</v>
      </c>
    </row>
    <row r="117" spans="12:13" x14ac:dyDescent="0.2">
      <c r="L117" s="4">
        <v>111</v>
      </c>
      <c r="M117" s="21">
        <v>-380.53465282599791</v>
      </c>
    </row>
    <row r="118" spans="12:13" x14ac:dyDescent="0.2">
      <c r="L118" s="4">
        <v>112</v>
      </c>
      <c r="M118" s="21">
        <v>-190018.54392513784</v>
      </c>
    </row>
    <row r="119" spans="12:13" x14ac:dyDescent="0.2">
      <c r="L119" s="4">
        <v>113</v>
      </c>
      <c r="M119" s="21">
        <v>33430.788720012963</v>
      </c>
    </row>
    <row r="120" spans="12:13" x14ac:dyDescent="0.2">
      <c r="L120" s="4">
        <v>114</v>
      </c>
      <c r="M120" s="21">
        <v>129213.64243310769</v>
      </c>
    </row>
    <row r="121" spans="12:13" x14ac:dyDescent="0.2">
      <c r="L121" s="4">
        <v>115</v>
      </c>
      <c r="M121" s="21">
        <v>-115505.76337310033</v>
      </c>
    </row>
    <row r="122" spans="12:13" x14ac:dyDescent="0.2">
      <c r="L122" s="4">
        <v>116</v>
      </c>
      <c r="M122" s="21">
        <v>85094.013121680327</v>
      </c>
    </row>
    <row r="123" spans="12:13" x14ac:dyDescent="0.2">
      <c r="L123" s="4">
        <v>117</v>
      </c>
      <c r="M123" s="21">
        <v>111197.06375011793</v>
      </c>
    </row>
    <row r="124" spans="12:13" x14ac:dyDescent="0.2">
      <c r="L124" s="4">
        <v>118</v>
      </c>
      <c r="M124" s="21">
        <v>-76257.068059975863</v>
      </c>
    </row>
    <row r="125" spans="12:13" x14ac:dyDescent="0.2">
      <c r="L125" s="4">
        <v>119</v>
      </c>
      <c r="M125" s="21">
        <v>22442.463305709243</v>
      </c>
    </row>
    <row r="126" spans="12:13" x14ac:dyDescent="0.2">
      <c r="L126" s="4">
        <v>120</v>
      </c>
      <c r="M126" s="21">
        <v>-97520.16078668258</v>
      </c>
    </row>
    <row r="127" spans="12:13" x14ac:dyDescent="0.2">
      <c r="L127" s="4">
        <v>121</v>
      </c>
      <c r="M127" s="21">
        <v>25132.152552912739</v>
      </c>
    </row>
    <row r="128" spans="12:13" x14ac:dyDescent="0.2">
      <c r="L128" s="4">
        <v>122</v>
      </c>
      <c r="M128" s="21">
        <v>-195038.51591624934</v>
      </c>
    </row>
    <row r="129" spans="12:13" x14ac:dyDescent="0.2">
      <c r="L129" s="4">
        <v>123</v>
      </c>
      <c r="M129" s="21">
        <v>186856.6769556556</v>
      </c>
    </row>
    <row r="130" spans="12:13" x14ac:dyDescent="0.2">
      <c r="L130" s="4">
        <v>124</v>
      </c>
      <c r="M130" s="21">
        <v>-88596.891077462089</v>
      </c>
    </row>
    <row r="131" spans="12:13" x14ac:dyDescent="0.2">
      <c r="L131" s="4">
        <v>125</v>
      </c>
      <c r="M131" s="21">
        <v>-26534.412779183665</v>
      </c>
    </row>
    <row r="132" spans="12:13" x14ac:dyDescent="0.2">
      <c r="L132" s="4">
        <v>126</v>
      </c>
      <c r="M132" s="21">
        <v>349369.56909512909</v>
      </c>
    </row>
    <row r="133" spans="12:13" x14ac:dyDescent="0.2">
      <c r="L133" s="4">
        <v>127</v>
      </c>
      <c r="M133" s="21">
        <v>91163.19887538554</v>
      </c>
    </row>
    <row r="134" spans="12:13" x14ac:dyDescent="0.2">
      <c r="L134" s="4">
        <v>128</v>
      </c>
      <c r="M134" s="21">
        <v>-78602.119966994243</v>
      </c>
    </row>
    <row r="135" spans="12:13" x14ac:dyDescent="0.2">
      <c r="L135" s="4">
        <v>129</v>
      </c>
      <c r="M135" s="21">
        <v>59937.58210891785</v>
      </c>
    </row>
    <row r="136" spans="12:13" x14ac:dyDescent="0.2">
      <c r="L136" s="4">
        <v>130</v>
      </c>
      <c r="M136" s="21">
        <v>144052.64009220217</v>
      </c>
    </row>
    <row r="137" spans="12:13" x14ac:dyDescent="0.2">
      <c r="L137" s="4">
        <v>131</v>
      </c>
      <c r="M137" s="21">
        <v>-126218.82890662747</v>
      </c>
    </row>
    <row r="138" spans="12:13" x14ac:dyDescent="0.2">
      <c r="L138" s="4">
        <v>132</v>
      </c>
      <c r="M138" s="21">
        <v>-5463.5720509732928</v>
      </c>
    </row>
    <row r="139" spans="12:13" x14ac:dyDescent="0.2">
      <c r="L139" s="4">
        <v>133</v>
      </c>
      <c r="M139" s="21">
        <v>31883.805156037735</v>
      </c>
    </row>
    <row r="140" spans="12:13" x14ac:dyDescent="0.2">
      <c r="L140" s="4">
        <v>134</v>
      </c>
      <c r="M140" s="21">
        <v>-319214.92448573146</v>
      </c>
    </row>
    <row r="141" spans="12:13" x14ac:dyDescent="0.2">
      <c r="L141" s="4">
        <v>135</v>
      </c>
      <c r="M141" s="21">
        <v>59966.086617974535</v>
      </c>
    </row>
    <row r="142" spans="12:13" x14ac:dyDescent="0.2">
      <c r="L142" s="4">
        <v>136</v>
      </c>
      <c r="M142" s="21">
        <v>135453.55566771503</v>
      </c>
    </row>
    <row r="143" spans="12:13" x14ac:dyDescent="0.2">
      <c r="L143" s="4">
        <v>137</v>
      </c>
      <c r="M143" s="21">
        <v>44234.518462647597</v>
      </c>
    </row>
    <row r="144" spans="12:13" x14ac:dyDescent="0.2">
      <c r="L144" s="4">
        <v>138</v>
      </c>
      <c r="M144" s="21">
        <v>57669.652947972674</v>
      </c>
    </row>
    <row r="145" spans="12:13" x14ac:dyDescent="0.2">
      <c r="L145" s="4">
        <v>139</v>
      </c>
      <c r="M145" s="21">
        <v>-225324.19492440793</v>
      </c>
    </row>
    <row r="146" spans="12:13" x14ac:dyDescent="0.2">
      <c r="L146" s="4">
        <v>140</v>
      </c>
      <c r="M146" s="21">
        <v>-35441.864554884974</v>
      </c>
    </row>
    <row r="147" spans="12:13" x14ac:dyDescent="0.2">
      <c r="L147" s="4">
        <v>141</v>
      </c>
      <c r="M147" s="21">
        <v>33637.128276799107</v>
      </c>
    </row>
    <row r="148" spans="12:13" x14ac:dyDescent="0.2">
      <c r="L148" s="4">
        <v>142</v>
      </c>
      <c r="M148" s="21">
        <v>-70053.988097574154</v>
      </c>
    </row>
    <row r="149" spans="12:13" x14ac:dyDescent="0.2">
      <c r="L149" s="4">
        <v>143</v>
      </c>
      <c r="M149" s="21">
        <v>-312628.09400057653</v>
      </c>
    </row>
    <row r="150" spans="12:13" x14ac:dyDescent="0.2">
      <c r="L150" s="4">
        <v>144</v>
      </c>
      <c r="M150" s="21">
        <v>-230071.97957975726</v>
      </c>
    </row>
    <row r="151" spans="12:13" x14ac:dyDescent="0.2">
      <c r="L151" s="4">
        <v>145</v>
      </c>
      <c r="M151" s="21">
        <v>-44375.679972153725</v>
      </c>
    </row>
    <row r="152" spans="12:13" x14ac:dyDescent="0.2">
      <c r="L152" s="4">
        <v>146</v>
      </c>
      <c r="M152" s="21">
        <v>-219016.04004430433</v>
      </c>
    </row>
    <row r="153" spans="12:13" x14ac:dyDescent="0.2">
      <c r="L153" s="4">
        <v>147</v>
      </c>
      <c r="M153" s="21">
        <v>-277475.94685185177</v>
      </c>
    </row>
    <row r="154" spans="12:13" x14ac:dyDescent="0.2">
      <c r="L154" s="4">
        <v>148</v>
      </c>
      <c r="M154" s="21">
        <v>-135406.5072387454</v>
      </c>
    </row>
    <row r="155" spans="12:13" x14ac:dyDescent="0.2">
      <c r="L155" s="4">
        <v>149</v>
      </c>
      <c r="M155" s="21">
        <v>-72036.208210262848</v>
      </c>
    </row>
    <row r="156" spans="12:13" x14ac:dyDescent="0.2">
      <c r="L156" s="4">
        <v>150</v>
      </c>
      <c r="M156" s="21">
        <v>-226818.24138519651</v>
      </c>
    </row>
    <row r="157" spans="12:13" x14ac:dyDescent="0.2">
      <c r="L157" s="4">
        <v>151</v>
      </c>
      <c r="M157" s="21">
        <v>99027.268726029113</v>
      </c>
    </row>
    <row r="158" spans="12:13" x14ac:dyDescent="0.2">
      <c r="L158" s="4">
        <v>152</v>
      </c>
      <c r="M158" s="21">
        <v>-10222.185324661288</v>
      </c>
    </row>
    <row r="159" spans="12:13" x14ac:dyDescent="0.2">
      <c r="L159" s="4">
        <v>153</v>
      </c>
      <c r="M159" s="21">
        <v>-211686.78936062538</v>
      </c>
    </row>
    <row r="160" spans="12:13" x14ac:dyDescent="0.2">
      <c r="L160" s="4">
        <v>154</v>
      </c>
      <c r="M160" s="21">
        <v>262326.37750214577</v>
      </c>
    </row>
    <row r="161" spans="12:13" x14ac:dyDescent="0.2">
      <c r="L161" s="4">
        <v>155</v>
      </c>
      <c r="M161" s="21">
        <v>-117343.93867378347</v>
      </c>
    </row>
    <row r="162" spans="12:13" x14ac:dyDescent="0.2">
      <c r="L162" s="4">
        <v>156</v>
      </c>
      <c r="M162" s="21">
        <v>-136060.8189329661</v>
      </c>
    </row>
    <row r="163" spans="12:13" x14ac:dyDescent="0.2">
      <c r="L163" s="4">
        <v>157</v>
      </c>
      <c r="M163" s="21">
        <v>115965.96541333175</v>
      </c>
    </row>
    <row r="164" spans="12:13" x14ac:dyDescent="0.2">
      <c r="L164" s="4">
        <v>158</v>
      </c>
      <c r="M164" s="21">
        <v>22587.932352762757</v>
      </c>
    </row>
    <row r="165" spans="12:13" x14ac:dyDescent="0.2">
      <c r="L165" s="4">
        <v>159</v>
      </c>
      <c r="M165" s="21">
        <v>234548.78904955403</v>
      </c>
    </row>
    <row r="166" spans="12:13" x14ac:dyDescent="0.2">
      <c r="L166" s="4">
        <v>160</v>
      </c>
      <c r="M166" s="21">
        <v>-108271.68375057534</v>
      </c>
    </row>
    <row r="167" spans="12:13" x14ac:dyDescent="0.2">
      <c r="L167" s="4">
        <v>161</v>
      </c>
      <c r="M167" s="21">
        <v>-208417.41636429352</v>
      </c>
    </row>
    <row r="168" spans="12:13" x14ac:dyDescent="0.2">
      <c r="L168" s="4">
        <v>162</v>
      </c>
      <c r="M168" s="21">
        <v>103832.4370218236</v>
      </c>
    </row>
    <row r="169" spans="12:13" x14ac:dyDescent="0.2">
      <c r="L169" s="4">
        <v>163</v>
      </c>
      <c r="M169" s="21">
        <v>1211.956262295309</v>
      </c>
    </row>
    <row r="170" spans="12:13" x14ac:dyDescent="0.2">
      <c r="L170" s="4">
        <v>164</v>
      </c>
      <c r="M170" s="21">
        <v>37950.030371162866</v>
      </c>
    </row>
    <row r="171" spans="12:13" x14ac:dyDescent="0.2">
      <c r="L171" s="4">
        <v>165</v>
      </c>
      <c r="M171" s="21">
        <v>-55604.019157879928</v>
      </c>
    </row>
    <row r="172" spans="12:13" x14ac:dyDescent="0.2">
      <c r="L172" s="4">
        <v>166</v>
      </c>
      <c r="M172" s="21">
        <v>142738.02657996968</v>
      </c>
    </row>
    <row r="173" spans="12:13" x14ac:dyDescent="0.2">
      <c r="L173" s="4">
        <v>167</v>
      </c>
      <c r="M173" s="21">
        <v>118088.51266891154</v>
      </c>
    </row>
    <row r="174" spans="12:13" x14ac:dyDescent="0.2">
      <c r="L174" s="4">
        <v>168</v>
      </c>
      <c r="M174" s="21">
        <v>-69811.023917910439</v>
      </c>
    </row>
    <row r="175" spans="12:13" x14ac:dyDescent="0.2">
      <c r="L175" s="4">
        <v>169</v>
      </c>
      <c r="M175" s="21">
        <v>64810.011123734119</v>
      </c>
    </row>
    <row r="176" spans="12:13" x14ac:dyDescent="0.2">
      <c r="L176" s="4">
        <v>170</v>
      </c>
      <c r="M176" s="21">
        <v>219694.60751164233</v>
      </c>
    </row>
    <row r="177" spans="12:13" x14ac:dyDescent="0.2">
      <c r="L177" s="4">
        <v>171</v>
      </c>
      <c r="M177" s="21">
        <v>-184502.68528754386</v>
      </c>
    </row>
    <row r="178" spans="12:13" x14ac:dyDescent="0.2">
      <c r="L178" s="4">
        <v>172</v>
      </c>
      <c r="M178" s="21">
        <v>22400.858190031693</v>
      </c>
    </row>
    <row r="179" spans="12:13" x14ac:dyDescent="0.2">
      <c r="L179" s="4">
        <v>173</v>
      </c>
      <c r="M179" s="21">
        <v>49673.480671148573</v>
      </c>
    </row>
    <row r="180" spans="12:13" x14ac:dyDescent="0.2">
      <c r="L180" s="4">
        <v>174</v>
      </c>
      <c r="M180" s="21">
        <v>-11128.512451520917</v>
      </c>
    </row>
    <row r="181" spans="12:13" x14ac:dyDescent="0.2">
      <c r="L181" s="4">
        <v>175</v>
      </c>
      <c r="M181" s="21">
        <v>36828.558070727246</v>
      </c>
    </row>
    <row r="182" spans="12:13" x14ac:dyDescent="0.2">
      <c r="L182" s="4">
        <v>176</v>
      </c>
      <c r="M182" s="21">
        <v>316129.26889428147</v>
      </c>
    </row>
    <row r="183" spans="12:13" x14ac:dyDescent="0.2">
      <c r="L183" s="4">
        <v>177</v>
      </c>
      <c r="M183" s="21">
        <v>-129692.00061431943</v>
      </c>
    </row>
    <row r="184" spans="12:13" x14ac:dyDescent="0.2">
      <c r="L184" s="4">
        <v>178</v>
      </c>
      <c r="M184" s="21">
        <v>-9365.4758067642397</v>
      </c>
    </row>
    <row r="185" spans="12:13" x14ac:dyDescent="0.2">
      <c r="L185" s="4">
        <v>179</v>
      </c>
      <c r="M185" s="21">
        <v>5814.137444325228</v>
      </c>
    </row>
    <row r="186" spans="12:13" x14ac:dyDescent="0.2">
      <c r="L186" s="4">
        <v>180</v>
      </c>
      <c r="M186" s="21">
        <v>180493.66683414511</v>
      </c>
    </row>
    <row r="187" spans="12:13" x14ac:dyDescent="0.2">
      <c r="L187" s="4">
        <v>181</v>
      </c>
      <c r="M187" s="21">
        <v>165860.24997606536</v>
      </c>
    </row>
    <row r="188" spans="12:13" x14ac:dyDescent="0.2">
      <c r="L188" s="4">
        <v>182</v>
      </c>
      <c r="M188" s="21">
        <v>163984.47216111174</v>
      </c>
    </row>
    <row r="189" spans="12:13" x14ac:dyDescent="0.2">
      <c r="L189" s="4">
        <v>183</v>
      </c>
      <c r="M189" s="21">
        <v>149901.4395366775</v>
      </c>
    </row>
    <row r="190" spans="12:13" x14ac:dyDescent="0.2">
      <c r="L190" s="4">
        <v>184</v>
      </c>
      <c r="M190" s="21">
        <v>108883.87636624204</v>
      </c>
    </row>
    <row r="191" spans="12:13" x14ac:dyDescent="0.2">
      <c r="L191" s="4">
        <v>185</v>
      </c>
      <c r="M191" s="21">
        <v>-335602.19328730594</v>
      </c>
    </row>
    <row r="192" spans="12:13" x14ac:dyDescent="0.2">
      <c r="L192" s="4">
        <v>186</v>
      </c>
      <c r="M192" s="21">
        <v>-104169.44724989308</v>
      </c>
    </row>
    <row r="193" spans="12:13" x14ac:dyDescent="0.2">
      <c r="L193" s="4">
        <v>187</v>
      </c>
      <c r="M193" s="21">
        <v>79237.284787504934</v>
      </c>
    </row>
    <row r="194" spans="12:13" x14ac:dyDescent="0.2">
      <c r="L194" s="4">
        <v>188</v>
      </c>
      <c r="M194" s="21">
        <v>-70445.059616186889</v>
      </c>
    </row>
    <row r="195" spans="12:13" x14ac:dyDescent="0.2">
      <c r="L195" s="4">
        <v>189</v>
      </c>
      <c r="M195" s="21">
        <v>-202808.84164305555</v>
      </c>
    </row>
    <row r="196" spans="12:13" x14ac:dyDescent="0.2">
      <c r="L196" s="4">
        <v>190</v>
      </c>
      <c r="M196" s="21">
        <v>-195112.73076012853</v>
      </c>
    </row>
    <row r="197" spans="12:13" x14ac:dyDescent="0.2">
      <c r="L197" s="4">
        <v>191</v>
      </c>
      <c r="M197" s="21">
        <v>-156545.14145981145</v>
      </c>
    </row>
    <row r="198" spans="12:13" x14ac:dyDescent="0.2">
      <c r="L198" s="4">
        <v>192</v>
      </c>
      <c r="M198" s="21">
        <v>-146850.0971108634</v>
      </c>
    </row>
    <row r="199" spans="12:13" x14ac:dyDescent="0.2">
      <c r="L199" s="4">
        <v>193</v>
      </c>
      <c r="M199" s="21">
        <v>-150247.39917427624</v>
      </c>
    </row>
    <row r="200" spans="12:13" x14ac:dyDescent="0.2">
      <c r="L200" s="4">
        <v>194</v>
      </c>
      <c r="M200" s="21">
        <v>-24646.364482563527</v>
      </c>
    </row>
    <row r="201" spans="12:13" x14ac:dyDescent="0.2">
      <c r="L201" s="4">
        <v>195</v>
      </c>
      <c r="M201" s="21">
        <v>-247899.87792372188</v>
      </c>
    </row>
    <row r="202" spans="12:13" x14ac:dyDescent="0.2">
      <c r="L202" s="4">
        <v>196</v>
      </c>
      <c r="M202" s="21">
        <v>-62471.041478940853</v>
      </c>
    </row>
    <row r="203" spans="12:13" x14ac:dyDescent="0.2">
      <c r="L203" s="4">
        <v>197</v>
      </c>
      <c r="M203" s="21">
        <v>-92305.84245898854</v>
      </c>
    </row>
    <row r="204" spans="12:13" x14ac:dyDescent="0.2">
      <c r="L204" s="4">
        <v>198</v>
      </c>
      <c r="M204" s="21">
        <v>-82770.936146540116</v>
      </c>
    </row>
    <row r="205" spans="12:13" x14ac:dyDescent="0.2">
      <c r="L205" s="4">
        <v>199</v>
      </c>
      <c r="M205" s="21">
        <v>351024.89177177893</v>
      </c>
    </row>
    <row r="206" spans="12:13" x14ac:dyDescent="0.2">
      <c r="L206" s="4">
        <v>200</v>
      </c>
      <c r="M206" s="21">
        <v>201020.40879000223</v>
      </c>
    </row>
    <row r="207" spans="12:13" x14ac:dyDescent="0.2">
      <c r="L207" s="4">
        <v>201</v>
      </c>
      <c r="M207" s="21">
        <v>-96803.676145520134</v>
      </c>
    </row>
    <row r="208" spans="12:13" x14ac:dyDescent="0.2">
      <c r="L208" s="4">
        <v>202</v>
      </c>
      <c r="M208" s="21">
        <v>174346.51902429509</v>
      </c>
    </row>
    <row r="209" spans="12:13" x14ac:dyDescent="0.2">
      <c r="L209" s="4">
        <v>203</v>
      </c>
      <c r="M209" s="21">
        <v>-828.00091801233066</v>
      </c>
    </row>
    <row r="210" spans="12:13" x14ac:dyDescent="0.2">
      <c r="L210" s="4">
        <v>204</v>
      </c>
      <c r="M210" s="21">
        <v>239568.85239633446</v>
      </c>
    </row>
    <row r="211" spans="12:13" x14ac:dyDescent="0.2">
      <c r="L211" s="4">
        <v>205</v>
      </c>
      <c r="M211" s="21">
        <v>-163138.14600904621</v>
      </c>
    </row>
    <row r="212" spans="12:13" x14ac:dyDescent="0.2">
      <c r="L212" s="4">
        <v>206</v>
      </c>
      <c r="M212" s="21">
        <v>-140218.68623305013</v>
      </c>
    </row>
    <row r="213" spans="12:13" x14ac:dyDescent="0.2">
      <c r="L213" s="4">
        <v>207</v>
      </c>
      <c r="M213" s="21">
        <v>-218426.83411724775</v>
      </c>
    </row>
    <row r="214" spans="12:13" x14ac:dyDescent="0.2">
      <c r="L214" s="4">
        <v>208</v>
      </c>
      <c r="M214" s="21">
        <v>15178.849192465044</v>
      </c>
    </row>
    <row r="215" spans="12:13" x14ac:dyDescent="0.2">
      <c r="L215" s="4">
        <v>209</v>
      </c>
      <c r="M215" s="21">
        <v>63715.988652534725</v>
      </c>
    </row>
    <row r="216" spans="12:13" x14ac:dyDescent="0.2">
      <c r="L216" s="4">
        <v>210</v>
      </c>
      <c r="M216" s="21">
        <v>-129121.20749414559</v>
      </c>
    </row>
    <row r="217" spans="12:13" x14ac:dyDescent="0.2">
      <c r="L217" s="4">
        <v>211</v>
      </c>
      <c r="M217" s="21">
        <v>162542.09715348887</v>
      </c>
    </row>
    <row r="218" spans="12:13" x14ac:dyDescent="0.2">
      <c r="L218" s="4">
        <v>212</v>
      </c>
      <c r="M218" s="21">
        <v>-224887.48334765743</v>
      </c>
    </row>
    <row r="219" spans="12:13" x14ac:dyDescent="0.2">
      <c r="L219" s="4">
        <v>213</v>
      </c>
      <c r="M219" s="21">
        <v>17288.851174358919</v>
      </c>
    </row>
    <row r="220" spans="12:13" x14ac:dyDescent="0.2">
      <c r="L220" s="4">
        <v>214</v>
      </c>
      <c r="M220" s="21">
        <v>254363.31433177291</v>
      </c>
    </row>
    <row r="221" spans="12:13" x14ac:dyDescent="0.2">
      <c r="L221" s="4">
        <v>215</v>
      </c>
      <c r="M221" s="21">
        <v>-16053.376461916967</v>
      </c>
    </row>
    <row r="222" spans="12:13" x14ac:dyDescent="0.2">
      <c r="L222" s="4">
        <v>216</v>
      </c>
      <c r="M222" s="21">
        <v>-226161.8125404453</v>
      </c>
    </row>
    <row r="223" spans="12:13" x14ac:dyDescent="0.2">
      <c r="L223" s="4">
        <v>217</v>
      </c>
      <c r="M223" s="21">
        <v>-25864.045504364665</v>
      </c>
    </row>
    <row r="224" spans="12:13" x14ac:dyDescent="0.2">
      <c r="L224" s="4">
        <v>218</v>
      </c>
      <c r="M224" s="21">
        <v>-151318.78967570304</v>
      </c>
    </row>
    <row r="225" spans="12:13" x14ac:dyDescent="0.2">
      <c r="L225" s="4">
        <v>219</v>
      </c>
      <c r="M225" s="21">
        <v>36492.931896003982</v>
      </c>
    </row>
    <row r="226" spans="12:13" x14ac:dyDescent="0.2">
      <c r="L226" s="4">
        <v>220</v>
      </c>
      <c r="M226" s="21">
        <v>58954.388227552554</v>
      </c>
    </row>
    <row r="227" spans="12:13" x14ac:dyDescent="0.2">
      <c r="L227" s="4">
        <v>221</v>
      </c>
      <c r="M227" s="21">
        <v>-32371.966412210415</v>
      </c>
    </row>
    <row r="228" spans="12:13" x14ac:dyDescent="0.2">
      <c r="L228" s="4">
        <v>222</v>
      </c>
      <c r="M228" s="21">
        <v>-86970.11634151981</v>
      </c>
    </row>
    <row r="229" spans="12:13" x14ac:dyDescent="0.2">
      <c r="L229" s="4">
        <v>223</v>
      </c>
      <c r="M229" s="21">
        <v>-55808.268050043305</v>
      </c>
    </row>
    <row r="230" spans="12:13" x14ac:dyDescent="0.2">
      <c r="L230" s="4">
        <v>224</v>
      </c>
      <c r="M230" s="21">
        <v>-27656.016266978011</v>
      </c>
    </row>
    <row r="231" spans="12:13" x14ac:dyDescent="0.2">
      <c r="L231" s="4">
        <v>225</v>
      </c>
      <c r="M231" s="21">
        <v>-79208.213891032501</v>
      </c>
    </row>
    <row r="232" spans="12:13" x14ac:dyDescent="0.2">
      <c r="L232" s="4">
        <v>226</v>
      </c>
      <c r="M232" s="21">
        <v>-183513.32181247952</v>
      </c>
    </row>
    <row r="233" spans="12:13" x14ac:dyDescent="0.2">
      <c r="L233" s="4">
        <v>227</v>
      </c>
      <c r="M233" s="21">
        <v>4536.2384366283077</v>
      </c>
    </row>
    <row r="234" spans="12:13" x14ac:dyDescent="0.2">
      <c r="L234" s="4">
        <v>228</v>
      </c>
      <c r="M234" s="21">
        <v>1819.2279677180341</v>
      </c>
    </row>
    <row r="235" spans="12:13" x14ac:dyDescent="0.2">
      <c r="L235" s="4">
        <v>229</v>
      </c>
      <c r="M235" s="21">
        <v>-1701.0209406501526</v>
      </c>
    </row>
    <row r="236" spans="12:13" x14ac:dyDescent="0.2">
      <c r="L236" s="4">
        <v>230</v>
      </c>
      <c r="M236" s="21">
        <v>-18537.117528836563</v>
      </c>
    </row>
    <row r="237" spans="12:13" x14ac:dyDescent="0.2">
      <c r="L237" s="4">
        <v>231</v>
      </c>
      <c r="M237" s="21">
        <v>25868.505576349038</v>
      </c>
    </row>
    <row r="238" spans="12:13" x14ac:dyDescent="0.2">
      <c r="L238" s="4">
        <v>232</v>
      </c>
      <c r="M238" s="21">
        <v>28589.252072690433</v>
      </c>
    </row>
    <row r="239" spans="12:13" x14ac:dyDescent="0.2">
      <c r="L239" s="4">
        <v>233</v>
      </c>
      <c r="M239" s="21">
        <v>27764.042468048254</v>
      </c>
    </row>
    <row r="240" spans="12:13" x14ac:dyDescent="0.2">
      <c r="L240" s="4">
        <v>234</v>
      </c>
      <c r="M240" s="21">
        <v>-39424.775296601365</v>
      </c>
    </row>
    <row r="241" spans="12:13" x14ac:dyDescent="0.2">
      <c r="L241" s="4">
        <v>235</v>
      </c>
      <c r="M241" s="21">
        <v>-72915.131908624957</v>
      </c>
    </row>
    <row r="242" spans="12:13" x14ac:dyDescent="0.2">
      <c r="L242" s="4">
        <v>236</v>
      </c>
      <c r="M242" s="21">
        <v>-121488.71550807038</v>
      </c>
    </row>
    <row r="243" spans="12:13" x14ac:dyDescent="0.2">
      <c r="L243" s="4">
        <v>237</v>
      </c>
      <c r="M243" s="21">
        <v>38453.930504377087</v>
      </c>
    </row>
    <row r="244" spans="12:13" x14ac:dyDescent="0.2">
      <c r="L244" s="4">
        <v>238</v>
      </c>
      <c r="M244" s="21">
        <v>-261554.62385763007</v>
      </c>
    </row>
    <row r="245" spans="12:13" x14ac:dyDescent="0.2">
      <c r="L245" s="4">
        <v>239</v>
      </c>
      <c r="M245" s="21">
        <v>65241.376834609138</v>
      </c>
    </row>
    <row r="246" spans="12:13" x14ac:dyDescent="0.2">
      <c r="L246" s="4">
        <v>240</v>
      </c>
      <c r="M246" s="21">
        <v>-175303.6587422415</v>
      </c>
    </row>
    <row r="247" spans="12:13" x14ac:dyDescent="0.2">
      <c r="L247" s="4">
        <v>241</v>
      </c>
      <c r="M247" s="21">
        <v>-39304.501083628173</v>
      </c>
    </row>
    <row r="248" spans="12:13" x14ac:dyDescent="0.2">
      <c r="L248" s="4">
        <v>242</v>
      </c>
      <c r="M248" s="21">
        <v>14216.433518918755</v>
      </c>
    </row>
    <row r="249" spans="12:13" x14ac:dyDescent="0.2">
      <c r="L249" s="4">
        <v>243</v>
      </c>
      <c r="M249" s="21">
        <v>-209974.29423282182</v>
      </c>
    </row>
    <row r="250" spans="12:13" x14ac:dyDescent="0.2">
      <c r="L250" s="4">
        <v>244</v>
      </c>
      <c r="M250" s="21">
        <v>-218651.63178900775</v>
      </c>
    </row>
    <row r="251" spans="12:13" x14ac:dyDescent="0.2">
      <c r="L251" s="4">
        <v>245</v>
      </c>
      <c r="M251" s="21">
        <v>40090.663096136355</v>
      </c>
    </row>
    <row r="252" spans="12:13" x14ac:dyDescent="0.2">
      <c r="L252" s="4">
        <v>246</v>
      </c>
      <c r="M252" s="21">
        <v>-220966.76810953268</v>
      </c>
    </row>
    <row r="253" spans="12:13" x14ac:dyDescent="0.2">
      <c r="L253" s="4">
        <v>247</v>
      </c>
      <c r="M253" s="21">
        <v>127493.9806955152</v>
      </c>
    </row>
    <row r="254" spans="12:13" x14ac:dyDescent="0.2">
      <c r="L254" s="4">
        <v>248</v>
      </c>
      <c r="M254" s="21">
        <v>-65489.136000059603</v>
      </c>
    </row>
    <row r="255" spans="12:13" x14ac:dyDescent="0.2">
      <c r="L255" s="4">
        <v>249</v>
      </c>
      <c r="M255" s="21">
        <v>64672.226059026521</v>
      </c>
    </row>
    <row r="256" spans="12:13" x14ac:dyDescent="0.2">
      <c r="L256" s="4">
        <v>250</v>
      </c>
      <c r="M256" s="21">
        <v>34070.63809559794</v>
      </c>
    </row>
    <row r="257" spans="12:13" x14ac:dyDescent="0.2">
      <c r="L257" s="4">
        <v>251</v>
      </c>
      <c r="M257" s="21">
        <v>219452.08612275237</v>
      </c>
    </row>
    <row r="258" spans="12:13" x14ac:dyDescent="0.2">
      <c r="L258" s="4">
        <v>252</v>
      </c>
      <c r="M258" s="21">
        <v>-115958.06969292954</v>
      </c>
    </row>
    <row r="259" spans="12:13" x14ac:dyDescent="0.2">
      <c r="L259" s="4">
        <v>253</v>
      </c>
      <c r="M259" s="21">
        <v>-159676.72506633226</v>
      </c>
    </row>
    <row r="260" spans="12:13" x14ac:dyDescent="0.2">
      <c r="L260" s="4">
        <v>254</v>
      </c>
      <c r="M260" s="21">
        <v>-42816.04034050279</v>
      </c>
    </row>
    <row r="261" spans="12:13" x14ac:dyDescent="0.2">
      <c r="L261" s="4">
        <v>255</v>
      </c>
      <c r="M261" s="21">
        <v>-109962.09392013108</v>
      </c>
    </row>
    <row r="262" spans="12:13" x14ac:dyDescent="0.2">
      <c r="L262" s="4">
        <v>256</v>
      </c>
      <c r="M262" s="21">
        <v>9863.8376113233389</v>
      </c>
    </row>
    <row r="263" spans="12:13" x14ac:dyDescent="0.2">
      <c r="L263" s="4">
        <v>257</v>
      </c>
      <c r="M263" s="21">
        <v>-100641.49358356319</v>
      </c>
    </row>
    <row r="264" spans="12:13" x14ac:dyDescent="0.2">
      <c r="L264" s="4">
        <v>258</v>
      </c>
      <c r="M264" s="21">
        <v>-60444.732488217953</v>
      </c>
    </row>
    <row r="265" spans="12:13" x14ac:dyDescent="0.2">
      <c r="L265" s="4">
        <v>259</v>
      </c>
      <c r="M265" s="21">
        <v>-229234.93771704135</v>
      </c>
    </row>
    <row r="266" spans="12:13" x14ac:dyDescent="0.2">
      <c r="L266" s="4">
        <v>260</v>
      </c>
      <c r="M266" s="21">
        <v>-88400.895284351893</v>
      </c>
    </row>
    <row r="267" spans="12:13" x14ac:dyDescent="0.2">
      <c r="L267" s="4">
        <v>261</v>
      </c>
      <c r="M267" s="21">
        <v>224399.44994636986</v>
      </c>
    </row>
    <row r="268" spans="12:13" x14ac:dyDescent="0.2">
      <c r="L268" s="4">
        <v>262</v>
      </c>
      <c r="M268" s="21">
        <v>-139421.3908231614</v>
      </c>
    </row>
    <row r="269" spans="12:13" x14ac:dyDescent="0.2">
      <c r="L269" s="4">
        <v>263</v>
      </c>
      <c r="M269" s="21">
        <v>-247918.26659455552</v>
      </c>
    </row>
    <row r="270" spans="12:13" x14ac:dyDescent="0.2">
      <c r="L270" s="4">
        <v>264</v>
      </c>
      <c r="M270" s="21">
        <v>-186001.66213475494</v>
      </c>
    </row>
    <row r="271" spans="12:13" x14ac:dyDescent="0.2">
      <c r="L271" s="4">
        <v>265</v>
      </c>
      <c r="M271" s="21">
        <v>107421.9569542885</v>
      </c>
    </row>
    <row r="272" spans="12:13" x14ac:dyDescent="0.2">
      <c r="L272" s="4">
        <v>266</v>
      </c>
      <c r="M272" s="21">
        <v>-26162.829044633763</v>
      </c>
    </row>
    <row r="273" spans="12:13" x14ac:dyDescent="0.2">
      <c r="L273" s="4">
        <v>267</v>
      </c>
      <c r="M273" s="21">
        <v>84484.341918310238</v>
      </c>
    </row>
    <row r="274" spans="12:13" x14ac:dyDescent="0.2">
      <c r="L274" s="4">
        <v>268</v>
      </c>
      <c r="M274" s="21">
        <v>-191386.77107483894</v>
      </c>
    </row>
    <row r="275" spans="12:13" x14ac:dyDescent="0.2">
      <c r="L275" s="4">
        <v>269</v>
      </c>
      <c r="M275" s="21">
        <v>46048.817473280127</v>
      </c>
    </row>
    <row r="276" spans="12:13" x14ac:dyDescent="0.2">
      <c r="L276" s="4">
        <v>270</v>
      </c>
      <c r="M276" s="21">
        <v>11560.525846862147</v>
      </c>
    </row>
    <row r="277" spans="12:13" x14ac:dyDescent="0.2">
      <c r="L277" s="4">
        <v>271</v>
      </c>
      <c r="M277" s="21">
        <v>-10405.435488052695</v>
      </c>
    </row>
    <row r="278" spans="12:13" x14ac:dyDescent="0.2">
      <c r="L278" s="4">
        <v>272</v>
      </c>
      <c r="M278" s="21">
        <v>-131292.069821921</v>
      </c>
    </row>
    <row r="279" spans="12:13" x14ac:dyDescent="0.2">
      <c r="L279" s="4">
        <v>273</v>
      </c>
      <c r="M279" s="21">
        <v>161068.80954003189</v>
      </c>
    </row>
    <row r="280" spans="12:13" x14ac:dyDescent="0.2">
      <c r="L280" s="4">
        <v>274</v>
      </c>
      <c r="M280" s="21">
        <v>-6357.8681719594024</v>
      </c>
    </row>
    <row r="281" spans="12:13" x14ac:dyDescent="0.2">
      <c r="L281" s="4">
        <v>275</v>
      </c>
      <c r="M281" s="21">
        <v>-332427.56443909835</v>
      </c>
    </row>
    <row r="282" spans="12:13" x14ac:dyDescent="0.2">
      <c r="L282" s="4">
        <v>276</v>
      </c>
      <c r="M282" s="21">
        <v>121163.80810568482</v>
      </c>
    </row>
    <row r="283" spans="12:13" x14ac:dyDescent="0.2">
      <c r="L283" s="4">
        <v>277</v>
      </c>
      <c r="M283" s="21">
        <v>161640.45887794651</v>
      </c>
    </row>
    <row r="284" spans="12:13" x14ac:dyDescent="0.2">
      <c r="L284" s="4">
        <v>278</v>
      </c>
      <c r="M284" s="21">
        <v>181032.46958671819</v>
      </c>
    </row>
    <row r="285" spans="12:13" x14ac:dyDescent="0.2">
      <c r="L285" s="4">
        <v>279</v>
      </c>
      <c r="M285" s="21">
        <v>-11930.854964090104</v>
      </c>
    </row>
    <row r="286" spans="12:13" x14ac:dyDescent="0.2">
      <c r="L286" s="4">
        <v>280</v>
      </c>
      <c r="M286" s="21">
        <v>44850.290103524021</v>
      </c>
    </row>
    <row r="287" spans="12:13" x14ac:dyDescent="0.2">
      <c r="L287" s="4">
        <v>281</v>
      </c>
      <c r="M287" s="21">
        <v>-185289.87977514125</v>
      </c>
    </row>
    <row r="288" spans="12:13" x14ac:dyDescent="0.2">
      <c r="L288" s="4">
        <v>282</v>
      </c>
      <c r="M288" s="21">
        <v>-112259.30462739398</v>
      </c>
    </row>
    <row r="289" spans="12:13" x14ac:dyDescent="0.2">
      <c r="L289" s="4">
        <v>283</v>
      </c>
      <c r="M289" s="21">
        <v>-193035.51101885375</v>
      </c>
    </row>
    <row r="290" spans="12:13" x14ac:dyDescent="0.2">
      <c r="L290" s="4">
        <v>284</v>
      </c>
      <c r="M290" s="21">
        <v>170515.27554442917</v>
      </c>
    </row>
    <row r="291" spans="12:13" x14ac:dyDescent="0.2">
      <c r="L291" s="4">
        <v>285</v>
      </c>
      <c r="M291" s="21">
        <v>-84389.309996303287</v>
      </c>
    </row>
    <row r="292" spans="12:13" x14ac:dyDescent="0.2">
      <c r="L292" s="4">
        <v>286</v>
      </c>
      <c r="M292" s="21">
        <v>-120651.97347753066</v>
      </c>
    </row>
    <row r="293" spans="12:13" x14ac:dyDescent="0.2">
      <c r="L293" s="4">
        <v>287</v>
      </c>
      <c r="M293" s="21">
        <v>-50378.651632782261</v>
      </c>
    </row>
    <row r="294" spans="12:13" x14ac:dyDescent="0.2">
      <c r="L294" s="4">
        <v>288</v>
      </c>
      <c r="M294" s="21">
        <v>215694.02330276245</v>
      </c>
    </row>
    <row r="295" spans="12:13" x14ac:dyDescent="0.2">
      <c r="L295" s="4">
        <v>289</v>
      </c>
      <c r="M295" s="21">
        <v>-47109.378256165204</v>
      </c>
    </row>
    <row r="296" spans="12:13" x14ac:dyDescent="0.2">
      <c r="L296" s="4">
        <v>290</v>
      </c>
      <c r="M296" s="21">
        <v>247570.29020708831</v>
      </c>
    </row>
    <row r="297" spans="12:13" x14ac:dyDescent="0.2">
      <c r="L297" s="4">
        <v>291</v>
      </c>
      <c r="M297" s="21">
        <v>159800.83655312273</v>
      </c>
    </row>
    <row r="298" spans="12:13" x14ac:dyDescent="0.2">
      <c r="L298" s="4">
        <v>292</v>
      </c>
      <c r="M298" s="21">
        <v>17968.326390106813</v>
      </c>
    </row>
    <row r="299" spans="12:13" x14ac:dyDescent="0.2">
      <c r="L299" s="4">
        <v>293</v>
      </c>
      <c r="M299" s="21">
        <v>56333.482932132552</v>
      </c>
    </row>
    <row r="300" spans="12:13" x14ac:dyDescent="0.2">
      <c r="L300" s="4">
        <v>294</v>
      </c>
      <c r="M300" s="21">
        <v>238782.18689624529</v>
      </c>
    </row>
    <row r="301" spans="12:13" x14ac:dyDescent="0.2">
      <c r="L301" s="4">
        <v>295</v>
      </c>
      <c r="M301" s="21">
        <v>141273.31559259066</v>
      </c>
    </row>
    <row r="302" spans="12:13" x14ac:dyDescent="0.2">
      <c r="L302" s="4">
        <v>296</v>
      </c>
      <c r="M302" s="21">
        <v>-194698.50423735735</v>
      </c>
    </row>
    <row r="303" spans="12:13" x14ac:dyDescent="0.2">
      <c r="L303" s="4">
        <v>297</v>
      </c>
      <c r="M303" s="21">
        <v>-293333.4788006398</v>
      </c>
    </row>
    <row r="304" spans="12:13" x14ac:dyDescent="0.2">
      <c r="L304" s="4">
        <v>298</v>
      </c>
      <c r="M304" s="21">
        <v>-79688.624426167124</v>
      </c>
    </row>
    <row r="305" spans="12:13" x14ac:dyDescent="0.2">
      <c r="L305" s="4">
        <v>299</v>
      </c>
      <c r="M305" s="21">
        <v>265973.83801332035</v>
      </c>
    </row>
    <row r="306" spans="12:13" x14ac:dyDescent="0.2">
      <c r="L306" s="4">
        <v>300</v>
      </c>
      <c r="M306" s="21">
        <v>-50780.460617274977</v>
      </c>
    </row>
    <row r="307" spans="12:13" x14ac:dyDescent="0.2">
      <c r="L307" s="4">
        <v>301</v>
      </c>
      <c r="M307" s="21">
        <v>-150206.65104676469</v>
      </c>
    </row>
    <row r="308" spans="12:13" x14ac:dyDescent="0.2">
      <c r="L308" s="4">
        <v>302</v>
      </c>
      <c r="M308" s="21">
        <v>186187.02186519155</v>
      </c>
    </row>
    <row r="309" spans="12:13" x14ac:dyDescent="0.2">
      <c r="L309" s="4">
        <v>303</v>
      </c>
      <c r="M309" s="21">
        <v>45817.056896933093</v>
      </c>
    </row>
    <row r="310" spans="12:13" x14ac:dyDescent="0.2">
      <c r="L310" s="4">
        <v>304</v>
      </c>
      <c r="M310" s="21">
        <v>116846.20886131495</v>
      </c>
    </row>
    <row r="311" spans="12:13" x14ac:dyDescent="0.2">
      <c r="L311" s="4">
        <v>305</v>
      </c>
      <c r="M311" s="21">
        <v>41819.676684962615</v>
      </c>
    </row>
    <row r="312" spans="12:13" x14ac:dyDescent="0.2">
      <c r="L312" s="4">
        <v>306</v>
      </c>
      <c r="M312" s="21">
        <v>-57302.321595428119</v>
      </c>
    </row>
    <row r="313" spans="12:13" x14ac:dyDescent="0.2">
      <c r="L313" s="4">
        <v>307</v>
      </c>
      <c r="M313" s="21">
        <v>-145718.98047214752</v>
      </c>
    </row>
    <row r="314" spans="12:13" x14ac:dyDescent="0.2">
      <c r="L314" s="4">
        <v>308</v>
      </c>
      <c r="M314" s="21">
        <v>-83441.263048139095</v>
      </c>
    </row>
    <row r="315" spans="12:13" x14ac:dyDescent="0.2">
      <c r="L315" s="4">
        <v>309</v>
      </c>
      <c r="M315" s="21">
        <v>276451.26851784182</v>
      </c>
    </row>
    <row r="316" spans="12:13" x14ac:dyDescent="0.2">
      <c r="L316" s="4">
        <v>310</v>
      </c>
      <c r="M316" s="21">
        <v>-38868.192658550455</v>
      </c>
    </row>
    <row r="317" spans="12:13" x14ac:dyDescent="0.2">
      <c r="L317" s="4">
        <v>311</v>
      </c>
      <c r="M317" s="21">
        <v>76777.689405636687</v>
      </c>
    </row>
    <row r="318" spans="12:13" x14ac:dyDescent="0.2">
      <c r="L318" s="4">
        <v>312</v>
      </c>
      <c r="M318" s="21">
        <v>-20165.079045609426</v>
      </c>
    </row>
    <row r="319" spans="12:13" x14ac:dyDescent="0.2">
      <c r="L319" s="4">
        <v>313</v>
      </c>
      <c r="M319" s="21">
        <v>17799.012118130369</v>
      </c>
    </row>
    <row r="320" spans="12:13" x14ac:dyDescent="0.2">
      <c r="L320" s="4">
        <v>314</v>
      </c>
      <c r="M320" s="21">
        <v>-107293.67910455204</v>
      </c>
    </row>
    <row r="321" spans="12:13" x14ac:dyDescent="0.2">
      <c r="L321" s="4">
        <v>315</v>
      </c>
      <c r="M321" s="21">
        <v>-78421.425343958152</v>
      </c>
    </row>
    <row r="322" spans="12:13" x14ac:dyDescent="0.2">
      <c r="L322" s="4">
        <v>316</v>
      </c>
      <c r="M322" s="21">
        <v>68421.974070404598</v>
      </c>
    </row>
    <row r="323" spans="12:13" x14ac:dyDescent="0.2">
      <c r="L323" s="4">
        <v>317</v>
      </c>
      <c r="M323" s="21">
        <v>-146602.30563726078</v>
      </c>
    </row>
    <row r="324" spans="12:13" x14ac:dyDescent="0.2">
      <c r="L324" s="4">
        <v>318</v>
      </c>
      <c r="M324" s="21">
        <v>47791.655241129047</v>
      </c>
    </row>
    <row r="325" spans="12:13" x14ac:dyDescent="0.2">
      <c r="L325" s="4">
        <v>319</v>
      </c>
      <c r="M325" s="21">
        <v>27575.940928151889</v>
      </c>
    </row>
    <row r="326" spans="12:13" x14ac:dyDescent="0.2">
      <c r="L326" s="4">
        <v>320</v>
      </c>
      <c r="M326" s="21">
        <v>40361.926367896231</v>
      </c>
    </row>
    <row r="327" spans="12:13" x14ac:dyDescent="0.2">
      <c r="L327" s="4">
        <v>321</v>
      </c>
      <c r="M327" s="21">
        <v>44471.30971339313</v>
      </c>
    </row>
    <row r="328" spans="12:13" x14ac:dyDescent="0.2">
      <c r="L328" s="4">
        <v>322</v>
      </c>
      <c r="M328" s="21">
        <v>70864.002176312701</v>
      </c>
    </row>
    <row r="329" spans="12:13" x14ac:dyDescent="0.2">
      <c r="L329" s="4">
        <v>323</v>
      </c>
      <c r="M329" s="21">
        <v>-244972.93375532562</v>
      </c>
    </row>
    <row r="330" spans="12:13" x14ac:dyDescent="0.2">
      <c r="L330" s="4">
        <v>324</v>
      </c>
      <c r="M330" s="21">
        <v>-148299.21907276748</v>
      </c>
    </row>
    <row r="331" spans="12:13" x14ac:dyDescent="0.2">
      <c r="L331" s="4">
        <v>325</v>
      </c>
      <c r="M331" s="21">
        <v>-136298.82558810111</v>
      </c>
    </row>
    <row r="332" spans="12:13" x14ac:dyDescent="0.2">
      <c r="L332" s="4">
        <v>326</v>
      </c>
      <c r="M332" s="21">
        <v>-4851.8561475675961</v>
      </c>
    </row>
    <row r="333" spans="12:13" x14ac:dyDescent="0.2">
      <c r="L333" s="4">
        <v>327</v>
      </c>
      <c r="M333" s="21">
        <v>-192718.04074461767</v>
      </c>
    </row>
    <row r="334" spans="12:13" x14ac:dyDescent="0.2">
      <c r="L334" s="4">
        <v>328</v>
      </c>
      <c r="M334" s="21">
        <v>-111929.36657023791</v>
      </c>
    </row>
    <row r="335" spans="12:13" x14ac:dyDescent="0.2">
      <c r="L335" s="4">
        <v>329</v>
      </c>
      <c r="M335" s="21">
        <v>15891.769972275681</v>
      </c>
    </row>
    <row r="336" spans="12:13" x14ac:dyDescent="0.2">
      <c r="L336" s="4">
        <v>330</v>
      </c>
      <c r="M336" s="21">
        <v>247538.61585723449</v>
      </c>
    </row>
    <row r="337" spans="12:13" x14ac:dyDescent="0.2">
      <c r="L337" s="4">
        <v>331</v>
      </c>
      <c r="M337" s="21">
        <v>328891.70608698699</v>
      </c>
    </row>
    <row r="338" spans="12:13" x14ac:dyDescent="0.2">
      <c r="L338" s="4">
        <v>332</v>
      </c>
      <c r="M338" s="21">
        <v>-349015.70911420567</v>
      </c>
    </row>
    <row r="339" spans="12:13" x14ac:dyDescent="0.2">
      <c r="L339" s="4">
        <v>333</v>
      </c>
      <c r="M339" s="21">
        <v>89231.234283575061</v>
      </c>
    </row>
    <row r="340" spans="12:13" x14ac:dyDescent="0.2">
      <c r="L340" s="4">
        <v>334</v>
      </c>
      <c r="M340" s="21">
        <v>9089.1435427482647</v>
      </c>
    </row>
    <row r="341" spans="12:13" x14ac:dyDescent="0.2">
      <c r="L341" s="4">
        <v>335</v>
      </c>
      <c r="M341" s="21">
        <v>87798.682584198366</v>
      </c>
    </row>
    <row r="342" spans="12:13" x14ac:dyDescent="0.2">
      <c r="L342" s="4">
        <v>336</v>
      </c>
      <c r="M342" s="21">
        <v>241971.82112726264</v>
      </c>
    </row>
    <row r="343" spans="12:13" x14ac:dyDescent="0.2">
      <c r="L343" s="4">
        <v>337</v>
      </c>
      <c r="M343" s="21">
        <v>59973.926089472545</v>
      </c>
    </row>
    <row r="344" spans="12:13" x14ac:dyDescent="0.2">
      <c r="L344" s="4">
        <v>338</v>
      </c>
      <c r="M344" s="21">
        <v>90670.381199722236</v>
      </c>
    </row>
    <row r="345" spans="12:13" x14ac:dyDescent="0.2">
      <c r="L345" s="4">
        <v>339</v>
      </c>
      <c r="M345" s="21">
        <v>-79051.895302406265</v>
      </c>
    </row>
    <row r="346" spans="12:13" x14ac:dyDescent="0.2">
      <c r="L346" s="4">
        <v>340</v>
      </c>
      <c r="M346" s="21">
        <v>-16696.410382008486</v>
      </c>
    </row>
    <row r="347" spans="12:13" x14ac:dyDescent="0.2">
      <c r="L347" s="4">
        <v>341</v>
      </c>
      <c r="M347" s="21">
        <v>-51289.410383786322</v>
      </c>
    </row>
    <row r="348" spans="12:13" x14ac:dyDescent="0.2">
      <c r="L348" s="4">
        <v>342</v>
      </c>
      <c r="M348" s="21">
        <v>45630.295521205757</v>
      </c>
    </row>
    <row r="349" spans="12:13" x14ac:dyDescent="0.2">
      <c r="L349" s="4">
        <v>343</v>
      </c>
      <c r="M349" s="21">
        <v>-132531.62839027803</v>
      </c>
    </row>
    <row r="350" spans="12:13" x14ac:dyDescent="0.2">
      <c r="L350" s="4">
        <v>344</v>
      </c>
      <c r="M350" s="21">
        <v>202761.86421666708</v>
      </c>
    </row>
    <row r="351" spans="12:13" x14ac:dyDescent="0.2">
      <c r="L351" s="4">
        <v>345</v>
      </c>
      <c r="M351" s="21">
        <v>-95013.937330866247</v>
      </c>
    </row>
    <row r="352" spans="12:13" x14ac:dyDescent="0.2">
      <c r="L352" s="4">
        <v>346</v>
      </c>
      <c r="M352" s="21">
        <v>-1254.8916771391378</v>
      </c>
    </row>
    <row r="353" spans="12:13" x14ac:dyDescent="0.2">
      <c r="L353" s="4">
        <v>347</v>
      </c>
      <c r="M353" s="21">
        <v>378727.55855933088</v>
      </c>
    </row>
    <row r="354" spans="12:13" x14ac:dyDescent="0.2">
      <c r="L354" s="4">
        <v>348</v>
      </c>
      <c r="M354" s="21">
        <v>-9342.3713056645356</v>
      </c>
    </row>
    <row r="355" spans="12:13" x14ac:dyDescent="0.2">
      <c r="L355" s="4">
        <v>349</v>
      </c>
      <c r="M355" s="21">
        <v>110282.09211020757</v>
      </c>
    </row>
    <row r="356" spans="12:13" x14ac:dyDescent="0.2">
      <c r="L356" s="4">
        <v>350</v>
      </c>
      <c r="M356" s="21">
        <v>-44402.246771818216</v>
      </c>
    </row>
    <row r="357" spans="12:13" x14ac:dyDescent="0.2">
      <c r="L357" s="4">
        <v>351</v>
      </c>
      <c r="M357" s="21">
        <v>-45092.159915311102</v>
      </c>
    </row>
    <row r="358" spans="12:13" x14ac:dyDescent="0.2">
      <c r="L358" s="4">
        <v>352</v>
      </c>
      <c r="M358" s="21">
        <v>-88749.906481739818</v>
      </c>
    </row>
    <row r="359" spans="12:13" x14ac:dyDescent="0.2">
      <c r="L359" s="4">
        <v>353</v>
      </c>
      <c r="M359" s="21">
        <v>95559.276143427589</v>
      </c>
    </row>
    <row r="360" spans="12:13" x14ac:dyDescent="0.2">
      <c r="L360" s="4">
        <v>354</v>
      </c>
      <c r="M360" s="21">
        <v>-316950.60024755541</v>
      </c>
    </row>
    <row r="361" spans="12:13" x14ac:dyDescent="0.2">
      <c r="L361" s="4">
        <v>355</v>
      </c>
      <c r="M361" s="21">
        <v>-140657.62331355078</v>
      </c>
    </row>
    <row r="362" spans="12:13" x14ac:dyDescent="0.2">
      <c r="L362" s="4">
        <v>356</v>
      </c>
      <c r="M362" s="21">
        <v>102324.66737479909</v>
      </c>
    </row>
    <row r="363" spans="12:13" x14ac:dyDescent="0.2">
      <c r="L363" s="4">
        <v>357</v>
      </c>
      <c r="M363" s="21">
        <v>-129216.49087260664</v>
      </c>
    </row>
    <row r="364" spans="12:13" x14ac:dyDescent="0.2">
      <c r="L364" s="4">
        <v>358</v>
      </c>
      <c r="M364" s="21">
        <v>-308240.28043298773</v>
      </c>
    </row>
    <row r="365" spans="12:13" x14ac:dyDescent="0.2">
      <c r="L365" s="4">
        <v>359</v>
      </c>
      <c r="M365" s="21">
        <v>55362.249415034865</v>
      </c>
    </row>
    <row r="366" spans="12:13" x14ac:dyDescent="0.2">
      <c r="L366" s="4">
        <v>360</v>
      </c>
      <c r="M366" s="21">
        <v>39261.232500329701</v>
      </c>
    </row>
    <row r="367" spans="12:13" x14ac:dyDescent="0.2">
      <c r="L367" s="4">
        <v>361</v>
      </c>
      <c r="M367" s="21">
        <v>229425.77036146389</v>
      </c>
    </row>
    <row r="368" spans="12:13" x14ac:dyDescent="0.2">
      <c r="L368" s="4">
        <v>362</v>
      </c>
      <c r="M368" s="21">
        <v>-2332.9944586369529</v>
      </c>
    </row>
    <row r="369" spans="12:13" x14ac:dyDescent="0.2">
      <c r="L369" s="4">
        <v>363</v>
      </c>
      <c r="M369" s="21">
        <v>-82097.71453517981</v>
      </c>
    </row>
    <row r="370" spans="12:13" x14ac:dyDescent="0.2">
      <c r="L370" s="4">
        <v>364</v>
      </c>
      <c r="M370" s="21">
        <v>175777.03196449592</v>
      </c>
    </row>
    <row r="371" spans="12:13" x14ac:dyDescent="0.2">
      <c r="L371" s="4">
        <v>365</v>
      </c>
      <c r="M371" s="21">
        <v>-54176.674947744395</v>
      </c>
    </row>
    <row r="372" spans="12:13" x14ac:dyDescent="0.2">
      <c r="L372" s="4">
        <v>366</v>
      </c>
      <c r="M372" s="21">
        <v>-94130.754220791176</v>
      </c>
    </row>
    <row r="373" spans="12:13" x14ac:dyDescent="0.2">
      <c r="L373" s="4">
        <v>367</v>
      </c>
      <c r="M373" s="21">
        <v>-308409.96838908462</v>
      </c>
    </row>
    <row r="374" spans="12:13" x14ac:dyDescent="0.2">
      <c r="L374" s="4">
        <v>368</v>
      </c>
      <c r="M374" s="21">
        <v>-123263.69712342152</v>
      </c>
    </row>
    <row r="375" spans="12:13" x14ac:dyDescent="0.2">
      <c r="L375" s="4">
        <v>369</v>
      </c>
      <c r="M375" s="21">
        <v>80163.870023143099</v>
      </c>
    </row>
    <row r="376" spans="12:13" x14ac:dyDescent="0.2">
      <c r="L376" s="4">
        <v>370</v>
      </c>
      <c r="M376" s="21">
        <v>41599.075385192089</v>
      </c>
    </row>
    <row r="377" spans="12:13" x14ac:dyDescent="0.2">
      <c r="L377" s="4">
        <v>371</v>
      </c>
      <c r="M377" s="21">
        <v>-155440.8534296616</v>
      </c>
    </row>
    <row r="378" spans="12:13" x14ac:dyDescent="0.2">
      <c r="L378" s="4">
        <v>372</v>
      </c>
      <c r="M378" s="21">
        <v>-124325.65206430096</v>
      </c>
    </row>
    <row r="379" spans="12:13" x14ac:dyDescent="0.2">
      <c r="L379" s="4">
        <v>373</v>
      </c>
      <c r="M379" s="21">
        <v>52224.135276386922</v>
      </c>
    </row>
    <row r="380" spans="12:13" x14ac:dyDescent="0.2">
      <c r="L380" s="4">
        <v>374</v>
      </c>
      <c r="M380" s="21">
        <v>-113055.09614464339</v>
      </c>
    </row>
    <row r="381" spans="12:13" x14ac:dyDescent="0.2">
      <c r="L381" s="4">
        <v>375</v>
      </c>
      <c r="M381" s="21">
        <v>4946.5031864375342</v>
      </c>
    </row>
    <row r="382" spans="12:13" x14ac:dyDescent="0.2">
      <c r="L382" s="4">
        <v>376</v>
      </c>
      <c r="M382" s="21">
        <v>-135916.12580325746</v>
      </c>
    </row>
    <row r="383" spans="12:13" x14ac:dyDescent="0.2">
      <c r="L383" s="4">
        <v>377</v>
      </c>
      <c r="M383" s="21">
        <v>29374.35506772605</v>
      </c>
    </row>
    <row r="384" spans="12:13" x14ac:dyDescent="0.2">
      <c r="L384" s="4">
        <v>378</v>
      </c>
      <c r="M384" s="21">
        <v>-99531.811947737384</v>
      </c>
    </row>
    <row r="385" spans="12:13" x14ac:dyDescent="0.2">
      <c r="L385" s="4">
        <v>379</v>
      </c>
      <c r="M385" s="21">
        <v>-100137.43644366231</v>
      </c>
    </row>
    <row r="386" spans="12:13" x14ac:dyDescent="0.2">
      <c r="L386" s="4">
        <v>380</v>
      </c>
      <c r="M386" s="21">
        <v>208611.87986953434</v>
      </c>
    </row>
    <row r="387" spans="12:13" x14ac:dyDescent="0.2">
      <c r="L387" s="4">
        <v>381</v>
      </c>
      <c r="M387" s="21">
        <v>-11004.377117421463</v>
      </c>
    </row>
    <row r="388" spans="12:13" x14ac:dyDescent="0.2">
      <c r="L388" s="4">
        <v>382</v>
      </c>
      <c r="M388" s="21">
        <v>-39430.325594792215</v>
      </c>
    </row>
    <row r="389" spans="12:13" x14ac:dyDescent="0.2">
      <c r="L389" s="4">
        <v>383</v>
      </c>
      <c r="M389" s="21">
        <v>45584.828245748969</v>
      </c>
    </row>
    <row r="390" spans="12:13" x14ac:dyDescent="0.2">
      <c r="L390" s="4">
        <v>384</v>
      </c>
      <c r="M390" s="21">
        <v>11002.174651314388</v>
      </c>
    </row>
    <row r="391" spans="12:13" x14ac:dyDescent="0.2">
      <c r="L391" s="4">
        <v>385</v>
      </c>
      <c r="M391" s="21">
        <v>-164034.38781291479</v>
      </c>
    </row>
    <row r="392" spans="12:13" x14ac:dyDescent="0.2">
      <c r="L392" s="4">
        <v>386</v>
      </c>
      <c r="M392" s="21">
        <v>86965.018407659954</v>
      </c>
    </row>
    <row r="393" spans="12:13" x14ac:dyDescent="0.2">
      <c r="L393" s="4">
        <v>387</v>
      </c>
      <c r="M393" s="21">
        <v>161624.37841035461</v>
      </c>
    </row>
    <row r="394" spans="12:13" x14ac:dyDescent="0.2">
      <c r="L394" s="4">
        <v>388</v>
      </c>
      <c r="M394" s="21">
        <v>143674.52905289803</v>
      </c>
    </row>
    <row r="395" spans="12:13" x14ac:dyDescent="0.2">
      <c r="L395" s="4">
        <v>389</v>
      </c>
      <c r="M395" s="21">
        <v>-285990.45247125154</v>
      </c>
    </row>
    <row r="396" spans="12:13" x14ac:dyDescent="0.2">
      <c r="L396" s="4">
        <v>390</v>
      </c>
      <c r="M396" s="21">
        <v>240036.06054711924</v>
      </c>
    </row>
    <row r="397" spans="12:13" x14ac:dyDescent="0.2">
      <c r="L397" s="4">
        <v>391</v>
      </c>
      <c r="M397" s="21">
        <v>-206879.2716405284</v>
      </c>
    </row>
    <row r="398" spans="12:13" x14ac:dyDescent="0.2">
      <c r="L398" s="4">
        <v>392</v>
      </c>
      <c r="M398" s="21">
        <v>46609.170451331156</v>
      </c>
    </row>
    <row r="399" spans="12:13" x14ac:dyDescent="0.2">
      <c r="L399" s="4">
        <v>393</v>
      </c>
      <c r="M399" s="21">
        <v>86148.549389592052</v>
      </c>
    </row>
    <row r="400" spans="12:13" x14ac:dyDescent="0.2">
      <c r="L400" s="4">
        <v>394</v>
      </c>
      <c r="M400" s="21">
        <v>-207379.36258002606</v>
      </c>
    </row>
    <row r="401" spans="12:13" x14ac:dyDescent="0.2">
      <c r="L401" s="4">
        <v>395</v>
      </c>
      <c r="M401" s="21">
        <v>86743.705753593589</v>
      </c>
    </row>
    <row r="402" spans="12:13" x14ac:dyDescent="0.2">
      <c r="L402" s="4">
        <v>396</v>
      </c>
      <c r="M402" s="21">
        <v>96377.732413649559</v>
      </c>
    </row>
    <row r="403" spans="12:13" x14ac:dyDescent="0.2">
      <c r="L403" s="4">
        <v>397</v>
      </c>
      <c r="M403" s="21">
        <v>207000.6207904024</v>
      </c>
    </row>
    <row r="404" spans="12:13" x14ac:dyDescent="0.2">
      <c r="L404" s="4">
        <v>398</v>
      </c>
      <c r="M404" s="21">
        <v>-104362.43160014745</v>
      </c>
    </row>
    <row r="405" spans="12:13" x14ac:dyDescent="0.2">
      <c r="L405" s="4">
        <v>399</v>
      </c>
      <c r="M405" s="21">
        <v>124169.6203280357</v>
      </c>
    </row>
    <row r="406" spans="12:13" x14ac:dyDescent="0.2">
      <c r="L406" s="4">
        <v>400</v>
      </c>
      <c r="M406" s="21">
        <v>53870.769671382557</v>
      </c>
    </row>
    <row r="407" spans="12:13" x14ac:dyDescent="0.2">
      <c r="L407" s="4">
        <v>401</v>
      </c>
      <c r="M407" s="21">
        <v>19741.08866667666</v>
      </c>
    </row>
    <row r="408" spans="12:13" x14ac:dyDescent="0.2">
      <c r="L408" s="4">
        <v>402</v>
      </c>
      <c r="M408" s="21">
        <v>25087.96570678032</v>
      </c>
    </row>
    <row r="409" spans="12:13" x14ac:dyDescent="0.2">
      <c r="L409" s="4">
        <v>403</v>
      </c>
      <c r="M409" s="21">
        <v>-322875.50211010256</v>
      </c>
    </row>
    <row r="410" spans="12:13" x14ac:dyDescent="0.2">
      <c r="L410" s="4">
        <v>404</v>
      </c>
      <c r="M410" s="21">
        <v>-80373.290813611398</v>
      </c>
    </row>
    <row r="411" spans="12:13" x14ac:dyDescent="0.2">
      <c r="L411" s="4">
        <v>405</v>
      </c>
      <c r="M411" s="21">
        <v>23818.932622424967</v>
      </c>
    </row>
    <row r="412" spans="12:13" x14ac:dyDescent="0.2">
      <c r="L412" s="4">
        <v>406</v>
      </c>
      <c r="M412" s="21">
        <v>-60834.939521033972</v>
      </c>
    </row>
    <row r="413" spans="12:13" x14ac:dyDescent="0.2">
      <c r="L413" s="4">
        <v>407</v>
      </c>
      <c r="M413" s="21">
        <v>-68178.368717106248</v>
      </c>
    </row>
    <row r="414" spans="12:13" x14ac:dyDescent="0.2">
      <c r="L414" s="4">
        <v>408</v>
      </c>
      <c r="M414" s="21">
        <v>-163686.7126815248</v>
      </c>
    </row>
    <row r="415" spans="12:13" x14ac:dyDescent="0.2">
      <c r="L415" s="4">
        <v>409</v>
      </c>
      <c r="M415" s="21">
        <v>-97574.432667739311</v>
      </c>
    </row>
    <row r="416" spans="12:13" x14ac:dyDescent="0.2">
      <c r="L416" s="4">
        <v>410</v>
      </c>
      <c r="M416" s="21">
        <v>-27880.618589602731</v>
      </c>
    </row>
    <row r="417" spans="12:13" x14ac:dyDescent="0.2">
      <c r="L417" s="4">
        <v>411</v>
      </c>
      <c r="M417" s="21">
        <v>441095.23031764751</v>
      </c>
    </row>
    <row r="418" spans="12:13" x14ac:dyDescent="0.2">
      <c r="L418" s="4">
        <v>412</v>
      </c>
      <c r="M418" s="21">
        <v>-51997.826823610769</v>
      </c>
    </row>
    <row r="419" spans="12:13" x14ac:dyDescent="0.2">
      <c r="L419" s="4">
        <v>413</v>
      </c>
      <c r="M419" s="21">
        <v>124112.03896250218</v>
      </c>
    </row>
    <row r="420" spans="12:13" x14ac:dyDescent="0.2">
      <c r="L420" s="4">
        <v>414</v>
      </c>
      <c r="M420" s="21">
        <v>-193542.82060014905</v>
      </c>
    </row>
    <row r="421" spans="12:13" x14ac:dyDescent="0.2">
      <c r="L421" s="4">
        <v>415</v>
      </c>
      <c r="M421" s="21">
        <v>-272200.9461734154</v>
      </c>
    </row>
    <row r="422" spans="12:13" x14ac:dyDescent="0.2">
      <c r="L422" s="4">
        <v>416</v>
      </c>
      <c r="M422" s="21">
        <v>173114.56776647747</v>
      </c>
    </row>
    <row r="423" spans="12:13" x14ac:dyDescent="0.2">
      <c r="L423" s="4">
        <v>417</v>
      </c>
      <c r="M423" s="21">
        <v>-74762.415608793919</v>
      </c>
    </row>
    <row r="424" spans="12:13" x14ac:dyDescent="0.2">
      <c r="L424" s="4">
        <v>418</v>
      </c>
      <c r="M424" s="21">
        <v>-119245.43647847365</v>
      </c>
    </row>
    <row r="425" spans="12:13" x14ac:dyDescent="0.2">
      <c r="L425" s="4">
        <v>419</v>
      </c>
      <c r="M425" s="21">
        <v>-184908.00079610574</v>
      </c>
    </row>
    <row r="426" spans="12:13" x14ac:dyDescent="0.2">
      <c r="L426" s="4">
        <v>420</v>
      </c>
      <c r="M426" s="21">
        <v>221669.58606075318</v>
      </c>
    </row>
    <row r="427" spans="12:13" x14ac:dyDescent="0.2">
      <c r="L427" s="4">
        <v>421</v>
      </c>
      <c r="M427" s="21">
        <v>-118810.60966131015</v>
      </c>
    </row>
    <row r="428" spans="12:13" x14ac:dyDescent="0.2">
      <c r="L428" s="4">
        <v>422</v>
      </c>
      <c r="M428" s="21">
        <v>-251976.48037464527</v>
      </c>
    </row>
    <row r="429" spans="12:13" x14ac:dyDescent="0.2">
      <c r="L429" s="4">
        <v>423</v>
      </c>
      <c r="M429" s="21">
        <v>104978.22324679216</v>
      </c>
    </row>
    <row r="430" spans="12:13" x14ac:dyDescent="0.2">
      <c r="L430" s="4">
        <v>424</v>
      </c>
      <c r="M430" s="21">
        <v>-102422.37975842957</v>
      </c>
    </row>
    <row r="431" spans="12:13" x14ac:dyDescent="0.2">
      <c r="L431" s="4">
        <v>425</v>
      </c>
      <c r="M431" s="21">
        <v>22290.500957337848</v>
      </c>
    </row>
    <row r="432" spans="12:13" x14ac:dyDescent="0.2">
      <c r="L432" s="4">
        <v>426</v>
      </c>
      <c r="M432" s="21">
        <v>18843.069378371234</v>
      </c>
    </row>
    <row r="433" spans="12:13" x14ac:dyDescent="0.2">
      <c r="L433" s="4">
        <v>427</v>
      </c>
      <c r="M433" s="21">
        <v>-24559.795335809875</v>
      </c>
    </row>
    <row r="434" spans="12:13" x14ac:dyDescent="0.2">
      <c r="L434" s="4">
        <v>428</v>
      </c>
      <c r="M434" s="21">
        <v>204323.43377323018</v>
      </c>
    </row>
    <row r="435" spans="12:13" x14ac:dyDescent="0.2">
      <c r="L435" s="4">
        <v>429</v>
      </c>
      <c r="M435" s="21">
        <v>184126.56455086783</v>
      </c>
    </row>
    <row r="436" spans="12:13" x14ac:dyDescent="0.2">
      <c r="L436" s="4">
        <v>430</v>
      </c>
      <c r="M436" s="21">
        <v>46405.076204642712</v>
      </c>
    </row>
    <row r="437" spans="12:13" x14ac:dyDescent="0.2">
      <c r="L437" s="4">
        <v>431</v>
      </c>
      <c r="M437" s="21">
        <v>26087.885906374897</v>
      </c>
    </row>
    <row r="438" spans="12:13" x14ac:dyDescent="0.2">
      <c r="L438" s="4">
        <v>432</v>
      </c>
      <c r="M438" s="21">
        <v>-107623.96735462715</v>
      </c>
    </row>
    <row r="439" spans="12:13" x14ac:dyDescent="0.2">
      <c r="L439" s="4">
        <v>433</v>
      </c>
      <c r="M439" s="21">
        <v>-35969.100397841001</v>
      </c>
    </row>
    <row r="440" spans="12:13" x14ac:dyDescent="0.2">
      <c r="L440" s="4">
        <v>434</v>
      </c>
      <c r="M440" s="21">
        <v>-230062.65632310876</v>
      </c>
    </row>
    <row r="441" spans="12:13" x14ac:dyDescent="0.2">
      <c r="L441" s="4">
        <v>435</v>
      </c>
      <c r="M441" s="21">
        <v>112791.02908223777</v>
      </c>
    </row>
    <row r="442" spans="12:13" x14ac:dyDescent="0.2">
      <c r="L442" s="4">
        <v>436</v>
      </c>
      <c r="M442" s="21">
        <v>-587.82806711451849</v>
      </c>
    </row>
    <row r="443" spans="12:13" x14ac:dyDescent="0.2">
      <c r="L443" s="4">
        <v>437</v>
      </c>
      <c r="M443" s="21">
        <v>144992.63767216701</v>
      </c>
    </row>
    <row r="444" spans="12:13" x14ac:dyDescent="0.2">
      <c r="L444" s="4">
        <v>438</v>
      </c>
      <c r="M444" s="21">
        <v>315939.34619245853</v>
      </c>
    </row>
    <row r="445" spans="12:13" x14ac:dyDescent="0.2">
      <c r="L445" s="4">
        <v>439</v>
      </c>
      <c r="M445" s="21">
        <v>-5718.6954118739086</v>
      </c>
    </row>
    <row r="446" spans="12:13" x14ac:dyDescent="0.2">
      <c r="L446" s="4">
        <v>440</v>
      </c>
      <c r="M446" s="21">
        <v>135993.97903595847</v>
      </c>
    </row>
    <row r="447" spans="12:13" x14ac:dyDescent="0.2">
      <c r="L447" s="4">
        <v>441</v>
      </c>
      <c r="M447" s="21">
        <v>154239.34726140735</v>
      </c>
    </row>
    <row r="448" spans="12:13" x14ac:dyDescent="0.2">
      <c r="L448" s="4">
        <v>442</v>
      </c>
      <c r="M448" s="21">
        <v>-33822.232790895025</v>
      </c>
    </row>
    <row r="449" spans="12:13" x14ac:dyDescent="0.2">
      <c r="L449" s="4">
        <v>443</v>
      </c>
      <c r="M449" s="21">
        <v>-122456.0549020719</v>
      </c>
    </row>
    <row r="450" spans="12:13" x14ac:dyDescent="0.2">
      <c r="L450" s="4">
        <v>444</v>
      </c>
      <c r="M450" s="21">
        <v>-84370.690137716316</v>
      </c>
    </row>
    <row r="451" spans="12:13" x14ac:dyDescent="0.2">
      <c r="L451" s="4">
        <v>445</v>
      </c>
      <c r="M451" s="21">
        <v>-42153.160682253787</v>
      </c>
    </row>
    <row r="452" spans="12:13" x14ac:dyDescent="0.2">
      <c r="L452" s="4">
        <v>446</v>
      </c>
      <c r="M452" s="21">
        <v>-97097.304233489122</v>
      </c>
    </row>
    <row r="453" spans="12:13" x14ac:dyDescent="0.2">
      <c r="L453" s="4">
        <v>447</v>
      </c>
      <c r="M453" s="21">
        <v>-196950.51199820254</v>
      </c>
    </row>
    <row r="454" spans="12:13" x14ac:dyDescent="0.2">
      <c r="L454" s="4">
        <v>448</v>
      </c>
      <c r="M454" s="21">
        <v>51942.111183501169</v>
      </c>
    </row>
    <row r="455" spans="12:13" x14ac:dyDescent="0.2">
      <c r="L455" s="4">
        <v>449</v>
      </c>
      <c r="M455" s="21">
        <v>-24531.717746999042</v>
      </c>
    </row>
    <row r="456" spans="12:13" x14ac:dyDescent="0.2">
      <c r="L456" s="4">
        <v>450</v>
      </c>
      <c r="M456" s="21">
        <v>-149941.56055101875</v>
      </c>
    </row>
    <row r="457" spans="12:13" x14ac:dyDescent="0.2">
      <c r="L457" s="4">
        <v>451</v>
      </c>
      <c r="M457" s="21">
        <v>-33746.582696574551</v>
      </c>
    </row>
    <row r="458" spans="12:13" x14ac:dyDescent="0.2">
      <c r="L458" s="4">
        <v>452</v>
      </c>
      <c r="M458" s="21">
        <v>307363.65790742415</v>
      </c>
    </row>
    <row r="459" spans="12:13" x14ac:dyDescent="0.2">
      <c r="L459" s="4">
        <v>453</v>
      </c>
      <c r="M459" s="21">
        <v>-205116.7037431385</v>
      </c>
    </row>
    <row r="460" spans="12:13" x14ac:dyDescent="0.2">
      <c r="L460" s="4">
        <v>454</v>
      </c>
      <c r="M460" s="21">
        <v>-134067.95413739659</v>
      </c>
    </row>
    <row r="461" spans="12:13" x14ac:dyDescent="0.2">
      <c r="L461" s="4">
        <v>455</v>
      </c>
      <c r="M461" s="21">
        <v>210206.79118653751</v>
      </c>
    </row>
    <row r="462" spans="12:13" x14ac:dyDescent="0.2">
      <c r="L462" s="4">
        <v>456</v>
      </c>
      <c r="M462" s="21">
        <v>-10194.562033332884</v>
      </c>
    </row>
    <row r="463" spans="12:13" x14ac:dyDescent="0.2">
      <c r="L463" s="4">
        <v>457</v>
      </c>
      <c r="M463" s="21">
        <v>-111542.58145437308</v>
      </c>
    </row>
    <row r="464" spans="12:13" x14ac:dyDescent="0.2">
      <c r="L464" s="4">
        <v>458</v>
      </c>
      <c r="M464" s="21">
        <v>-211295.33384130348</v>
      </c>
    </row>
    <row r="465" spans="12:13" x14ac:dyDescent="0.2">
      <c r="L465" s="4">
        <v>459</v>
      </c>
      <c r="M465" s="21">
        <v>-188385.47670544637</v>
      </c>
    </row>
    <row r="466" spans="12:13" x14ac:dyDescent="0.2">
      <c r="L466" s="4">
        <v>460</v>
      </c>
      <c r="M466" s="21">
        <v>-115451.2895486629</v>
      </c>
    </row>
    <row r="467" spans="12:13" x14ac:dyDescent="0.2">
      <c r="L467" s="4">
        <v>461</v>
      </c>
      <c r="M467" s="21">
        <v>-148188.80876333686</v>
      </c>
    </row>
    <row r="468" spans="12:13" x14ac:dyDescent="0.2">
      <c r="L468" s="4">
        <v>462</v>
      </c>
      <c r="M468" s="21">
        <v>8775.3216757037444</v>
      </c>
    </row>
    <row r="469" spans="12:13" x14ac:dyDescent="0.2">
      <c r="L469" s="4">
        <v>463</v>
      </c>
      <c r="M469" s="21">
        <v>155138.75145029972</v>
      </c>
    </row>
    <row r="470" spans="12:13" x14ac:dyDescent="0.2">
      <c r="L470" s="4">
        <v>464</v>
      </c>
      <c r="M470" s="21">
        <v>-186125.26201822006</v>
      </c>
    </row>
    <row r="471" spans="12:13" x14ac:dyDescent="0.2">
      <c r="L471" s="4">
        <v>465</v>
      </c>
      <c r="M471" s="21">
        <v>41321.268800406251</v>
      </c>
    </row>
    <row r="472" spans="12:13" x14ac:dyDescent="0.2">
      <c r="L472" s="4">
        <v>466</v>
      </c>
      <c r="M472" s="21">
        <v>207967.89247185641</v>
      </c>
    </row>
    <row r="473" spans="12:13" x14ac:dyDescent="0.2">
      <c r="L473" s="4">
        <v>467</v>
      </c>
      <c r="M473" s="21">
        <v>-36125.946530304558</v>
      </c>
    </row>
    <row r="474" spans="12:13" x14ac:dyDescent="0.2">
      <c r="L474" s="4">
        <v>468</v>
      </c>
      <c r="M474" s="21">
        <v>-11625.714412780668</v>
      </c>
    </row>
    <row r="475" spans="12:13" x14ac:dyDescent="0.2">
      <c r="L475" s="4">
        <v>469</v>
      </c>
      <c r="M475" s="21">
        <v>292766.64344717807</v>
      </c>
    </row>
    <row r="476" spans="12:13" x14ac:dyDescent="0.2">
      <c r="L476" s="4">
        <v>470</v>
      </c>
      <c r="M476" s="21">
        <v>-162725.9324122711</v>
      </c>
    </row>
    <row r="477" spans="12:13" x14ac:dyDescent="0.2">
      <c r="L477" s="4">
        <v>471</v>
      </c>
      <c r="M477" s="21">
        <v>-157870.89062701509</v>
      </c>
    </row>
    <row r="478" spans="12:13" x14ac:dyDescent="0.2">
      <c r="L478" s="4">
        <v>472</v>
      </c>
      <c r="M478" s="21">
        <v>-291630.88967968599</v>
      </c>
    </row>
    <row r="479" spans="12:13" x14ac:dyDescent="0.2">
      <c r="L479" s="4">
        <v>473</v>
      </c>
      <c r="M479" s="21">
        <v>12264.506493694207</v>
      </c>
    </row>
    <row r="480" spans="12:13" x14ac:dyDescent="0.2">
      <c r="L480" s="4">
        <v>474</v>
      </c>
      <c r="M480" s="21">
        <v>-32192.862188476167</v>
      </c>
    </row>
    <row r="481" spans="12:13" x14ac:dyDescent="0.2">
      <c r="L481" s="4">
        <v>475</v>
      </c>
      <c r="M481" s="21">
        <v>-131700.33311830164</v>
      </c>
    </row>
    <row r="482" spans="12:13" x14ac:dyDescent="0.2">
      <c r="L482" s="4">
        <v>476</v>
      </c>
      <c r="M482" s="21">
        <v>213485.5361972643</v>
      </c>
    </row>
    <row r="483" spans="12:13" x14ac:dyDescent="0.2">
      <c r="L483" s="4">
        <v>477</v>
      </c>
      <c r="M483" s="21">
        <v>110221.07755244162</v>
      </c>
    </row>
    <row r="484" spans="12:13" x14ac:dyDescent="0.2">
      <c r="L484" s="4">
        <v>478</v>
      </c>
      <c r="M484" s="21">
        <v>451038.25636632834</v>
      </c>
    </row>
    <row r="485" spans="12:13" x14ac:dyDescent="0.2">
      <c r="L485" s="4">
        <v>479</v>
      </c>
      <c r="M485" s="21">
        <v>-173958.24727001769</v>
      </c>
    </row>
    <row r="486" spans="12:13" x14ac:dyDescent="0.2">
      <c r="L486" s="4">
        <v>480</v>
      </c>
      <c r="M486" s="21">
        <v>-86241.02476216908</v>
      </c>
    </row>
    <row r="487" spans="12:13" x14ac:dyDescent="0.2">
      <c r="L487" s="4">
        <v>481</v>
      </c>
      <c r="M487" s="21">
        <v>-66959.211496854565</v>
      </c>
    </row>
    <row r="488" spans="12:13" x14ac:dyDescent="0.2">
      <c r="L488" s="4">
        <v>482</v>
      </c>
      <c r="M488" s="21">
        <v>-104345.45768867618</v>
      </c>
    </row>
    <row r="489" spans="12:13" x14ac:dyDescent="0.2">
      <c r="L489" s="4">
        <v>483</v>
      </c>
      <c r="M489" s="21">
        <v>-146839.44375758705</v>
      </c>
    </row>
    <row r="490" spans="12:13" x14ac:dyDescent="0.2">
      <c r="L490" s="4">
        <v>484</v>
      </c>
      <c r="M490" s="21">
        <v>91035.418583823805</v>
      </c>
    </row>
    <row r="491" spans="12:13" x14ac:dyDescent="0.2">
      <c r="L491" s="4">
        <v>485</v>
      </c>
      <c r="M491" s="21">
        <v>193106.01571777443</v>
      </c>
    </row>
    <row r="492" spans="12:13" x14ac:dyDescent="0.2">
      <c r="L492" s="4">
        <v>486</v>
      </c>
      <c r="M492" s="21">
        <v>194949.55864268402</v>
      </c>
    </row>
    <row r="493" spans="12:13" x14ac:dyDescent="0.2">
      <c r="L493" s="4">
        <v>487</v>
      </c>
      <c r="M493" s="21">
        <v>5210.7546348251926</v>
      </c>
    </row>
    <row r="494" spans="12:13" x14ac:dyDescent="0.2">
      <c r="L494" s="4">
        <v>488</v>
      </c>
      <c r="M494" s="21">
        <v>64917.749619344046</v>
      </c>
    </row>
    <row r="495" spans="12:13" x14ac:dyDescent="0.2">
      <c r="L495" s="4">
        <v>489</v>
      </c>
      <c r="M495" s="21">
        <v>62674.432723158388</v>
      </c>
    </row>
    <row r="496" spans="12:13" x14ac:dyDescent="0.2">
      <c r="L496" s="4">
        <v>490</v>
      </c>
      <c r="M496" s="21">
        <v>-173100.22509911726</v>
      </c>
    </row>
    <row r="497" spans="12:13" x14ac:dyDescent="0.2">
      <c r="L497" s="4">
        <v>491</v>
      </c>
      <c r="M497" s="21">
        <v>-98803.982849451713</v>
      </c>
    </row>
    <row r="498" spans="12:13" x14ac:dyDescent="0.2">
      <c r="L498" s="4">
        <v>492</v>
      </c>
      <c r="M498" s="21">
        <v>155975.17820596503</v>
      </c>
    </row>
    <row r="499" spans="12:13" x14ac:dyDescent="0.2">
      <c r="L499" s="4">
        <v>493</v>
      </c>
      <c r="M499" s="21">
        <v>-332072.36274383753</v>
      </c>
    </row>
    <row r="500" spans="12:13" x14ac:dyDescent="0.2">
      <c r="L500" s="4">
        <v>494</v>
      </c>
      <c r="M500" s="21">
        <v>-201363.6344327812</v>
      </c>
    </row>
    <row r="501" spans="12:13" x14ac:dyDescent="0.2">
      <c r="L501" s="4">
        <v>495</v>
      </c>
      <c r="M501" s="21">
        <v>-261006.26799840102</v>
      </c>
    </row>
    <row r="502" spans="12:13" x14ac:dyDescent="0.2">
      <c r="L502" s="4">
        <v>496</v>
      </c>
      <c r="M502" s="21">
        <v>43081.66505750065</v>
      </c>
    </row>
    <row r="503" spans="12:13" x14ac:dyDescent="0.2">
      <c r="L503" s="4">
        <v>497</v>
      </c>
      <c r="M503" s="21">
        <v>40377.769520962262</v>
      </c>
    </row>
    <row r="504" spans="12:13" x14ac:dyDescent="0.2">
      <c r="L504" s="4">
        <v>498</v>
      </c>
      <c r="M504" s="21">
        <v>104878.91368579405</v>
      </c>
    </row>
    <row r="505" spans="12:13" x14ac:dyDescent="0.2">
      <c r="L505" s="4">
        <v>499</v>
      </c>
      <c r="M505" s="21">
        <v>28730.711998806655</v>
      </c>
    </row>
    <row r="506" spans="12:13" x14ac:dyDescent="0.2">
      <c r="L506" s="4">
        <v>500</v>
      </c>
      <c r="M506" s="21">
        <v>5851.2926012347452</v>
      </c>
    </row>
    <row r="507" spans="12:13" x14ac:dyDescent="0.2">
      <c r="L507" s="4">
        <v>501</v>
      </c>
      <c r="M507" s="21">
        <v>-113396.83671689396</v>
      </c>
    </row>
    <row r="508" spans="12:13" x14ac:dyDescent="0.2">
      <c r="L508" s="4">
        <v>502</v>
      </c>
      <c r="M508" s="21">
        <v>441854.08527337475</v>
      </c>
    </row>
    <row r="509" spans="12:13" x14ac:dyDescent="0.2">
      <c r="L509" s="4">
        <v>503</v>
      </c>
      <c r="M509" s="21">
        <v>30098.146262917027</v>
      </c>
    </row>
    <row r="510" spans="12:13" x14ac:dyDescent="0.2">
      <c r="L510" s="4">
        <v>504</v>
      </c>
      <c r="M510" s="21">
        <v>-103616.33832281514</v>
      </c>
    </row>
    <row r="511" spans="12:13" x14ac:dyDescent="0.2">
      <c r="L511" s="4">
        <v>505</v>
      </c>
      <c r="M511" s="21">
        <v>-56500.742497528481</v>
      </c>
    </row>
    <row r="512" spans="12:13" x14ac:dyDescent="0.2">
      <c r="L512" s="4">
        <v>506</v>
      </c>
      <c r="M512" s="21">
        <v>1314.1424463026051</v>
      </c>
    </row>
    <row r="513" spans="12:13" x14ac:dyDescent="0.2">
      <c r="L513" s="4">
        <v>507</v>
      </c>
      <c r="M513" s="21">
        <v>289342.16398923105</v>
      </c>
    </row>
    <row r="514" spans="12:13" x14ac:dyDescent="0.2">
      <c r="L514" s="4">
        <v>508</v>
      </c>
      <c r="M514" s="21">
        <v>-170154.19730050056</v>
      </c>
    </row>
    <row r="515" spans="12:13" x14ac:dyDescent="0.2">
      <c r="L515" s="4">
        <v>509</v>
      </c>
      <c r="M515" s="21">
        <v>26531.718642690801</v>
      </c>
    </row>
    <row r="516" spans="12:13" x14ac:dyDescent="0.2">
      <c r="L516" s="4">
        <v>510</v>
      </c>
      <c r="M516" s="21">
        <v>-148897.11123811218</v>
      </c>
    </row>
    <row r="517" spans="12:13" x14ac:dyDescent="0.2">
      <c r="L517" s="4">
        <v>511</v>
      </c>
      <c r="M517" s="21">
        <v>84723.035922300129</v>
      </c>
    </row>
    <row r="518" spans="12:13" x14ac:dyDescent="0.2">
      <c r="L518" s="4">
        <v>512</v>
      </c>
      <c r="M518" s="21">
        <v>-207160.35272144273</v>
      </c>
    </row>
    <row r="519" spans="12:13" x14ac:dyDescent="0.2">
      <c r="L519" s="4">
        <v>513</v>
      </c>
      <c r="M519" s="21">
        <v>183435.75067500671</v>
      </c>
    </row>
    <row r="520" spans="12:13" x14ac:dyDescent="0.2">
      <c r="L520" s="4">
        <v>514</v>
      </c>
      <c r="M520" s="21">
        <v>84417.278263731947</v>
      </c>
    </row>
    <row r="521" spans="12:13" x14ac:dyDescent="0.2">
      <c r="L521" s="4">
        <v>515</v>
      </c>
      <c r="M521" s="21">
        <v>-358445.0046628518</v>
      </c>
    </row>
    <row r="522" spans="12:13" x14ac:dyDescent="0.2">
      <c r="L522" s="4">
        <v>516</v>
      </c>
      <c r="M522" s="21">
        <v>-83835.34556555131</v>
      </c>
    </row>
    <row r="523" spans="12:13" x14ac:dyDescent="0.2">
      <c r="L523" s="4">
        <v>517</v>
      </c>
      <c r="M523" s="21">
        <v>-219351.72659488086</v>
      </c>
    </row>
    <row r="524" spans="12:13" x14ac:dyDescent="0.2">
      <c r="L524" s="4">
        <v>518</v>
      </c>
      <c r="M524" s="21">
        <v>296789.86704265629</v>
      </c>
    </row>
    <row r="525" spans="12:13" x14ac:dyDescent="0.2">
      <c r="L525" s="4">
        <v>519</v>
      </c>
      <c r="M525" s="21">
        <v>146218.69794419562</v>
      </c>
    </row>
    <row r="526" spans="12:13" x14ac:dyDescent="0.2">
      <c r="L526" s="4">
        <v>520</v>
      </c>
      <c r="M526" s="21">
        <v>20139.294351219083</v>
      </c>
    </row>
    <row r="527" spans="12:13" x14ac:dyDescent="0.2">
      <c r="L527" s="4">
        <v>521</v>
      </c>
      <c r="M527" s="21">
        <v>233925.76822189734</v>
      </c>
    </row>
    <row r="528" spans="12:13" x14ac:dyDescent="0.2">
      <c r="L528" s="4">
        <v>522</v>
      </c>
      <c r="M528" s="21">
        <v>-31662.892661499121</v>
      </c>
    </row>
    <row r="529" spans="12:13" x14ac:dyDescent="0.2">
      <c r="L529" s="4">
        <v>523</v>
      </c>
      <c r="M529" s="21">
        <v>-20431.972971919386</v>
      </c>
    </row>
    <row r="530" spans="12:13" x14ac:dyDescent="0.2">
      <c r="L530" s="4">
        <v>524</v>
      </c>
      <c r="M530" s="21">
        <v>5766.4272212899232</v>
      </c>
    </row>
    <row r="531" spans="12:13" x14ac:dyDescent="0.2">
      <c r="L531" s="4">
        <v>525</v>
      </c>
      <c r="M531" s="21">
        <v>24270.908424994705</v>
      </c>
    </row>
    <row r="532" spans="12:13" x14ac:dyDescent="0.2">
      <c r="L532" s="4">
        <v>526</v>
      </c>
      <c r="M532" s="21">
        <v>-24964.523947386799</v>
      </c>
    </row>
    <row r="533" spans="12:13" x14ac:dyDescent="0.2">
      <c r="L533" s="4">
        <v>527</v>
      </c>
      <c r="M533" s="21">
        <v>212525.2015000502</v>
      </c>
    </row>
    <row r="534" spans="12:13" x14ac:dyDescent="0.2">
      <c r="L534" s="4">
        <v>528</v>
      </c>
      <c r="M534" s="21">
        <v>-288713.32774386706</v>
      </c>
    </row>
    <row r="535" spans="12:13" x14ac:dyDescent="0.2">
      <c r="L535" s="4">
        <v>529</v>
      </c>
      <c r="M535" s="21">
        <v>315121.35958277644</v>
      </c>
    </row>
    <row r="536" spans="12:13" x14ac:dyDescent="0.2">
      <c r="L536" s="4">
        <v>530</v>
      </c>
      <c r="M536" s="21">
        <v>-59154.775868439639</v>
      </c>
    </row>
    <row r="537" spans="12:13" x14ac:dyDescent="0.2">
      <c r="L537" s="4">
        <v>531</v>
      </c>
      <c r="M537" s="21">
        <v>97371.803407536849</v>
      </c>
    </row>
    <row r="538" spans="12:13" x14ac:dyDescent="0.2">
      <c r="L538" s="4">
        <v>532</v>
      </c>
      <c r="M538" s="21">
        <v>102298.35228672693</v>
      </c>
    </row>
    <row r="539" spans="12:13" x14ac:dyDescent="0.2">
      <c r="L539" s="4">
        <v>533</v>
      </c>
      <c r="M539" s="21">
        <v>29138.701035325648</v>
      </c>
    </row>
    <row r="540" spans="12:13" x14ac:dyDescent="0.2">
      <c r="L540" s="4">
        <v>534</v>
      </c>
      <c r="M540" s="21">
        <v>-115120.24708446534</v>
      </c>
    </row>
    <row r="541" spans="12:13" x14ac:dyDescent="0.2">
      <c r="L541" s="4">
        <v>535</v>
      </c>
      <c r="M541" s="21">
        <v>-274975.93268103589</v>
      </c>
    </row>
    <row r="542" spans="12:13" x14ac:dyDescent="0.2">
      <c r="L542" s="4">
        <v>536</v>
      </c>
      <c r="M542" s="21">
        <v>-14356.638501539477</v>
      </c>
    </row>
    <row r="543" spans="12:13" x14ac:dyDescent="0.2">
      <c r="L543" s="4">
        <v>537</v>
      </c>
      <c r="M543" s="21">
        <v>248821.54511127141</v>
      </c>
    </row>
    <row r="544" spans="12:13" x14ac:dyDescent="0.2">
      <c r="L544" s="4">
        <v>538</v>
      </c>
      <c r="M544" s="21">
        <v>-230138.17406064094</v>
      </c>
    </row>
    <row r="545" spans="12:13" x14ac:dyDescent="0.2">
      <c r="L545" s="4">
        <v>539</v>
      </c>
      <c r="M545" s="21">
        <v>72097.855672305159</v>
      </c>
    </row>
    <row r="546" spans="12:13" x14ac:dyDescent="0.2">
      <c r="L546" s="4">
        <v>540</v>
      </c>
      <c r="M546" s="21">
        <v>205116.17795655056</v>
      </c>
    </row>
    <row r="547" spans="12:13" x14ac:dyDescent="0.2">
      <c r="L547" s="4">
        <v>541</v>
      </c>
      <c r="M547" s="21">
        <v>22917.728821075958</v>
      </c>
    </row>
    <row r="548" spans="12:13" x14ac:dyDescent="0.2">
      <c r="L548" s="4">
        <v>542</v>
      </c>
      <c r="M548" s="21">
        <v>-114820.8658312037</v>
      </c>
    </row>
    <row r="549" spans="12:13" x14ac:dyDescent="0.2">
      <c r="L549" s="4">
        <v>543</v>
      </c>
      <c r="M549" s="21">
        <v>27361.750961022452</v>
      </c>
    </row>
    <row r="550" spans="12:13" x14ac:dyDescent="0.2">
      <c r="L550" s="4">
        <v>544</v>
      </c>
      <c r="M550" s="21">
        <v>-234732.59866983898</v>
      </c>
    </row>
    <row r="551" spans="12:13" x14ac:dyDescent="0.2">
      <c r="L551" s="4">
        <v>545</v>
      </c>
      <c r="M551" s="21">
        <v>-67340.728294237662</v>
      </c>
    </row>
    <row r="552" spans="12:13" x14ac:dyDescent="0.2">
      <c r="L552" s="4">
        <v>546</v>
      </c>
      <c r="M552" s="21">
        <v>-220418.76655206984</v>
      </c>
    </row>
    <row r="553" spans="12:13" x14ac:dyDescent="0.2">
      <c r="L553" s="4">
        <v>547</v>
      </c>
      <c r="M553" s="21">
        <v>313819.93754645763</v>
      </c>
    </row>
    <row r="554" spans="12:13" x14ac:dyDescent="0.2">
      <c r="L554" s="4">
        <v>548</v>
      </c>
      <c r="M554" s="21">
        <v>-5313.7722323428607</v>
      </c>
    </row>
    <row r="555" spans="12:13" x14ac:dyDescent="0.2">
      <c r="L555" s="4">
        <v>549</v>
      </c>
      <c r="M555" s="21">
        <v>116925.59482180997</v>
      </c>
    </row>
    <row r="556" spans="12:13" x14ac:dyDescent="0.2">
      <c r="L556" s="4">
        <v>550</v>
      </c>
      <c r="M556" s="21">
        <v>-29331.47249469634</v>
      </c>
    </row>
    <row r="557" spans="12:13" x14ac:dyDescent="0.2">
      <c r="L557" s="4">
        <v>551</v>
      </c>
      <c r="M557" s="21">
        <v>313450.74733019684</v>
      </c>
    </row>
    <row r="558" spans="12:13" x14ac:dyDescent="0.2">
      <c r="L558" s="4">
        <v>552</v>
      </c>
      <c r="M558" s="21">
        <v>-19192.138979452226</v>
      </c>
    </row>
    <row r="559" spans="12:13" x14ac:dyDescent="0.2">
      <c r="L559" s="4">
        <v>553</v>
      </c>
      <c r="M559" s="21">
        <v>-23877.837588105773</v>
      </c>
    </row>
    <row r="560" spans="12:13" x14ac:dyDescent="0.2">
      <c r="L560" s="4">
        <v>554</v>
      </c>
      <c r="M560" s="21">
        <v>40869.420357049676</v>
      </c>
    </row>
    <row r="561" spans="12:13" x14ac:dyDescent="0.2">
      <c r="L561" s="4">
        <v>555</v>
      </c>
      <c r="M561" s="21">
        <v>344981.7433053999</v>
      </c>
    </row>
    <row r="562" spans="12:13" x14ac:dyDescent="0.2">
      <c r="L562" s="4">
        <v>556</v>
      </c>
      <c r="M562" s="21">
        <v>-106105.93078757584</v>
      </c>
    </row>
    <row r="563" spans="12:13" x14ac:dyDescent="0.2">
      <c r="L563" s="4">
        <v>557</v>
      </c>
      <c r="M563" s="21">
        <v>-201370.00189597154</v>
      </c>
    </row>
    <row r="564" spans="12:13" x14ac:dyDescent="0.2">
      <c r="L564" s="4">
        <v>558</v>
      </c>
      <c r="M564" s="21">
        <v>163878.69432373074</v>
      </c>
    </row>
    <row r="565" spans="12:13" x14ac:dyDescent="0.2">
      <c r="L565" s="4">
        <v>559</v>
      </c>
      <c r="M565" s="21">
        <v>87625.212791171245</v>
      </c>
    </row>
    <row r="566" spans="12:13" x14ac:dyDescent="0.2">
      <c r="L566" s="4">
        <v>560</v>
      </c>
      <c r="M566" s="21">
        <v>-119032.22197350014</v>
      </c>
    </row>
    <row r="567" spans="12:13" x14ac:dyDescent="0.2">
      <c r="L567" s="4">
        <v>561</v>
      </c>
      <c r="M567" s="21">
        <v>-46903.172333605718</v>
      </c>
    </row>
    <row r="568" spans="12:13" x14ac:dyDescent="0.2">
      <c r="L568" s="4">
        <v>562</v>
      </c>
      <c r="M568" s="21">
        <v>156460.5922960185</v>
      </c>
    </row>
    <row r="569" spans="12:13" x14ac:dyDescent="0.2">
      <c r="L569" s="4">
        <v>563</v>
      </c>
      <c r="M569" s="21">
        <v>-196476.42541696201</v>
      </c>
    </row>
    <row r="570" spans="12:13" x14ac:dyDescent="0.2">
      <c r="L570" s="4">
        <v>564</v>
      </c>
      <c r="M570" s="21">
        <v>-122949.28469493223</v>
      </c>
    </row>
    <row r="571" spans="12:13" x14ac:dyDescent="0.2">
      <c r="L571" s="4">
        <v>565</v>
      </c>
      <c r="M571" s="21">
        <v>-2075.655368953463</v>
      </c>
    </row>
    <row r="572" spans="12:13" x14ac:dyDescent="0.2">
      <c r="L572" s="4">
        <v>566</v>
      </c>
      <c r="M572" s="21">
        <v>-109576.80228814099</v>
      </c>
    </row>
    <row r="573" spans="12:13" x14ac:dyDescent="0.2">
      <c r="L573" s="4">
        <v>567</v>
      </c>
      <c r="M573" s="21">
        <v>-18746.844460495136</v>
      </c>
    </row>
    <row r="574" spans="12:13" x14ac:dyDescent="0.2">
      <c r="L574" s="4">
        <v>568</v>
      </c>
      <c r="M574" s="21">
        <v>191021.09034502754</v>
      </c>
    </row>
    <row r="575" spans="12:13" x14ac:dyDescent="0.2">
      <c r="L575" s="4">
        <v>569</v>
      </c>
      <c r="M575" s="21">
        <v>11316.507878407487</v>
      </c>
    </row>
    <row r="576" spans="12:13" x14ac:dyDescent="0.2">
      <c r="L576" s="4">
        <v>570</v>
      </c>
      <c r="M576" s="21">
        <v>-78050.804190954063</v>
      </c>
    </row>
    <row r="577" spans="12:13" x14ac:dyDescent="0.2">
      <c r="L577" s="4">
        <v>571</v>
      </c>
      <c r="M577" s="21">
        <v>-64143.897622200704</v>
      </c>
    </row>
    <row r="578" spans="12:13" x14ac:dyDescent="0.2">
      <c r="L578" s="4">
        <v>572</v>
      </c>
      <c r="M578" s="21">
        <v>-76764.054114391285</v>
      </c>
    </row>
    <row r="579" spans="12:13" x14ac:dyDescent="0.2">
      <c r="L579" s="4">
        <v>573</v>
      </c>
      <c r="M579" s="21">
        <v>-96578.661046926922</v>
      </c>
    </row>
    <row r="580" spans="12:13" x14ac:dyDescent="0.2">
      <c r="L580" s="4">
        <v>574</v>
      </c>
      <c r="M580" s="21">
        <v>2515.0248279408261</v>
      </c>
    </row>
    <row r="581" spans="12:13" x14ac:dyDescent="0.2">
      <c r="L581" s="4">
        <v>575</v>
      </c>
      <c r="M581" s="21">
        <v>839.36481567742885</v>
      </c>
    </row>
    <row r="582" spans="12:13" x14ac:dyDescent="0.2">
      <c r="L582" s="4">
        <v>576</v>
      </c>
      <c r="M582" s="21">
        <v>-25976.17318673394</v>
      </c>
    </row>
    <row r="583" spans="12:13" x14ac:dyDescent="0.2">
      <c r="L583" s="4">
        <v>577</v>
      </c>
      <c r="M583" s="21">
        <v>-153520.75193523115</v>
      </c>
    </row>
    <row r="584" spans="12:13" x14ac:dyDescent="0.2">
      <c r="L584" s="4">
        <v>578</v>
      </c>
      <c r="M584" s="21">
        <v>142106.30764890491</v>
      </c>
    </row>
    <row r="585" spans="12:13" x14ac:dyDescent="0.2">
      <c r="L585" s="4">
        <v>579</v>
      </c>
      <c r="M585" s="21">
        <v>191611.03803922512</v>
      </c>
    </row>
    <row r="586" spans="12:13" x14ac:dyDescent="0.2">
      <c r="L586" s="4">
        <v>580</v>
      </c>
      <c r="M586" s="21">
        <v>-57830.879373140706</v>
      </c>
    </row>
    <row r="587" spans="12:13" x14ac:dyDescent="0.2">
      <c r="L587" s="4">
        <v>581</v>
      </c>
      <c r="M587" s="21">
        <v>67640.39667331535</v>
      </c>
    </row>
    <row r="588" spans="12:13" x14ac:dyDescent="0.2">
      <c r="L588" s="4">
        <v>582</v>
      </c>
      <c r="M588" s="21">
        <v>-61833.171258100585</v>
      </c>
    </row>
    <row r="589" spans="12:13" x14ac:dyDescent="0.2">
      <c r="L589" s="4">
        <v>583</v>
      </c>
      <c r="M589" s="21">
        <v>-149394.31170492459</v>
      </c>
    </row>
    <row r="590" spans="12:13" x14ac:dyDescent="0.2">
      <c r="L590" s="4">
        <v>584</v>
      </c>
      <c r="M590" s="21">
        <v>-130194.98534324419</v>
      </c>
    </row>
    <row r="591" spans="12:13" x14ac:dyDescent="0.2">
      <c r="L591" s="4">
        <v>585</v>
      </c>
      <c r="M591" s="21">
        <v>-161700.66307171661</v>
      </c>
    </row>
    <row r="592" spans="12:13" x14ac:dyDescent="0.2">
      <c r="L592" s="4">
        <v>586</v>
      </c>
      <c r="M592" s="21">
        <v>-239772.2824327086</v>
      </c>
    </row>
    <row r="593" spans="12:13" x14ac:dyDescent="0.2">
      <c r="L593" s="4">
        <v>587</v>
      </c>
      <c r="M593" s="21">
        <v>80012.933357313974</v>
      </c>
    </row>
    <row r="594" spans="12:13" x14ac:dyDescent="0.2">
      <c r="L594" s="4">
        <v>588</v>
      </c>
      <c r="M594" s="21">
        <v>33355.549681768607</v>
      </c>
    </row>
    <row r="595" spans="12:13" x14ac:dyDescent="0.2">
      <c r="L595" s="4">
        <v>589</v>
      </c>
      <c r="M595" s="21">
        <v>-139062.08460667415</v>
      </c>
    </row>
    <row r="596" spans="12:13" x14ac:dyDescent="0.2">
      <c r="L596" s="4">
        <v>590</v>
      </c>
      <c r="M596" s="21">
        <v>-113041.93079817775</v>
      </c>
    </row>
    <row r="597" spans="12:13" x14ac:dyDescent="0.2">
      <c r="L597" s="4">
        <v>591</v>
      </c>
      <c r="M597" s="21">
        <v>-1551.3555003841902</v>
      </c>
    </row>
    <row r="598" spans="12:13" x14ac:dyDescent="0.2">
      <c r="L598" s="4">
        <v>592</v>
      </c>
      <c r="M598" s="21">
        <v>35387.865429764672</v>
      </c>
    </row>
    <row r="599" spans="12:13" x14ac:dyDescent="0.2">
      <c r="L599" s="4">
        <v>593</v>
      </c>
      <c r="M599" s="21">
        <v>-54498.093278121334</v>
      </c>
    </row>
    <row r="600" spans="12:13" x14ac:dyDescent="0.2">
      <c r="L600" s="4">
        <v>594</v>
      </c>
      <c r="M600" s="21">
        <v>-37288.202329507578</v>
      </c>
    </row>
    <row r="601" spans="12:13" x14ac:dyDescent="0.2">
      <c r="L601" s="4">
        <v>595</v>
      </c>
      <c r="M601" s="21">
        <v>83996.103251493769</v>
      </c>
    </row>
    <row r="602" spans="12:13" x14ac:dyDescent="0.2">
      <c r="L602" s="4">
        <v>596</v>
      </c>
      <c r="M602" s="21">
        <v>197543.8612260333</v>
      </c>
    </row>
    <row r="603" spans="12:13" x14ac:dyDescent="0.2">
      <c r="L603" s="4">
        <v>597</v>
      </c>
      <c r="M603" s="21">
        <v>-228014.87563278875</v>
      </c>
    </row>
    <row r="604" spans="12:13" x14ac:dyDescent="0.2">
      <c r="L604" s="4">
        <v>598</v>
      </c>
      <c r="M604" s="21">
        <v>-118853.27331797928</v>
      </c>
    </row>
    <row r="605" spans="12:13" x14ac:dyDescent="0.2">
      <c r="L605" s="4">
        <v>599</v>
      </c>
      <c r="M605" s="21">
        <v>-281186.73350478854</v>
      </c>
    </row>
    <row r="606" spans="12:13" x14ac:dyDescent="0.2">
      <c r="L606" s="4">
        <v>600</v>
      </c>
      <c r="M606" s="21">
        <v>-127021.98499562964</v>
      </c>
    </row>
    <row r="607" spans="12:13" x14ac:dyDescent="0.2">
      <c r="L607" s="4">
        <v>601</v>
      </c>
      <c r="M607" s="21">
        <v>64630.664274926647</v>
      </c>
    </row>
    <row r="608" spans="12:13" x14ac:dyDescent="0.2">
      <c r="L608" s="4">
        <v>602</v>
      </c>
      <c r="M608" s="21">
        <v>-22868.930992965979</v>
      </c>
    </row>
    <row r="609" spans="12:13" x14ac:dyDescent="0.2">
      <c r="L609" s="4">
        <v>603</v>
      </c>
      <c r="M609" s="21">
        <v>-20342.453725205065</v>
      </c>
    </row>
    <row r="610" spans="12:13" x14ac:dyDescent="0.2">
      <c r="L610" s="4">
        <v>604</v>
      </c>
      <c r="M610" s="21">
        <v>-89046.232811080277</v>
      </c>
    </row>
    <row r="611" spans="12:13" x14ac:dyDescent="0.2">
      <c r="L611" s="4">
        <v>605</v>
      </c>
      <c r="M611" s="21">
        <v>419958.83106919029</v>
      </c>
    </row>
    <row r="612" spans="12:13" x14ac:dyDescent="0.2">
      <c r="L612" s="4">
        <v>606</v>
      </c>
      <c r="M612" s="21">
        <v>-54558.155467502656</v>
      </c>
    </row>
    <row r="613" spans="12:13" x14ac:dyDescent="0.2">
      <c r="L613" s="4">
        <v>607</v>
      </c>
      <c r="M613" s="21">
        <v>74677.687023025705</v>
      </c>
    </row>
    <row r="614" spans="12:13" x14ac:dyDescent="0.2">
      <c r="L614" s="4">
        <v>608</v>
      </c>
      <c r="M614" s="21">
        <v>218745.93459664533</v>
      </c>
    </row>
    <row r="615" spans="12:13" x14ac:dyDescent="0.2">
      <c r="L615" s="4">
        <v>609</v>
      </c>
      <c r="M615" s="21">
        <v>-168257.24554359418</v>
      </c>
    </row>
    <row r="616" spans="12:13" x14ac:dyDescent="0.2">
      <c r="L616" s="4">
        <v>610</v>
      </c>
      <c r="M616" s="21">
        <v>-91779.646435710078</v>
      </c>
    </row>
    <row r="617" spans="12:13" x14ac:dyDescent="0.2">
      <c r="L617" s="4">
        <v>611</v>
      </c>
      <c r="M617" s="21">
        <v>-310390.71441250015</v>
      </c>
    </row>
    <row r="618" spans="12:13" x14ac:dyDescent="0.2">
      <c r="L618" s="4">
        <v>612</v>
      </c>
      <c r="M618" s="21">
        <v>183638.80143999262</v>
      </c>
    </row>
    <row r="619" spans="12:13" x14ac:dyDescent="0.2">
      <c r="L619" s="4">
        <v>613</v>
      </c>
      <c r="M619" s="21">
        <v>-29451.045016301752</v>
      </c>
    </row>
    <row r="620" spans="12:13" x14ac:dyDescent="0.2">
      <c r="L620" s="4">
        <v>614</v>
      </c>
      <c r="M620" s="21">
        <v>181338.86863280449</v>
      </c>
    </row>
    <row r="621" spans="12:13" x14ac:dyDescent="0.2">
      <c r="L621" s="4">
        <v>615</v>
      </c>
      <c r="M621" s="21">
        <v>-127565.262223978</v>
      </c>
    </row>
    <row r="622" spans="12:13" x14ac:dyDescent="0.2">
      <c r="L622" s="4">
        <v>616</v>
      </c>
      <c r="M622" s="21">
        <v>-45291.102315413329</v>
      </c>
    </row>
    <row r="623" spans="12:13" x14ac:dyDescent="0.2">
      <c r="L623" s="4">
        <v>617</v>
      </c>
      <c r="M623" s="21">
        <v>89266.215638871596</v>
      </c>
    </row>
    <row r="624" spans="12:13" x14ac:dyDescent="0.2">
      <c r="L624" s="4">
        <v>618</v>
      </c>
      <c r="M624" s="21">
        <v>-12894.867123466727</v>
      </c>
    </row>
    <row r="625" spans="12:13" x14ac:dyDescent="0.2">
      <c r="L625" s="4">
        <v>619</v>
      </c>
      <c r="M625" s="21">
        <v>71881.290543945332</v>
      </c>
    </row>
    <row r="626" spans="12:13" x14ac:dyDescent="0.2">
      <c r="L626" s="4">
        <v>620</v>
      </c>
      <c r="M626" s="21">
        <v>-4141.4858286875096</v>
      </c>
    </row>
    <row r="627" spans="12:13" x14ac:dyDescent="0.2">
      <c r="L627" s="4">
        <v>621</v>
      </c>
      <c r="M627" s="21">
        <v>72597.586107845069</v>
      </c>
    </row>
    <row r="628" spans="12:13" x14ac:dyDescent="0.2">
      <c r="L628" s="4">
        <v>622</v>
      </c>
      <c r="M628" s="21">
        <v>9055.3651580667356</v>
      </c>
    </row>
    <row r="629" spans="12:13" x14ac:dyDescent="0.2">
      <c r="L629" s="4">
        <v>623</v>
      </c>
      <c r="M629" s="21">
        <v>30953.048850825115</v>
      </c>
    </row>
    <row r="630" spans="12:13" x14ac:dyDescent="0.2">
      <c r="L630" s="4">
        <v>624</v>
      </c>
      <c r="M630" s="21">
        <v>-36344.020503217122</v>
      </c>
    </row>
    <row r="631" spans="12:13" x14ac:dyDescent="0.2">
      <c r="L631" s="4">
        <v>625</v>
      </c>
      <c r="M631" s="21">
        <v>-292944.17621486337</v>
      </c>
    </row>
    <row r="632" spans="12:13" x14ac:dyDescent="0.2">
      <c r="L632" s="4">
        <v>626</v>
      </c>
      <c r="M632" s="21">
        <v>-161280.50858217137</v>
      </c>
    </row>
    <row r="633" spans="12:13" x14ac:dyDescent="0.2">
      <c r="L633" s="4">
        <v>627</v>
      </c>
      <c r="M633" s="21">
        <v>144329.33453178481</v>
      </c>
    </row>
    <row r="634" spans="12:13" x14ac:dyDescent="0.2">
      <c r="L634" s="4">
        <v>628</v>
      </c>
      <c r="M634" s="21">
        <v>-34486.770553586932</v>
      </c>
    </row>
    <row r="635" spans="12:13" x14ac:dyDescent="0.2">
      <c r="L635" s="4">
        <v>629</v>
      </c>
      <c r="M635" s="21">
        <v>-27317.542045977374</v>
      </c>
    </row>
    <row r="636" spans="12:13" x14ac:dyDescent="0.2">
      <c r="L636" s="4">
        <v>630</v>
      </c>
      <c r="M636" s="21">
        <v>-26124.706645759201</v>
      </c>
    </row>
    <row r="637" spans="12:13" x14ac:dyDescent="0.2">
      <c r="L637" s="4">
        <v>631</v>
      </c>
      <c r="M637" s="21">
        <v>160409.9329585098</v>
      </c>
    </row>
    <row r="638" spans="12:13" x14ac:dyDescent="0.2">
      <c r="L638" s="4">
        <v>632</v>
      </c>
      <c r="M638" s="21">
        <v>-15496.640374291499</v>
      </c>
    </row>
    <row r="639" spans="12:13" x14ac:dyDescent="0.2">
      <c r="L639" s="4">
        <v>633</v>
      </c>
      <c r="M639" s="21">
        <v>186098.94161764038</v>
      </c>
    </row>
    <row r="640" spans="12:13" x14ac:dyDescent="0.2">
      <c r="L640" s="4">
        <v>634</v>
      </c>
      <c r="M640" s="21">
        <v>-138567.33133828716</v>
      </c>
    </row>
    <row r="641" spans="12:13" x14ac:dyDescent="0.2">
      <c r="L641" s="4">
        <v>635</v>
      </c>
      <c r="M641" s="21">
        <v>-228296.04177728697</v>
      </c>
    </row>
    <row r="642" spans="12:13" x14ac:dyDescent="0.2">
      <c r="L642" s="4">
        <v>636</v>
      </c>
      <c r="M642" s="21">
        <v>-146710.26994598459</v>
      </c>
    </row>
    <row r="643" spans="12:13" x14ac:dyDescent="0.2">
      <c r="L643" s="4">
        <v>637</v>
      </c>
      <c r="M643" s="21">
        <v>-125059.32797362377</v>
      </c>
    </row>
    <row r="644" spans="12:13" x14ac:dyDescent="0.2">
      <c r="L644" s="4">
        <v>638</v>
      </c>
      <c r="M644" s="21">
        <v>220360.91570826457</v>
      </c>
    </row>
    <row r="645" spans="12:13" x14ac:dyDescent="0.2">
      <c r="L645" s="4">
        <v>639</v>
      </c>
      <c r="M645" s="21">
        <v>-68146.247826734587</v>
      </c>
    </row>
    <row r="646" spans="12:13" x14ac:dyDescent="0.2">
      <c r="L646" s="4">
        <v>640</v>
      </c>
      <c r="M646" s="21">
        <v>186279.10812427188</v>
      </c>
    </row>
    <row r="647" spans="12:13" x14ac:dyDescent="0.2">
      <c r="L647" s="4">
        <v>641</v>
      </c>
      <c r="M647" s="21">
        <v>-257169.77285096981</v>
      </c>
    </row>
    <row r="648" spans="12:13" x14ac:dyDescent="0.2">
      <c r="L648" s="4">
        <v>642</v>
      </c>
      <c r="M648" s="21">
        <v>-287384.78418019746</v>
      </c>
    </row>
    <row r="649" spans="12:13" x14ac:dyDescent="0.2">
      <c r="L649" s="4">
        <v>643</v>
      </c>
      <c r="M649" s="21">
        <v>-113934.02997530246</v>
      </c>
    </row>
    <row r="650" spans="12:13" x14ac:dyDescent="0.2">
      <c r="L650" s="4">
        <v>644</v>
      </c>
      <c r="M650" s="21">
        <v>-81210.936275803469</v>
      </c>
    </row>
    <row r="651" spans="12:13" x14ac:dyDescent="0.2">
      <c r="L651" s="4">
        <v>645</v>
      </c>
      <c r="M651" s="21">
        <v>91037.85096878538</v>
      </c>
    </row>
    <row r="652" spans="12:13" x14ac:dyDescent="0.2">
      <c r="L652" s="4">
        <v>646</v>
      </c>
      <c r="M652" s="21">
        <v>-222624.1134686466</v>
      </c>
    </row>
    <row r="653" spans="12:13" x14ac:dyDescent="0.2">
      <c r="L653" s="4">
        <v>647</v>
      </c>
      <c r="M653" s="21">
        <v>193158.33027227022</v>
      </c>
    </row>
    <row r="654" spans="12:13" x14ac:dyDescent="0.2">
      <c r="L654" s="4">
        <v>648</v>
      </c>
      <c r="M654" s="21">
        <v>71207.176959553879</v>
      </c>
    </row>
    <row r="655" spans="12:13" x14ac:dyDescent="0.2">
      <c r="L655" s="4">
        <v>649</v>
      </c>
      <c r="M655" s="21">
        <v>-84709.098720273149</v>
      </c>
    </row>
    <row r="656" spans="12:13" x14ac:dyDescent="0.2">
      <c r="L656" s="4">
        <v>650</v>
      </c>
      <c r="M656" s="21">
        <v>-103655.51922697516</v>
      </c>
    </row>
    <row r="657" spans="12:13" x14ac:dyDescent="0.2">
      <c r="L657" s="4">
        <v>651</v>
      </c>
      <c r="M657" s="21">
        <v>74987.216617868515</v>
      </c>
    </row>
    <row r="658" spans="12:13" x14ac:dyDescent="0.2">
      <c r="L658" s="4">
        <v>652</v>
      </c>
      <c r="M658" s="21">
        <v>138556.14368282261</v>
      </c>
    </row>
    <row r="659" spans="12:13" x14ac:dyDescent="0.2">
      <c r="L659" s="4">
        <v>653</v>
      </c>
      <c r="M659" s="21">
        <v>198373.88976239326</v>
      </c>
    </row>
    <row r="660" spans="12:13" x14ac:dyDescent="0.2">
      <c r="L660" s="4">
        <v>654</v>
      </c>
      <c r="M660" s="21">
        <v>-104269.34915010109</v>
      </c>
    </row>
    <row r="661" spans="12:13" x14ac:dyDescent="0.2">
      <c r="L661" s="4">
        <v>655</v>
      </c>
      <c r="M661" s="21">
        <v>-88297.996352400121</v>
      </c>
    </row>
    <row r="662" spans="12:13" x14ac:dyDescent="0.2">
      <c r="L662" s="4">
        <v>656</v>
      </c>
      <c r="M662" s="21">
        <v>-25625.776369082188</v>
      </c>
    </row>
    <row r="663" spans="12:13" x14ac:dyDescent="0.2">
      <c r="L663" s="4">
        <v>657</v>
      </c>
      <c r="M663" s="21">
        <v>41304.517552854028</v>
      </c>
    </row>
    <row r="664" spans="12:13" x14ac:dyDescent="0.2">
      <c r="L664" s="4">
        <v>658</v>
      </c>
      <c r="M664" s="21">
        <v>-307927.80515393772</v>
      </c>
    </row>
    <row r="665" spans="12:13" x14ac:dyDescent="0.2">
      <c r="L665" s="4">
        <v>659</v>
      </c>
      <c r="M665" s="21">
        <v>-25904.725958136085</v>
      </c>
    </row>
    <row r="666" spans="12:13" x14ac:dyDescent="0.2">
      <c r="L666" s="4">
        <v>660</v>
      </c>
      <c r="M666" s="21">
        <v>128882.29774147226</v>
      </c>
    </row>
    <row r="667" spans="12:13" x14ac:dyDescent="0.2">
      <c r="L667" s="4">
        <v>661</v>
      </c>
      <c r="M667" s="21">
        <v>-197857.16927384655</v>
      </c>
    </row>
    <row r="668" spans="12:13" x14ac:dyDescent="0.2">
      <c r="L668" s="4">
        <v>662</v>
      </c>
      <c r="M668" s="21">
        <v>130808.98166292693</v>
      </c>
    </row>
    <row r="669" spans="12:13" x14ac:dyDescent="0.2">
      <c r="L669" s="4">
        <v>663</v>
      </c>
      <c r="M669" s="21">
        <v>-92318.784535827624</v>
      </c>
    </row>
    <row r="670" spans="12:13" x14ac:dyDescent="0.2">
      <c r="L670" s="4">
        <v>664</v>
      </c>
      <c r="M670" s="21">
        <v>-58692.974760721554</v>
      </c>
    </row>
    <row r="671" spans="12:13" x14ac:dyDescent="0.2">
      <c r="L671" s="4">
        <v>665</v>
      </c>
      <c r="M671" s="21">
        <v>-142544.2221043389</v>
      </c>
    </row>
    <row r="672" spans="12:13" x14ac:dyDescent="0.2">
      <c r="L672" s="4">
        <v>666</v>
      </c>
      <c r="M672" s="21">
        <v>-5464.1074459724914</v>
      </c>
    </row>
    <row r="673" spans="12:13" x14ac:dyDescent="0.2">
      <c r="L673" s="4">
        <v>667</v>
      </c>
      <c r="M673" s="21">
        <v>-144775.17134242848</v>
      </c>
    </row>
    <row r="674" spans="12:13" x14ac:dyDescent="0.2">
      <c r="L674" s="4">
        <v>668</v>
      </c>
      <c r="M674" s="21">
        <v>-256757.47352035</v>
      </c>
    </row>
    <row r="675" spans="12:13" x14ac:dyDescent="0.2">
      <c r="L675" s="4">
        <v>669</v>
      </c>
      <c r="M675" s="21">
        <v>-82935.612903218105</v>
      </c>
    </row>
    <row r="676" spans="12:13" x14ac:dyDescent="0.2">
      <c r="L676" s="4">
        <v>670</v>
      </c>
      <c r="M676" s="21">
        <v>-3575.4537186412781</v>
      </c>
    </row>
    <row r="677" spans="12:13" x14ac:dyDescent="0.2">
      <c r="L677" s="4">
        <v>671</v>
      </c>
      <c r="M677" s="21">
        <v>-101915.77708072748</v>
      </c>
    </row>
    <row r="678" spans="12:13" x14ac:dyDescent="0.2">
      <c r="L678" s="4">
        <v>672</v>
      </c>
      <c r="M678" s="21">
        <v>-30549.769269723416</v>
      </c>
    </row>
    <row r="679" spans="12:13" x14ac:dyDescent="0.2">
      <c r="L679" s="4">
        <v>673</v>
      </c>
      <c r="M679" s="21">
        <v>-104398.60414564128</v>
      </c>
    </row>
    <row r="680" spans="12:13" x14ac:dyDescent="0.2">
      <c r="L680" s="4">
        <v>674</v>
      </c>
      <c r="M680" s="21">
        <v>-100627.00025109599</v>
      </c>
    </row>
    <row r="681" spans="12:13" x14ac:dyDescent="0.2">
      <c r="L681" s="4">
        <v>675</v>
      </c>
      <c r="M681" s="21">
        <v>-4964.211812388181</v>
      </c>
    </row>
    <row r="682" spans="12:13" x14ac:dyDescent="0.2">
      <c r="L682" s="4">
        <v>676</v>
      </c>
      <c r="M682" s="21">
        <v>224234.15380078679</v>
      </c>
    </row>
    <row r="683" spans="12:13" x14ac:dyDescent="0.2">
      <c r="L683" s="4">
        <v>677</v>
      </c>
      <c r="M683" s="21">
        <v>74428.821009578707</v>
      </c>
    </row>
    <row r="684" spans="12:13" x14ac:dyDescent="0.2">
      <c r="L684" s="4">
        <v>678</v>
      </c>
      <c r="M684" s="21">
        <v>89023.522591773915</v>
      </c>
    </row>
    <row r="685" spans="12:13" x14ac:dyDescent="0.2">
      <c r="L685" s="4">
        <v>679</v>
      </c>
      <c r="M685" s="21">
        <v>14869.328402103623</v>
      </c>
    </row>
    <row r="686" spans="12:13" x14ac:dyDescent="0.2">
      <c r="L686" s="4">
        <v>680</v>
      </c>
      <c r="M686" s="21">
        <v>-164730.09871650819</v>
      </c>
    </row>
    <row r="687" spans="12:13" x14ac:dyDescent="0.2">
      <c r="L687" s="4">
        <v>681</v>
      </c>
      <c r="M687" s="21">
        <v>193521.98841580722</v>
      </c>
    </row>
    <row r="688" spans="12:13" x14ac:dyDescent="0.2">
      <c r="L688" s="4">
        <v>682</v>
      </c>
      <c r="M688" s="21">
        <v>83792.916336728667</v>
      </c>
    </row>
    <row r="689" spans="12:13" x14ac:dyDescent="0.2">
      <c r="L689" s="4">
        <v>683</v>
      </c>
      <c r="M689" s="21">
        <v>34395.589598888182</v>
      </c>
    </row>
    <row r="690" spans="12:13" x14ac:dyDescent="0.2">
      <c r="L690" s="4">
        <v>684</v>
      </c>
      <c r="M690" s="21">
        <v>-154410.53905171322</v>
      </c>
    </row>
    <row r="691" spans="12:13" x14ac:dyDescent="0.2">
      <c r="L691" s="4">
        <v>685</v>
      </c>
      <c r="M691" s="21">
        <v>-243024.72608082049</v>
      </c>
    </row>
    <row r="692" spans="12:13" x14ac:dyDescent="0.2">
      <c r="L692" s="4">
        <v>686</v>
      </c>
      <c r="M692" s="21">
        <v>-8062.9970557711204</v>
      </c>
    </row>
    <row r="693" spans="12:13" x14ac:dyDescent="0.2">
      <c r="L693" s="4">
        <v>687</v>
      </c>
      <c r="M693" s="21">
        <v>-161236.65206327941</v>
      </c>
    </row>
    <row r="694" spans="12:13" x14ac:dyDescent="0.2">
      <c r="L694" s="4">
        <v>688</v>
      </c>
      <c r="M694" s="21">
        <v>33809.421404634893</v>
      </c>
    </row>
    <row r="695" spans="12:13" x14ac:dyDescent="0.2">
      <c r="L695" s="4">
        <v>689</v>
      </c>
      <c r="M695" s="21">
        <v>65685.019141674333</v>
      </c>
    </row>
    <row r="696" spans="12:13" x14ac:dyDescent="0.2">
      <c r="L696" s="4">
        <v>690</v>
      </c>
      <c r="M696" s="21">
        <v>18683.610213700536</v>
      </c>
    </row>
    <row r="697" spans="12:13" x14ac:dyDescent="0.2">
      <c r="L697" s="4">
        <v>691</v>
      </c>
      <c r="M697" s="21">
        <v>-64235.974018201203</v>
      </c>
    </row>
    <row r="698" spans="12:13" x14ac:dyDescent="0.2">
      <c r="L698" s="4">
        <v>692</v>
      </c>
      <c r="M698" s="21">
        <v>3009.5599603283626</v>
      </c>
    </row>
    <row r="699" spans="12:13" x14ac:dyDescent="0.2">
      <c r="L699" s="4">
        <v>693</v>
      </c>
      <c r="M699" s="21">
        <v>-16304.017305066096</v>
      </c>
    </row>
    <row r="700" spans="12:13" x14ac:dyDescent="0.2">
      <c r="L700" s="4">
        <v>694</v>
      </c>
      <c r="M700" s="21">
        <v>-50342.281507574691</v>
      </c>
    </row>
    <row r="701" spans="12:13" x14ac:dyDescent="0.2">
      <c r="L701" s="4">
        <v>695</v>
      </c>
      <c r="M701" s="21">
        <v>-46923.844050688946</v>
      </c>
    </row>
    <row r="702" spans="12:13" x14ac:dyDescent="0.2">
      <c r="L702" s="4">
        <v>696</v>
      </c>
      <c r="M702" s="21">
        <v>-12423.691007262591</v>
      </c>
    </row>
    <row r="703" spans="12:13" x14ac:dyDescent="0.2">
      <c r="L703" s="4">
        <v>697</v>
      </c>
      <c r="M703" s="21">
        <v>-188499.58527616912</v>
      </c>
    </row>
    <row r="704" spans="12:13" x14ac:dyDescent="0.2">
      <c r="L704" s="4">
        <v>698</v>
      </c>
      <c r="M704" s="21">
        <v>140590.32738038772</v>
      </c>
    </row>
    <row r="705" spans="12:13" x14ac:dyDescent="0.2">
      <c r="L705" s="4">
        <v>699</v>
      </c>
      <c r="M705" s="21">
        <v>-111770.38800762681</v>
      </c>
    </row>
    <row r="706" spans="12:13" x14ac:dyDescent="0.2">
      <c r="L706" s="4">
        <v>700</v>
      </c>
      <c r="M706" s="21">
        <v>-138237.0730703689</v>
      </c>
    </row>
    <row r="707" spans="12:13" x14ac:dyDescent="0.2">
      <c r="L707" s="4">
        <v>701</v>
      </c>
      <c r="M707" s="21">
        <v>242443.04213619401</v>
      </c>
    </row>
    <row r="708" spans="12:13" x14ac:dyDescent="0.2">
      <c r="L708" s="4">
        <v>702</v>
      </c>
      <c r="M708" s="21">
        <v>241199.61121828679</v>
      </c>
    </row>
    <row r="709" spans="12:13" x14ac:dyDescent="0.2">
      <c r="L709" s="4">
        <v>703</v>
      </c>
      <c r="M709" s="21">
        <v>155672.71333254123</v>
      </c>
    </row>
    <row r="710" spans="12:13" x14ac:dyDescent="0.2">
      <c r="L710" s="4">
        <v>704</v>
      </c>
      <c r="M710" s="21">
        <v>-50858.661677319571</v>
      </c>
    </row>
    <row r="711" spans="12:13" x14ac:dyDescent="0.2">
      <c r="L711" s="4">
        <v>705</v>
      </c>
      <c r="M711" s="21">
        <v>69468.157857327053</v>
      </c>
    </row>
    <row r="712" spans="12:13" x14ac:dyDescent="0.2">
      <c r="L712" s="4">
        <v>706</v>
      </c>
      <c r="M712" s="21">
        <v>7921.8268160338048</v>
      </c>
    </row>
    <row r="713" spans="12:13" x14ac:dyDescent="0.2">
      <c r="L713" s="4">
        <v>707</v>
      </c>
      <c r="M713" s="21">
        <v>4315.3998871845833</v>
      </c>
    </row>
    <row r="714" spans="12:13" x14ac:dyDescent="0.2">
      <c r="L714" s="4">
        <v>708</v>
      </c>
      <c r="M714" s="21">
        <v>-13771.807637201375</v>
      </c>
    </row>
    <row r="715" spans="12:13" x14ac:dyDescent="0.2">
      <c r="L715" s="4">
        <v>709</v>
      </c>
      <c r="M715" s="21">
        <v>292965.15941242827</v>
      </c>
    </row>
    <row r="716" spans="12:13" x14ac:dyDescent="0.2">
      <c r="L716" s="4">
        <v>710</v>
      </c>
      <c r="M716" s="21">
        <v>-65258.766441191954</v>
      </c>
    </row>
    <row r="717" spans="12:13" x14ac:dyDescent="0.2">
      <c r="L717" s="4">
        <v>711</v>
      </c>
      <c r="M717" s="21">
        <v>-28438.071969726952</v>
      </c>
    </row>
    <row r="718" spans="12:13" x14ac:dyDescent="0.2">
      <c r="L718" s="4">
        <v>712</v>
      </c>
      <c r="M718" s="21">
        <v>-149163.82313240727</v>
      </c>
    </row>
    <row r="719" spans="12:13" x14ac:dyDescent="0.2">
      <c r="L719" s="4">
        <v>713</v>
      </c>
      <c r="M719" s="21">
        <v>37688.026723873336</v>
      </c>
    </row>
    <row r="720" spans="12:13" x14ac:dyDescent="0.2">
      <c r="L720" s="4">
        <v>714</v>
      </c>
      <c r="M720" s="21">
        <v>-441666.6564471653</v>
      </c>
    </row>
    <row r="721" spans="12:13" x14ac:dyDescent="0.2">
      <c r="L721" s="4">
        <v>715</v>
      </c>
      <c r="M721" s="21">
        <v>-87141.59606412334</v>
      </c>
    </row>
    <row r="722" spans="12:13" x14ac:dyDescent="0.2">
      <c r="L722" s="4">
        <v>716</v>
      </c>
      <c r="M722" s="21">
        <v>137003.88763672698</v>
      </c>
    </row>
    <row r="723" spans="12:13" x14ac:dyDescent="0.2">
      <c r="L723" s="4">
        <v>717</v>
      </c>
      <c r="M723" s="21">
        <v>-71854.414000582925</v>
      </c>
    </row>
    <row r="724" spans="12:13" x14ac:dyDescent="0.2">
      <c r="L724" s="4">
        <v>718</v>
      </c>
      <c r="M724" s="21">
        <v>-97337.820885957364</v>
      </c>
    </row>
    <row r="725" spans="12:13" x14ac:dyDescent="0.2">
      <c r="L725" s="4">
        <v>719</v>
      </c>
      <c r="M725" s="21">
        <v>221262.03083680168</v>
      </c>
    </row>
    <row r="726" spans="12:13" x14ac:dyDescent="0.2">
      <c r="L726" s="4">
        <v>720</v>
      </c>
      <c r="M726" s="21">
        <v>132313.02619340952</v>
      </c>
    </row>
    <row r="727" spans="12:13" x14ac:dyDescent="0.2">
      <c r="L727" s="4">
        <v>721</v>
      </c>
      <c r="M727" s="21">
        <v>-26838.976416020814</v>
      </c>
    </row>
    <row r="728" spans="12:13" x14ac:dyDescent="0.2">
      <c r="L728" s="4">
        <v>722</v>
      </c>
      <c r="M728" s="21">
        <v>136421.05315111944</v>
      </c>
    </row>
    <row r="729" spans="12:13" x14ac:dyDescent="0.2">
      <c r="L729" s="4">
        <v>723</v>
      </c>
      <c r="M729" s="21">
        <v>-8351.573617428643</v>
      </c>
    </row>
    <row r="730" spans="12:13" x14ac:dyDescent="0.2">
      <c r="L730" s="4">
        <v>724</v>
      </c>
      <c r="M730" s="21">
        <v>123345.20966657464</v>
      </c>
    </row>
    <row r="731" spans="12:13" x14ac:dyDescent="0.2">
      <c r="L731" s="4">
        <v>725</v>
      </c>
      <c r="M731" s="21">
        <v>61502.376959120971</v>
      </c>
    </row>
    <row r="732" spans="12:13" x14ac:dyDescent="0.2">
      <c r="L732" s="4">
        <v>726</v>
      </c>
      <c r="M732" s="21">
        <v>63258.688341746427</v>
      </c>
    </row>
    <row r="733" spans="12:13" x14ac:dyDescent="0.2">
      <c r="L733" s="4">
        <v>727</v>
      </c>
      <c r="M733" s="21">
        <v>45625.456405229314</v>
      </c>
    </row>
    <row r="734" spans="12:13" x14ac:dyDescent="0.2">
      <c r="L734" s="4">
        <v>728</v>
      </c>
      <c r="M734" s="21">
        <v>51421.378440691595</v>
      </c>
    </row>
    <row r="735" spans="12:13" x14ac:dyDescent="0.2">
      <c r="L735" s="4">
        <v>729</v>
      </c>
      <c r="M735" s="21">
        <v>61084.592068885249</v>
      </c>
    </row>
    <row r="736" spans="12:13" x14ac:dyDescent="0.2">
      <c r="L736" s="4">
        <v>730</v>
      </c>
      <c r="M736" s="21">
        <v>-43540.83105255205</v>
      </c>
    </row>
    <row r="737" spans="12:13" x14ac:dyDescent="0.2">
      <c r="L737" s="4">
        <v>731</v>
      </c>
      <c r="M737" s="21">
        <v>-163685.35384655587</v>
      </c>
    </row>
    <row r="738" spans="12:13" x14ac:dyDescent="0.2">
      <c r="L738" s="4">
        <v>732</v>
      </c>
      <c r="M738" s="21">
        <v>5337.2821283203666</v>
      </c>
    </row>
    <row r="739" spans="12:13" x14ac:dyDescent="0.2">
      <c r="L739" s="4">
        <v>733</v>
      </c>
      <c r="M739" s="21">
        <v>-233753.53760592104</v>
      </c>
    </row>
    <row r="740" spans="12:13" x14ac:dyDescent="0.2">
      <c r="L740" s="4">
        <v>734</v>
      </c>
      <c r="M740" s="21">
        <v>-176336.88076966238</v>
      </c>
    </row>
    <row r="741" spans="12:13" x14ac:dyDescent="0.2">
      <c r="L741" s="4">
        <v>735</v>
      </c>
      <c r="M741" s="21">
        <v>132866.42794081793</v>
      </c>
    </row>
    <row r="742" spans="12:13" x14ac:dyDescent="0.2">
      <c r="L742" s="4">
        <v>736</v>
      </c>
      <c r="M742" s="21">
        <v>166385.53896999607</v>
      </c>
    </row>
    <row r="743" spans="12:13" x14ac:dyDescent="0.2">
      <c r="L743" s="4">
        <v>737</v>
      </c>
      <c r="M743" s="21">
        <v>106132.13000150185</v>
      </c>
    </row>
    <row r="744" spans="12:13" x14ac:dyDescent="0.2">
      <c r="L744" s="4">
        <v>738</v>
      </c>
      <c r="M744" s="21">
        <v>146524.97473288071</v>
      </c>
    </row>
    <row r="745" spans="12:13" x14ac:dyDescent="0.2">
      <c r="L745" s="4">
        <v>739</v>
      </c>
      <c r="M745" s="21">
        <v>244836.0695520103</v>
      </c>
    </row>
    <row r="746" spans="12:13" x14ac:dyDescent="0.2">
      <c r="L746" s="4">
        <v>740</v>
      </c>
      <c r="M746" s="21">
        <v>105129.20080521668</v>
      </c>
    </row>
    <row r="747" spans="12:13" x14ac:dyDescent="0.2">
      <c r="L747" s="4">
        <v>741</v>
      </c>
      <c r="M747" s="21">
        <v>-144000.8078082609</v>
      </c>
    </row>
    <row r="748" spans="12:13" x14ac:dyDescent="0.2">
      <c r="L748" s="4">
        <v>742</v>
      </c>
      <c r="M748" s="21">
        <v>-38777.584592479529</v>
      </c>
    </row>
    <row r="749" spans="12:13" x14ac:dyDescent="0.2">
      <c r="L749" s="4">
        <v>743</v>
      </c>
      <c r="M749" s="21">
        <v>42078.72883669546</v>
      </c>
    </row>
    <row r="750" spans="12:13" x14ac:dyDescent="0.2">
      <c r="L750" s="4">
        <v>744</v>
      </c>
      <c r="M750" s="21">
        <v>6881.1057199497009</v>
      </c>
    </row>
    <row r="751" spans="12:13" x14ac:dyDescent="0.2">
      <c r="L751" s="4">
        <v>745</v>
      </c>
      <c r="M751" s="21">
        <v>-120481.62988539504</v>
      </c>
    </row>
    <row r="752" spans="12:13" x14ac:dyDescent="0.2">
      <c r="L752" s="4">
        <v>746</v>
      </c>
      <c r="M752" s="21">
        <v>185872.02856246562</v>
      </c>
    </row>
    <row r="753" spans="12:13" x14ac:dyDescent="0.2">
      <c r="L753" s="4">
        <v>747</v>
      </c>
      <c r="M753" s="21">
        <v>-48290.364082635977</v>
      </c>
    </row>
    <row r="754" spans="12:13" x14ac:dyDescent="0.2">
      <c r="L754" s="4">
        <v>748</v>
      </c>
      <c r="M754" s="21">
        <v>-52003.683870731489</v>
      </c>
    </row>
    <row r="755" spans="12:13" x14ac:dyDescent="0.2">
      <c r="L755" s="4">
        <v>749</v>
      </c>
      <c r="M755" s="21">
        <v>6541.2262279489369</v>
      </c>
    </row>
    <row r="756" spans="12:13" x14ac:dyDescent="0.2">
      <c r="L756" s="4">
        <v>750</v>
      </c>
      <c r="M756" s="21">
        <v>33631.299650568282</v>
      </c>
    </row>
    <row r="757" spans="12:13" x14ac:dyDescent="0.2">
      <c r="L757" s="4">
        <v>751</v>
      </c>
      <c r="M757" s="21">
        <v>247527.49928967364</v>
      </c>
    </row>
    <row r="758" spans="12:13" x14ac:dyDescent="0.2">
      <c r="L758" s="4">
        <v>752</v>
      </c>
      <c r="M758" s="21">
        <v>13224.116707918351</v>
      </c>
    </row>
    <row r="759" spans="12:13" x14ac:dyDescent="0.2">
      <c r="L759" s="4">
        <v>753</v>
      </c>
      <c r="M759" s="21">
        <v>119221.66623634391</v>
      </c>
    </row>
    <row r="760" spans="12:13" x14ac:dyDescent="0.2">
      <c r="L760" s="4">
        <v>754</v>
      </c>
      <c r="M760" s="21">
        <v>355426.75852936599</v>
      </c>
    </row>
    <row r="761" spans="12:13" x14ac:dyDescent="0.2">
      <c r="L761" s="4">
        <v>755</v>
      </c>
      <c r="M761" s="21">
        <v>-996.33796090421674</v>
      </c>
    </row>
    <row r="762" spans="12:13" x14ac:dyDescent="0.2">
      <c r="L762" s="4">
        <v>756</v>
      </c>
      <c r="M762" s="21">
        <v>-21614.712646582004</v>
      </c>
    </row>
    <row r="763" spans="12:13" x14ac:dyDescent="0.2">
      <c r="L763" s="4">
        <v>757</v>
      </c>
      <c r="M763" s="21">
        <v>68095.324120905687</v>
      </c>
    </row>
    <row r="764" spans="12:13" x14ac:dyDescent="0.2">
      <c r="L764" s="4">
        <v>758</v>
      </c>
      <c r="M764" s="21">
        <v>365007.89726588404</v>
      </c>
    </row>
    <row r="765" spans="12:13" x14ac:dyDescent="0.2">
      <c r="L765" s="4">
        <v>759</v>
      </c>
      <c r="M765" s="21">
        <v>114596.9367625514</v>
      </c>
    </row>
    <row r="766" spans="12:13" x14ac:dyDescent="0.2">
      <c r="L766" s="4">
        <v>760</v>
      </c>
      <c r="M766" s="21">
        <v>217024.37028900065</v>
      </c>
    </row>
    <row r="767" spans="12:13" x14ac:dyDescent="0.2">
      <c r="L767" s="4">
        <v>761</v>
      </c>
      <c r="M767" s="21">
        <v>-144023.184934216</v>
      </c>
    </row>
    <row r="768" spans="12:13" x14ac:dyDescent="0.2">
      <c r="L768" s="4">
        <v>762</v>
      </c>
      <c r="M768" s="21">
        <v>79640.51735756456</v>
      </c>
    </row>
    <row r="769" spans="12:13" x14ac:dyDescent="0.2">
      <c r="L769" s="4">
        <v>763</v>
      </c>
      <c r="M769" s="21">
        <v>-98206.394074529657</v>
      </c>
    </row>
    <row r="770" spans="12:13" x14ac:dyDescent="0.2">
      <c r="L770" s="4">
        <v>764</v>
      </c>
      <c r="M770" s="21">
        <v>-4898.7712673492497</v>
      </c>
    </row>
    <row r="771" spans="12:13" x14ac:dyDescent="0.2">
      <c r="L771" s="4">
        <v>765</v>
      </c>
      <c r="M771" s="21">
        <v>-107110.67886668749</v>
      </c>
    </row>
    <row r="772" spans="12:13" x14ac:dyDescent="0.2">
      <c r="L772" s="4">
        <v>766</v>
      </c>
      <c r="M772" s="21">
        <v>506.40371138468618</v>
      </c>
    </row>
    <row r="773" spans="12:13" x14ac:dyDescent="0.2">
      <c r="L773" s="4">
        <v>767</v>
      </c>
      <c r="M773" s="21">
        <v>93907.530801037588</v>
      </c>
    </row>
    <row r="774" spans="12:13" x14ac:dyDescent="0.2">
      <c r="L774" s="4">
        <v>768</v>
      </c>
      <c r="M774" s="21">
        <v>-123479.45401566145</v>
      </c>
    </row>
    <row r="775" spans="12:13" x14ac:dyDescent="0.2">
      <c r="L775" s="4">
        <v>769</v>
      </c>
      <c r="M775" s="21">
        <v>186969.98559776467</v>
      </c>
    </row>
    <row r="776" spans="12:13" x14ac:dyDescent="0.2">
      <c r="L776" s="4">
        <v>770</v>
      </c>
      <c r="M776" s="21">
        <v>-47922.43133446014</v>
      </c>
    </row>
    <row r="777" spans="12:13" x14ac:dyDescent="0.2">
      <c r="L777" s="4">
        <v>771</v>
      </c>
      <c r="M777" s="21">
        <v>-71288.754016136867</v>
      </c>
    </row>
    <row r="778" spans="12:13" x14ac:dyDescent="0.2">
      <c r="L778" s="4">
        <v>772</v>
      </c>
      <c r="M778" s="21">
        <v>-203013.76565055863</v>
      </c>
    </row>
    <row r="779" spans="12:13" x14ac:dyDescent="0.2">
      <c r="L779" s="4">
        <v>773</v>
      </c>
      <c r="M779" s="21">
        <v>-315520.67069254827</v>
      </c>
    </row>
    <row r="780" spans="12:13" x14ac:dyDescent="0.2">
      <c r="L780" s="4">
        <v>774</v>
      </c>
      <c r="M780" s="21">
        <v>173122.95831965795</v>
      </c>
    </row>
    <row r="781" spans="12:13" x14ac:dyDescent="0.2">
      <c r="L781" s="4">
        <v>775</v>
      </c>
      <c r="M781" s="21">
        <v>202081.5999042659</v>
      </c>
    </row>
    <row r="782" spans="12:13" x14ac:dyDescent="0.2">
      <c r="L782" s="4">
        <v>776</v>
      </c>
      <c r="M782" s="21">
        <v>-221620.36839933618</v>
      </c>
    </row>
    <row r="783" spans="12:13" x14ac:dyDescent="0.2">
      <c r="L783" s="4">
        <v>777</v>
      </c>
      <c r="M783" s="21">
        <v>-78528.693554725527</v>
      </c>
    </row>
    <row r="784" spans="12:13" x14ac:dyDescent="0.2">
      <c r="L784" s="4">
        <v>778</v>
      </c>
      <c r="M784" s="21">
        <v>59268.523553090257</v>
      </c>
    </row>
    <row r="785" spans="12:13" x14ac:dyDescent="0.2">
      <c r="L785" s="4">
        <v>779</v>
      </c>
      <c r="M785" s="21">
        <v>49494.772966938268</v>
      </c>
    </row>
    <row r="786" spans="12:13" x14ac:dyDescent="0.2">
      <c r="L786" s="4">
        <v>780</v>
      </c>
      <c r="M786" s="21">
        <v>177870.79226212046</v>
      </c>
    </row>
    <row r="787" spans="12:13" x14ac:dyDescent="0.2">
      <c r="L787" s="4">
        <v>781</v>
      </c>
      <c r="M787" s="21">
        <v>325865.32022063748</v>
      </c>
    </row>
    <row r="788" spans="12:13" x14ac:dyDescent="0.2">
      <c r="L788" s="4">
        <v>782</v>
      </c>
      <c r="M788" s="21">
        <v>-166053.5723696549</v>
      </c>
    </row>
    <row r="789" spans="12:13" x14ac:dyDescent="0.2">
      <c r="L789" s="4">
        <v>783</v>
      </c>
      <c r="M789" s="21">
        <v>-158282.76105836057</v>
      </c>
    </row>
    <row r="790" spans="12:13" x14ac:dyDescent="0.2">
      <c r="L790" s="4">
        <v>784</v>
      </c>
      <c r="M790" s="21">
        <v>-13602.398070057927</v>
      </c>
    </row>
    <row r="791" spans="12:13" x14ac:dyDescent="0.2">
      <c r="L791" s="4">
        <v>785</v>
      </c>
      <c r="M791" s="21">
        <v>-35653.3754081277</v>
      </c>
    </row>
    <row r="792" spans="12:13" x14ac:dyDescent="0.2">
      <c r="L792" s="4">
        <v>786</v>
      </c>
      <c r="M792" s="21">
        <v>270265.46067810024</v>
      </c>
    </row>
    <row r="793" spans="12:13" x14ac:dyDescent="0.2">
      <c r="L793" s="4">
        <v>787</v>
      </c>
      <c r="M793" s="21">
        <v>-164930.57312760392</v>
      </c>
    </row>
    <row r="794" spans="12:13" x14ac:dyDescent="0.2">
      <c r="L794" s="4">
        <v>788</v>
      </c>
      <c r="M794" s="21">
        <v>-165691.55076671357</v>
      </c>
    </row>
    <row r="795" spans="12:13" x14ac:dyDescent="0.2">
      <c r="L795" s="4">
        <v>789</v>
      </c>
      <c r="M795" s="21">
        <v>-26788.440914979175</v>
      </c>
    </row>
    <row r="796" spans="12:13" x14ac:dyDescent="0.2">
      <c r="L796" s="4">
        <v>790</v>
      </c>
      <c r="M796" s="21">
        <v>55100.958821450127</v>
      </c>
    </row>
    <row r="797" spans="12:13" x14ac:dyDescent="0.2">
      <c r="L797" s="4">
        <v>791</v>
      </c>
      <c r="M797" s="21">
        <v>-123622.59426900969</v>
      </c>
    </row>
    <row r="798" spans="12:13" x14ac:dyDescent="0.2">
      <c r="L798" s="4">
        <v>792</v>
      </c>
      <c r="M798" s="21">
        <v>-25570.803491130311</v>
      </c>
    </row>
    <row r="799" spans="12:13" x14ac:dyDescent="0.2">
      <c r="L799" s="4">
        <v>793</v>
      </c>
      <c r="M799" s="21">
        <v>-151320.53036640765</v>
      </c>
    </row>
    <row r="800" spans="12:13" x14ac:dyDescent="0.2">
      <c r="L800" s="4">
        <v>794</v>
      </c>
      <c r="M800" s="21">
        <v>-158546.04257560638</v>
      </c>
    </row>
    <row r="801" spans="12:13" x14ac:dyDescent="0.2">
      <c r="L801" s="4">
        <v>795</v>
      </c>
      <c r="M801" s="21">
        <v>94233.863843846862</v>
      </c>
    </row>
    <row r="802" spans="12:13" x14ac:dyDescent="0.2">
      <c r="L802" s="4">
        <v>796</v>
      </c>
      <c r="M802" s="21">
        <v>54213.996783208335</v>
      </c>
    </row>
    <row r="803" spans="12:13" x14ac:dyDescent="0.2">
      <c r="L803" s="4">
        <v>797</v>
      </c>
      <c r="M803" s="21">
        <v>110584.12039468039</v>
      </c>
    </row>
    <row r="804" spans="12:13" x14ac:dyDescent="0.2">
      <c r="L804" s="4">
        <v>798</v>
      </c>
      <c r="M804" s="21">
        <v>47571.201556466112</v>
      </c>
    </row>
    <row r="805" spans="12:13" x14ac:dyDescent="0.2">
      <c r="L805" s="4">
        <v>799</v>
      </c>
      <c r="M805" s="21">
        <v>214867.71676289223</v>
      </c>
    </row>
    <row r="806" spans="12:13" x14ac:dyDescent="0.2">
      <c r="L806" s="4">
        <v>800</v>
      </c>
      <c r="M806" s="21">
        <v>-166798.87230251767</v>
      </c>
    </row>
    <row r="807" spans="12:13" x14ac:dyDescent="0.2">
      <c r="L807" s="4">
        <v>801</v>
      </c>
      <c r="M807" s="21">
        <v>-313294.56823465816</v>
      </c>
    </row>
    <row r="808" spans="12:13" x14ac:dyDescent="0.2">
      <c r="L808" s="4">
        <v>802</v>
      </c>
      <c r="M808" s="21">
        <v>-57077.665777313348</v>
      </c>
    </row>
    <row r="809" spans="12:13" x14ac:dyDescent="0.2">
      <c r="L809" s="4">
        <v>803</v>
      </c>
      <c r="M809" s="21">
        <v>215896.76786605769</v>
      </c>
    </row>
    <row r="810" spans="12:13" x14ac:dyDescent="0.2">
      <c r="L810" s="4">
        <v>804</v>
      </c>
      <c r="M810" s="21">
        <v>253410.28490881019</v>
      </c>
    </row>
    <row r="811" spans="12:13" x14ac:dyDescent="0.2">
      <c r="L811" s="4">
        <v>805</v>
      </c>
      <c r="M811" s="21">
        <v>-146382.13811326513</v>
      </c>
    </row>
    <row r="812" spans="12:13" x14ac:dyDescent="0.2">
      <c r="L812" s="4">
        <v>806</v>
      </c>
      <c r="M812" s="21">
        <v>133974.74107232236</v>
      </c>
    </row>
    <row r="813" spans="12:13" x14ac:dyDescent="0.2">
      <c r="L813" s="4">
        <v>807</v>
      </c>
      <c r="M813" s="21">
        <v>-196688.74487791595</v>
      </c>
    </row>
    <row r="814" spans="12:13" x14ac:dyDescent="0.2">
      <c r="L814" s="4">
        <v>808</v>
      </c>
      <c r="M814" s="21">
        <v>-155245.33193867325</v>
      </c>
    </row>
    <row r="815" spans="12:13" x14ac:dyDescent="0.2">
      <c r="L815" s="4">
        <v>809</v>
      </c>
      <c r="M815" s="21">
        <v>163795.00840616736</v>
      </c>
    </row>
    <row r="816" spans="12:13" x14ac:dyDescent="0.2">
      <c r="L816" s="4">
        <v>810</v>
      </c>
      <c r="M816" s="21">
        <v>-165031.35908555228</v>
      </c>
    </row>
    <row r="817" spans="12:13" x14ac:dyDescent="0.2">
      <c r="L817" s="4">
        <v>811</v>
      </c>
      <c r="M817" s="21">
        <v>-118684.69586771085</v>
      </c>
    </row>
    <row r="818" spans="12:13" x14ac:dyDescent="0.2">
      <c r="L818" s="4">
        <v>812</v>
      </c>
      <c r="M818" s="21">
        <v>-44258.177860402167</v>
      </c>
    </row>
    <row r="819" spans="12:13" x14ac:dyDescent="0.2">
      <c r="L819" s="4">
        <v>813</v>
      </c>
      <c r="M819" s="21">
        <v>223801.96078307423</v>
      </c>
    </row>
    <row r="820" spans="12:13" x14ac:dyDescent="0.2">
      <c r="L820" s="4">
        <v>814</v>
      </c>
      <c r="M820" s="21">
        <v>-149068.67855528032</v>
      </c>
    </row>
    <row r="821" spans="12:13" x14ac:dyDescent="0.2">
      <c r="L821" s="4">
        <v>815</v>
      </c>
      <c r="M821" s="21">
        <v>115626.30453113778</v>
      </c>
    </row>
    <row r="822" spans="12:13" x14ac:dyDescent="0.2">
      <c r="L822" s="4">
        <v>816</v>
      </c>
      <c r="M822" s="21">
        <v>-22548.642053017611</v>
      </c>
    </row>
    <row r="823" spans="12:13" x14ac:dyDescent="0.2">
      <c r="L823" s="4">
        <v>817</v>
      </c>
      <c r="M823" s="21">
        <v>31791.797998725669</v>
      </c>
    </row>
    <row r="824" spans="12:13" x14ac:dyDescent="0.2">
      <c r="L824" s="4">
        <v>818</v>
      </c>
      <c r="M824" s="21">
        <v>62454.622710746451</v>
      </c>
    </row>
    <row r="825" spans="12:13" x14ac:dyDescent="0.2">
      <c r="L825" s="4">
        <v>819</v>
      </c>
      <c r="M825" s="21">
        <v>-67504.462673291389</v>
      </c>
    </row>
    <row r="826" spans="12:13" x14ac:dyDescent="0.2">
      <c r="L826" s="4">
        <v>820</v>
      </c>
      <c r="M826" s="21">
        <v>-231639.6085895056</v>
      </c>
    </row>
    <row r="827" spans="12:13" x14ac:dyDescent="0.2">
      <c r="L827" s="4">
        <v>821</v>
      </c>
      <c r="M827" s="21">
        <v>-91760.310963188997</v>
      </c>
    </row>
    <row r="828" spans="12:13" x14ac:dyDescent="0.2">
      <c r="L828" s="4">
        <v>822</v>
      </c>
      <c r="M828" s="21">
        <v>151680.4629162238</v>
      </c>
    </row>
    <row r="829" spans="12:13" x14ac:dyDescent="0.2">
      <c r="L829" s="4">
        <v>823</v>
      </c>
      <c r="M829" s="21">
        <v>-231891.06130041758</v>
      </c>
    </row>
    <row r="830" spans="12:13" x14ac:dyDescent="0.2">
      <c r="L830" s="4">
        <v>824</v>
      </c>
      <c r="M830" s="21">
        <v>-107543.24386314642</v>
      </c>
    </row>
    <row r="831" spans="12:13" x14ac:dyDescent="0.2">
      <c r="L831" s="4">
        <v>825</v>
      </c>
      <c r="M831" s="21">
        <v>-214341.50275681977</v>
      </c>
    </row>
    <row r="832" spans="12:13" x14ac:dyDescent="0.2">
      <c r="L832" s="4">
        <v>826</v>
      </c>
      <c r="M832" s="21">
        <v>217091.88286911111</v>
      </c>
    </row>
    <row r="833" spans="12:13" x14ac:dyDescent="0.2">
      <c r="L833" s="4">
        <v>827</v>
      </c>
      <c r="M833" s="21">
        <v>-121227.49593036078</v>
      </c>
    </row>
    <row r="834" spans="12:13" x14ac:dyDescent="0.2">
      <c r="L834" s="4">
        <v>828</v>
      </c>
      <c r="M834" s="21">
        <v>127058.83680978062</v>
      </c>
    </row>
    <row r="835" spans="12:13" x14ac:dyDescent="0.2">
      <c r="L835" s="4">
        <v>829</v>
      </c>
      <c r="M835" s="21">
        <v>-267119.3334833174</v>
      </c>
    </row>
    <row r="836" spans="12:13" x14ac:dyDescent="0.2">
      <c r="L836" s="4">
        <v>830</v>
      </c>
      <c r="M836" s="21">
        <v>140318.98736228523</v>
      </c>
    </row>
    <row r="837" spans="12:13" x14ac:dyDescent="0.2">
      <c r="L837" s="4">
        <v>831</v>
      </c>
      <c r="M837" s="21">
        <v>-36548.225953324014</v>
      </c>
    </row>
    <row r="838" spans="12:13" x14ac:dyDescent="0.2">
      <c r="L838" s="4">
        <v>832</v>
      </c>
      <c r="M838" s="21">
        <v>-166820.05399182523</v>
      </c>
    </row>
    <row r="839" spans="12:13" x14ac:dyDescent="0.2">
      <c r="L839" s="4">
        <v>833</v>
      </c>
      <c r="M839" s="21">
        <v>42292.399859116093</v>
      </c>
    </row>
    <row r="840" spans="12:13" x14ac:dyDescent="0.2">
      <c r="L840" s="4">
        <v>834</v>
      </c>
      <c r="M840" s="21">
        <v>-99985.233851673125</v>
      </c>
    </row>
    <row r="841" spans="12:13" x14ac:dyDescent="0.2">
      <c r="L841" s="4">
        <v>835</v>
      </c>
      <c r="M841" s="21">
        <v>92126.946108670614</v>
      </c>
    </row>
    <row r="842" spans="12:13" x14ac:dyDescent="0.2">
      <c r="L842" s="4">
        <v>836</v>
      </c>
      <c r="M842" s="21">
        <v>-212771.03573957097</v>
      </c>
    </row>
    <row r="843" spans="12:13" x14ac:dyDescent="0.2">
      <c r="L843" s="4">
        <v>837</v>
      </c>
      <c r="M843" s="21">
        <v>126965.07754588744</v>
      </c>
    </row>
    <row r="844" spans="12:13" x14ac:dyDescent="0.2">
      <c r="L844" s="4">
        <v>838</v>
      </c>
      <c r="M844" s="21">
        <v>11386.834824488789</v>
      </c>
    </row>
    <row r="845" spans="12:13" x14ac:dyDescent="0.2">
      <c r="L845" s="4">
        <v>839</v>
      </c>
      <c r="M845" s="21">
        <v>-20779.30048483031</v>
      </c>
    </row>
    <row r="846" spans="12:13" x14ac:dyDescent="0.2">
      <c r="L846" s="4">
        <v>840</v>
      </c>
      <c r="M846" s="21">
        <v>166056.62209574398</v>
      </c>
    </row>
    <row r="847" spans="12:13" x14ac:dyDescent="0.2">
      <c r="L847" s="4">
        <v>841</v>
      </c>
      <c r="M847" s="21">
        <v>-22841.095303145528</v>
      </c>
    </row>
    <row r="848" spans="12:13" x14ac:dyDescent="0.2">
      <c r="L848" s="4">
        <v>842</v>
      </c>
      <c r="M848" s="21">
        <v>59896.500011337484</v>
      </c>
    </row>
    <row r="849" spans="12:13" x14ac:dyDescent="0.2">
      <c r="L849" s="4">
        <v>843</v>
      </c>
      <c r="M849" s="21">
        <v>70767.510860648617</v>
      </c>
    </row>
    <row r="850" spans="12:13" x14ac:dyDescent="0.2">
      <c r="L850" s="4">
        <v>844</v>
      </c>
      <c r="M850" s="21">
        <v>-243146.34141815454</v>
      </c>
    </row>
    <row r="851" spans="12:13" x14ac:dyDescent="0.2">
      <c r="L851" s="4">
        <v>845</v>
      </c>
      <c r="M851" s="21">
        <v>-21530.685920524527</v>
      </c>
    </row>
    <row r="852" spans="12:13" x14ac:dyDescent="0.2">
      <c r="L852" s="4">
        <v>846</v>
      </c>
      <c r="M852" s="21">
        <v>70458.632600867713</v>
      </c>
    </row>
    <row r="853" spans="12:13" x14ac:dyDescent="0.2">
      <c r="L853" s="4">
        <v>847</v>
      </c>
      <c r="M853" s="21">
        <v>291.3632130305632</v>
      </c>
    </row>
    <row r="854" spans="12:13" x14ac:dyDescent="0.2">
      <c r="L854" s="4">
        <v>848</v>
      </c>
      <c r="M854" s="21">
        <v>-146636.92921994143</v>
      </c>
    </row>
    <row r="855" spans="12:13" x14ac:dyDescent="0.2">
      <c r="L855" s="4">
        <v>849</v>
      </c>
      <c r="M855" s="21">
        <v>55662.970153343485</v>
      </c>
    </row>
    <row r="856" spans="12:13" x14ac:dyDescent="0.2">
      <c r="L856" s="4">
        <v>850</v>
      </c>
      <c r="M856" s="21">
        <v>-247222.42573530739</v>
      </c>
    </row>
    <row r="857" spans="12:13" x14ac:dyDescent="0.2">
      <c r="L857" s="4">
        <v>851</v>
      </c>
      <c r="M857" s="21">
        <v>-63776.203089070259</v>
      </c>
    </row>
    <row r="858" spans="12:13" x14ac:dyDescent="0.2">
      <c r="L858" s="4">
        <v>852</v>
      </c>
      <c r="M858" s="21">
        <v>210291.2989339105</v>
      </c>
    </row>
    <row r="859" spans="12:13" x14ac:dyDescent="0.2">
      <c r="L859" s="4">
        <v>853</v>
      </c>
      <c r="M859" s="21">
        <v>-353755.1544967714</v>
      </c>
    </row>
    <row r="860" spans="12:13" x14ac:dyDescent="0.2">
      <c r="L860" s="4">
        <v>854</v>
      </c>
      <c r="M860" s="21">
        <v>90847.810459348722</v>
      </c>
    </row>
    <row r="861" spans="12:13" x14ac:dyDescent="0.2">
      <c r="L861" s="4">
        <v>855</v>
      </c>
      <c r="M861" s="21">
        <v>28630.321944949159</v>
      </c>
    </row>
    <row r="862" spans="12:13" x14ac:dyDescent="0.2">
      <c r="L862" s="4">
        <v>856</v>
      </c>
      <c r="M862" s="21">
        <v>176633.15403930348</v>
      </c>
    </row>
    <row r="863" spans="12:13" x14ac:dyDescent="0.2">
      <c r="L863" s="4">
        <v>857</v>
      </c>
      <c r="M863" s="21">
        <v>-109803.14713289628</v>
      </c>
    </row>
    <row r="864" spans="12:13" x14ac:dyDescent="0.2">
      <c r="L864" s="4">
        <v>858</v>
      </c>
      <c r="M864" s="21">
        <v>-79631.29671077324</v>
      </c>
    </row>
    <row r="865" spans="12:13" x14ac:dyDescent="0.2">
      <c r="L865" s="4">
        <v>859</v>
      </c>
      <c r="M865" s="21">
        <v>44523.88440615288</v>
      </c>
    </row>
    <row r="866" spans="12:13" x14ac:dyDescent="0.2">
      <c r="L866" s="4">
        <v>860</v>
      </c>
      <c r="M866" s="21">
        <v>-225112.25429526309</v>
      </c>
    </row>
    <row r="867" spans="12:13" x14ac:dyDescent="0.2">
      <c r="L867" s="4">
        <v>861</v>
      </c>
      <c r="M867" s="21">
        <v>177431.02776516814</v>
      </c>
    </row>
    <row r="868" spans="12:13" x14ac:dyDescent="0.2">
      <c r="L868" s="4">
        <v>862</v>
      </c>
      <c r="M868" s="21">
        <v>-77763.726102783272</v>
      </c>
    </row>
    <row r="869" spans="12:13" x14ac:dyDescent="0.2">
      <c r="L869" s="4">
        <v>863</v>
      </c>
      <c r="M869" s="21">
        <v>-172593.45390615554</v>
      </c>
    </row>
    <row r="870" spans="12:13" x14ac:dyDescent="0.2">
      <c r="L870" s="4">
        <v>864</v>
      </c>
      <c r="M870" s="21">
        <v>33413.697686198662</v>
      </c>
    </row>
    <row r="871" spans="12:13" x14ac:dyDescent="0.2">
      <c r="L871" s="4">
        <v>865</v>
      </c>
      <c r="M871" s="21">
        <v>-133999.01726518571</v>
      </c>
    </row>
    <row r="872" spans="12:13" x14ac:dyDescent="0.2">
      <c r="L872" s="4">
        <v>866</v>
      </c>
      <c r="M872" s="21">
        <v>9965.8290572050319</v>
      </c>
    </row>
    <row r="873" spans="12:13" x14ac:dyDescent="0.2">
      <c r="L873" s="4">
        <v>867</v>
      </c>
      <c r="M873" s="21">
        <v>-93231.059912557437</v>
      </c>
    </row>
    <row r="874" spans="12:13" x14ac:dyDescent="0.2">
      <c r="L874" s="4">
        <v>868</v>
      </c>
      <c r="M874" s="21">
        <v>-176357.68375501223</v>
      </c>
    </row>
    <row r="875" spans="12:13" x14ac:dyDescent="0.2">
      <c r="L875" s="4">
        <v>869</v>
      </c>
      <c r="M875" s="21">
        <v>50553.089345420798</v>
      </c>
    </row>
    <row r="876" spans="12:13" x14ac:dyDescent="0.2">
      <c r="L876" s="4">
        <v>870</v>
      </c>
      <c r="M876" s="21">
        <v>-64779.435127949924</v>
      </c>
    </row>
    <row r="877" spans="12:13" x14ac:dyDescent="0.2">
      <c r="L877" s="4">
        <v>871</v>
      </c>
      <c r="M877" s="21">
        <v>220721.06936205679</v>
      </c>
    </row>
    <row r="878" spans="12:13" x14ac:dyDescent="0.2">
      <c r="L878" s="4">
        <v>872</v>
      </c>
      <c r="M878" s="21">
        <v>-47178.950895878414</v>
      </c>
    </row>
    <row r="879" spans="12:13" x14ac:dyDescent="0.2">
      <c r="L879" s="4">
        <v>873</v>
      </c>
      <c r="M879" s="21">
        <v>-206928.34332149487</v>
      </c>
    </row>
    <row r="880" spans="12:13" x14ac:dyDescent="0.2">
      <c r="L880" s="4">
        <v>874</v>
      </c>
      <c r="M880" s="21">
        <v>-124823.39121784471</v>
      </c>
    </row>
    <row r="881" spans="12:13" x14ac:dyDescent="0.2">
      <c r="L881" s="4">
        <v>875</v>
      </c>
      <c r="M881" s="21">
        <v>-363896.97970716609</v>
      </c>
    </row>
    <row r="882" spans="12:13" x14ac:dyDescent="0.2">
      <c r="L882" s="4">
        <v>876</v>
      </c>
      <c r="M882" s="21">
        <v>-342718.68523604865</v>
      </c>
    </row>
    <row r="883" spans="12:13" x14ac:dyDescent="0.2">
      <c r="L883" s="4">
        <v>877</v>
      </c>
      <c r="M883" s="21">
        <v>-185881.98413366245</v>
      </c>
    </row>
    <row r="884" spans="12:13" x14ac:dyDescent="0.2">
      <c r="L884" s="4">
        <v>878</v>
      </c>
      <c r="M884" s="21">
        <v>180186.71912887276</v>
      </c>
    </row>
    <row r="885" spans="12:13" x14ac:dyDescent="0.2">
      <c r="L885" s="4">
        <v>879</v>
      </c>
      <c r="M885" s="21">
        <v>-33354.698410763842</v>
      </c>
    </row>
    <row r="886" spans="12:13" x14ac:dyDescent="0.2">
      <c r="L886" s="4">
        <v>880</v>
      </c>
      <c r="M886" s="21">
        <v>208258.46783978317</v>
      </c>
    </row>
    <row r="887" spans="12:13" x14ac:dyDescent="0.2">
      <c r="L887" s="4">
        <v>881</v>
      </c>
      <c r="M887" s="21">
        <v>-19526.374655688764</v>
      </c>
    </row>
    <row r="888" spans="12:13" x14ac:dyDescent="0.2">
      <c r="L888" s="4">
        <v>882</v>
      </c>
      <c r="M888" s="21">
        <v>146493.11748328386</v>
      </c>
    </row>
    <row r="889" spans="12:13" x14ac:dyDescent="0.2">
      <c r="L889" s="4">
        <v>883</v>
      </c>
      <c r="M889" s="21">
        <v>-97587.373731830157</v>
      </c>
    </row>
    <row r="890" spans="12:13" x14ac:dyDescent="0.2">
      <c r="L890" s="4">
        <v>884</v>
      </c>
      <c r="M890" s="21">
        <v>48417.019031033415</v>
      </c>
    </row>
    <row r="891" spans="12:13" x14ac:dyDescent="0.2">
      <c r="L891" s="4">
        <v>885</v>
      </c>
      <c r="M891" s="21">
        <v>67331.391723097302</v>
      </c>
    </row>
    <row r="892" spans="12:13" x14ac:dyDescent="0.2">
      <c r="L892" s="4">
        <v>886</v>
      </c>
      <c r="M892" s="21">
        <v>-371911.30219540477</v>
      </c>
    </row>
    <row r="893" spans="12:13" x14ac:dyDescent="0.2">
      <c r="L893" s="4">
        <v>887</v>
      </c>
      <c r="M893" s="21">
        <v>-131022.4839965561</v>
      </c>
    </row>
    <row r="894" spans="12:13" x14ac:dyDescent="0.2">
      <c r="L894" s="4">
        <v>888</v>
      </c>
      <c r="M894" s="21">
        <v>-7891.9821116899257</v>
      </c>
    </row>
    <row r="895" spans="12:13" x14ac:dyDescent="0.2">
      <c r="L895" s="4">
        <v>889</v>
      </c>
      <c r="M895" s="21">
        <v>77245.885405958892</v>
      </c>
    </row>
    <row r="896" spans="12:13" x14ac:dyDescent="0.2">
      <c r="L896" s="4">
        <v>890</v>
      </c>
      <c r="M896" s="21">
        <v>101061.18397524179</v>
      </c>
    </row>
    <row r="897" spans="12:13" x14ac:dyDescent="0.2">
      <c r="L897" s="4">
        <v>891</v>
      </c>
      <c r="M897" s="21">
        <v>368681.84459616034</v>
      </c>
    </row>
    <row r="898" spans="12:13" x14ac:dyDescent="0.2">
      <c r="L898" s="4">
        <v>892</v>
      </c>
      <c r="M898" s="21">
        <v>261646.36999602738</v>
      </c>
    </row>
    <row r="899" spans="12:13" x14ac:dyDescent="0.2">
      <c r="L899" s="4">
        <v>893</v>
      </c>
      <c r="M899" s="21">
        <v>120277.969431134</v>
      </c>
    </row>
    <row r="900" spans="12:13" x14ac:dyDescent="0.2">
      <c r="L900" s="4">
        <v>894</v>
      </c>
      <c r="M900" s="21">
        <v>-34370.491489319349</v>
      </c>
    </row>
    <row r="901" spans="12:13" x14ac:dyDescent="0.2">
      <c r="L901" s="4">
        <v>895</v>
      </c>
      <c r="M901" s="21">
        <v>-196280.59400206141</v>
      </c>
    </row>
    <row r="902" spans="12:13" x14ac:dyDescent="0.2">
      <c r="L902" s="4">
        <v>896</v>
      </c>
      <c r="M902" s="21">
        <v>61292.165197615628</v>
      </c>
    </row>
    <row r="903" spans="12:13" x14ac:dyDescent="0.2">
      <c r="L903" s="4">
        <v>897</v>
      </c>
      <c r="M903" s="21">
        <v>5368.7043783167028</v>
      </c>
    </row>
    <row r="904" spans="12:13" x14ac:dyDescent="0.2">
      <c r="L904" s="4">
        <v>898</v>
      </c>
      <c r="M904" s="21">
        <v>-94297.88623341138</v>
      </c>
    </row>
    <row r="905" spans="12:13" x14ac:dyDescent="0.2">
      <c r="L905" s="4">
        <v>899</v>
      </c>
      <c r="M905" s="21">
        <v>-226370.73913144</v>
      </c>
    </row>
    <row r="906" spans="12:13" x14ac:dyDescent="0.2">
      <c r="L906" s="4">
        <v>900</v>
      </c>
      <c r="M906" s="21">
        <v>168532.89009139169</v>
      </c>
    </row>
    <row r="907" spans="12:13" x14ac:dyDescent="0.2">
      <c r="L907" s="4">
        <v>901</v>
      </c>
      <c r="M907" s="21">
        <v>68570.616583333322</v>
      </c>
    </row>
    <row r="908" spans="12:13" x14ac:dyDescent="0.2">
      <c r="L908" s="4">
        <v>902</v>
      </c>
      <c r="M908" s="21">
        <v>86746.365120033413</v>
      </c>
    </row>
    <row r="909" spans="12:13" x14ac:dyDescent="0.2">
      <c r="L909" s="4">
        <v>903</v>
      </c>
      <c r="M909" s="21">
        <v>96188.610869704513</v>
      </c>
    </row>
    <row r="910" spans="12:13" x14ac:dyDescent="0.2">
      <c r="L910" s="4">
        <v>904</v>
      </c>
      <c r="M910" s="21">
        <v>-1478.8203442790837</v>
      </c>
    </row>
    <row r="911" spans="12:13" x14ac:dyDescent="0.2">
      <c r="L911" s="4">
        <v>905</v>
      </c>
      <c r="M911" s="21">
        <v>-182987.3705874813</v>
      </c>
    </row>
    <row r="912" spans="12:13" x14ac:dyDescent="0.2">
      <c r="L912" s="4">
        <v>906</v>
      </c>
      <c r="M912" s="21">
        <v>-15442.993197322765</v>
      </c>
    </row>
    <row r="913" spans="12:13" x14ac:dyDescent="0.2">
      <c r="L913" s="4">
        <v>907</v>
      </c>
      <c r="M913" s="21">
        <v>95985.443262613349</v>
      </c>
    </row>
    <row r="914" spans="12:13" x14ac:dyDescent="0.2">
      <c r="L914" s="4">
        <v>908</v>
      </c>
      <c r="M914" s="21">
        <v>-47162.61350488622</v>
      </c>
    </row>
    <row r="915" spans="12:13" x14ac:dyDescent="0.2">
      <c r="L915" s="4">
        <v>909</v>
      </c>
      <c r="M915" s="21">
        <v>-270065.76195630152</v>
      </c>
    </row>
    <row r="916" spans="12:13" x14ac:dyDescent="0.2">
      <c r="L916" s="4">
        <v>910</v>
      </c>
      <c r="M916" s="21">
        <v>98645.078651892836</v>
      </c>
    </row>
    <row r="917" spans="12:13" x14ac:dyDescent="0.2">
      <c r="L917" s="4">
        <v>911</v>
      </c>
      <c r="M917" s="21">
        <v>145630.07831402472</v>
      </c>
    </row>
    <row r="918" spans="12:13" x14ac:dyDescent="0.2">
      <c r="L918" s="4">
        <v>912</v>
      </c>
      <c r="M918" s="21">
        <v>-195202.60235448385</v>
      </c>
    </row>
    <row r="919" spans="12:13" x14ac:dyDescent="0.2">
      <c r="L919" s="4">
        <v>913</v>
      </c>
      <c r="M919" s="21">
        <v>100807.41331088266</v>
      </c>
    </row>
    <row r="920" spans="12:13" x14ac:dyDescent="0.2">
      <c r="L920" s="4">
        <v>914</v>
      </c>
      <c r="M920" s="21">
        <v>130080.84438240476</v>
      </c>
    </row>
    <row r="921" spans="12:13" x14ac:dyDescent="0.2">
      <c r="L921" s="4">
        <v>915</v>
      </c>
      <c r="M921" s="21">
        <v>-78079.957150423201</v>
      </c>
    </row>
    <row r="922" spans="12:13" x14ac:dyDescent="0.2">
      <c r="L922" s="4">
        <v>916</v>
      </c>
      <c r="M922" s="21">
        <v>-4713.5327127292258</v>
      </c>
    </row>
    <row r="923" spans="12:13" x14ac:dyDescent="0.2">
      <c r="L923" s="4">
        <v>917</v>
      </c>
      <c r="M923" s="21">
        <v>-57562.96792161504</v>
      </c>
    </row>
    <row r="924" spans="12:13" x14ac:dyDescent="0.2">
      <c r="L924" s="4">
        <v>918</v>
      </c>
      <c r="M924" s="21">
        <v>36188.054970371595</v>
      </c>
    </row>
    <row r="925" spans="12:13" x14ac:dyDescent="0.2">
      <c r="L925" s="4">
        <v>919</v>
      </c>
      <c r="M925" s="21">
        <v>-337929.01447003445</v>
      </c>
    </row>
    <row r="926" spans="12:13" x14ac:dyDescent="0.2">
      <c r="L926" s="4">
        <v>920</v>
      </c>
      <c r="M926" s="21">
        <v>201087.09747972601</v>
      </c>
    </row>
    <row r="927" spans="12:13" x14ac:dyDescent="0.2">
      <c r="L927" s="4">
        <v>921</v>
      </c>
      <c r="M927" s="21">
        <v>166130.38831890837</v>
      </c>
    </row>
    <row r="928" spans="12:13" x14ac:dyDescent="0.2">
      <c r="L928" s="4">
        <v>922</v>
      </c>
      <c r="M928" s="21">
        <v>93221.526997941721</v>
      </c>
    </row>
    <row r="929" spans="12:13" x14ac:dyDescent="0.2">
      <c r="L929" s="4">
        <v>923</v>
      </c>
      <c r="M929" s="21">
        <v>-10236.356030164156</v>
      </c>
    </row>
    <row r="930" spans="12:13" x14ac:dyDescent="0.2">
      <c r="L930" s="4">
        <v>924</v>
      </c>
      <c r="M930" s="21">
        <v>162619.96923541345</v>
      </c>
    </row>
    <row r="931" spans="12:13" x14ac:dyDescent="0.2">
      <c r="L931" s="4">
        <v>925</v>
      </c>
      <c r="M931" s="21">
        <v>-58818.914022296478</v>
      </c>
    </row>
    <row r="932" spans="12:13" x14ac:dyDescent="0.2">
      <c r="L932" s="4">
        <v>926</v>
      </c>
      <c r="M932" s="21">
        <v>-82819.824260728361</v>
      </c>
    </row>
    <row r="933" spans="12:13" x14ac:dyDescent="0.2">
      <c r="L933" s="4">
        <v>927</v>
      </c>
      <c r="M933" s="21">
        <v>-351924.80518746062</v>
      </c>
    </row>
    <row r="934" spans="12:13" x14ac:dyDescent="0.2">
      <c r="L934" s="4">
        <v>928</v>
      </c>
      <c r="M934" s="21">
        <v>47397.992640679935</v>
      </c>
    </row>
    <row r="935" spans="12:13" x14ac:dyDescent="0.2">
      <c r="L935" s="4">
        <v>929</v>
      </c>
      <c r="M935" s="21">
        <v>230715.51078669715</v>
      </c>
    </row>
    <row r="936" spans="12:13" x14ac:dyDescent="0.2">
      <c r="L936" s="4">
        <v>930</v>
      </c>
      <c r="M936" s="21">
        <v>224038.59697923038</v>
      </c>
    </row>
    <row r="937" spans="12:13" x14ac:dyDescent="0.2">
      <c r="L937" s="4">
        <v>931</v>
      </c>
      <c r="M937" s="21">
        <v>129634.94951391898</v>
      </c>
    </row>
    <row r="938" spans="12:13" x14ac:dyDescent="0.2">
      <c r="L938" s="4">
        <v>932</v>
      </c>
      <c r="M938" s="21">
        <v>113598.68857239728</v>
      </c>
    </row>
    <row r="939" spans="12:13" x14ac:dyDescent="0.2">
      <c r="L939" s="4">
        <v>933</v>
      </c>
      <c r="M939" s="21">
        <v>60079.363959405367</v>
      </c>
    </row>
    <row r="940" spans="12:13" x14ac:dyDescent="0.2">
      <c r="L940" s="4">
        <v>934</v>
      </c>
      <c r="M940" s="21">
        <v>21088.310891668661</v>
      </c>
    </row>
    <row r="941" spans="12:13" x14ac:dyDescent="0.2">
      <c r="L941" s="4">
        <v>935</v>
      </c>
      <c r="M941" s="21">
        <v>-174734.36869012844</v>
      </c>
    </row>
    <row r="942" spans="12:13" x14ac:dyDescent="0.2">
      <c r="L942" s="4">
        <v>936</v>
      </c>
      <c r="M942" s="21">
        <v>34217.145909782994</v>
      </c>
    </row>
    <row r="943" spans="12:13" x14ac:dyDescent="0.2">
      <c r="L943" s="4">
        <v>937</v>
      </c>
      <c r="M943" s="21">
        <v>-307034.50733271439</v>
      </c>
    </row>
    <row r="944" spans="12:13" x14ac:dyDescent="0.2">
      <c r="L944" s="4">
        <v>938</v>
      </c>
      <c r="M944" s="21">
        <v>-204044.40139114734</v>
      </c>
    </row>
    <row r="945" spans="12:13" x14ac:dyDescent="0.2">
      <c r="L945" s="4">
        <v>939</v>
      </c>
      <c r="M945" s="21">
        <v>-56660.932086034416</v>
      </c>
    </row>
    <row r="946" spans="12:13" x14ac:dyDescent="0.2">
      <c r="L946" s="4">
        <v>940</v>
      </c>
      <c r="M946" s="21">
        <v>36064.937543089734</v>
      </c>
    </row>
    <row r="947" spans="12:13" x14ac:dyDescent="0.2">
      <c r="L947" s="4">
        <v>941</v>
      </c>
      <c r="M947" s="21">
        <v>11750.112617628212</v>
      </c>
    </row>
    <row r="948" spans="12:13" x14ac:dyDescent="0.2">
      <c r="L948" s="4">
        <v>942</v>
      </c>
      <c r="M948" s="21">
        <v>-77796.76954871371</v>
      </c>
    </row>
    <row r="949" spans="12:13" x14ac:dyDescent="0.2">
      <c r="L949" s="4">
        <v>943</v>
      </c>
      <c r="M949" s="21">
        <v>53216.779121106927</v>
      </c>
    </row>
    <row r="950" spans="12:13" x14ac:dyDescent="0.2">
      <c r="L950" s="4">
        <v>944</v>
      </c>
      <c r="M950" s="21">
        <v>-260890.79598482783</v>
      </c>
    </row>
    <row r="951" spans="12:13" x14ac:dyDescent="0.2">
      <c r="L951" s="4">
        <v>945</v>
      </c>
      <c r="M951" s="21">
        <v>-132643.51624963031</v>
      </c>
    </row>
    <row r="952" spans="12:13" x14ac:dyDescent="0.2">
      <c r="L952" s="4">
        <v>946</v>
      </c>
      <c r="M952" s="21">
        <v>-158914.17442284536</v>
      </c>
    </row>
    <row r="953" spans="12:13" x14ac:dyDescent="0.2">
      <c r="L953" s="4">
        <v>947</v>
      </c>
      <c r="M953" s="21">
        <v>87089.544060913351</v>
      </c>
    </row>
    <row r="954" spans="12:13" x14ac:dyDescent="0.2">
      <c r="L954" s="4">
        <v>948</v>
      </c>
      <c r="M954" s="21">
        <v>-154153.25863003207</v>
      </c>
    </row>
    <row r="955" spans="12:13" x14ac:dyDescent="0.2">
      <c r="L955" s="4">
        <v>949</v>
      </c>
      <c r="M955" s="21">
        <v>-147400.09186949121</v>
      </c>
    </row>
    <row r="956" spans="12:13" x14ac:dyDescent="0.2">
      <c r="L956" s="4">
        <v>950</v>
      </c>
      <c r="M956" s="21">
        <v>-6133.4040095126693</v>
      </c>
    </row>
    <row r="957" spans="12:13" x14ac:dyDescent="0.2">
      <c r="L957" s="4">
        <v>951</v>
      </c>
      <c r="M957" s="21">
        <v>315178.58187144087</v>
      </c>
    </row>
    <row r="958" spans="12:13" x14ac:dyDescent="0.2">
      <c r="L958" s="4">
        <v>952</v>
      </c>
      <c r="M958" s="21">
        <v>-90473.928812736995</v>
      </c>
    </row>
    <row r="959" spans="12:13" x14ac:dyDescent="0.2">
      <c r="L959" s="4">
        <v>953</v>
      </c>
      <c r="M959" s="21">
        <v>-193132.37038229257</v>
      </c>
    </row>
    <row r="960" spans="12:13" x14ac:dyDescent="0.2">
      <c r="L960" s="4">
        <v>954</v>
      </c>
      <c r="M960" s="21">
        <v>-76895.665005358431</v>
      </c>
    </row>
    <row r="961" spans="12:13" x14ac:dyDescent="0.2">
      <c r="L961" s="4">
        <v>955</v>
      </c>
      <c r="M961" s="21">
        <v>196304.61201702643</v>
      </c>
    </row>
    <row r="962" spans="12:13" x14ac:dyDescent="0.2">
      <c r="L962" s="4">
        <v>956</v>
      </c>
      <c r="M962" s="21">
        <v>197379.62121616659</v>
      </c>
    </row>
    <row r="963" spans="12:13" x14ac:dyDescent="0.2">
      <c r="L963" s="4">
        <v>957</v>
      </c>
      <c r="M963" s="21">
        <v>-49200.907310756316</v>
      </c>
    </row>
    <row r="964" spans="12:13" x14ac:dyDescent="0.2">
      <c r="L964" s="4">
        <v>958</v>
      </c>
      <c r="M964" s="21">
        <v>-7314.0555431178364</v>
      </c>
    </row>
    <row r="965" spans="12:13" x14ac:dyDescent="0.2">
      <c r="L965" s="4">
        <v>959</v>
      </c>
      <c r="M965" s="21">
        <v>97278.003761563363</v>
      </c>
    </row>
    <row r="966" spans="12:13" x14ac:dyDescent="0.2">
      <c r="L966" s="4">
        <v>960</v>
      </c>
      <c r="M966" s="21">
        <v>-138962.71910453087</v>
      </c>
    </row>
    <row r="967" spans="12:13" x14ac:dyDescent="0.2">
      <c r="L967" s="4">
        <v>961</v>
      </c>
      <c r="M967" s="21">
        <v>-91695.777402086373</v>
      </c>
    </row>
    <row r="968" spans="12:13" x14ac:dyDescent="0.2">
      <c r="L968" s="4">
        <v>962</v>
      </c>
      <c r="M968" s="21">
        <v>153628.44323203791</v>
      </c>
    </row>
    <row r="969" spans="12:13" x14ac:dyDescent="0.2">
      <c r="L969" s="4">
        <v>963</v>
      </c>
      <c r="M969" s="21">
        <v>-69591.265524281669</v>
      </c>
    </row>
    <row r="970" spans="12:13" x14ac:dyDescent="0.2">
      <c r="L970" s="4">
        <v>964</v>
      </c>
      <c r="M970" s="21">
        <v>-38215.546529113868</v>
      </c>
    </row>
    <row r="971" spans="12:13" x14ac:dyDescent="0.2">
      <c r="L971" s="4">
        <v>965</v>
      </c>
      <c r="M971" s="21">
        <v>-232268.91695695737</v>
      </c>
    </row>
    <row r="972" spans="12:13" x14ac:dyDescent="0.2">
      <c r="L972" s="4">
        <v>966</v>
      </c>
      <c r="M972" s="21">
        <v>-12933.8058188672</v>
      </c>
    </row>
    <row r="973" spans="12:13" x14ac:dyDescent="0.2">
      <c r="L973" s="4">
        <v>967</v>
      </c>
      <c r="M973" s="21">
        <v>87178.511120156618</v>
      </c>
    </row>
    <row r="974" spans="12:13" x14ac:dyDescent="0.2">
      <c r="L974" s="4">
        <v>968</v>
      </c>
      <c r="M974" s="21">
        <v>-113070.06381757474</v>
      </c>
    </row>
    <row r="975" spans="12:13" x14ac:dyDescent="0.2">
      <c r="L975" s="4">
        <v>969</v>
      </c>
      <c r="M975" s="21">
        <v>14046.270769867755</v>
      </c>
    </row>
    <row r="976" spans="12:13" x14ac:dyDescent="0.2">
      <c r="L976" s="4">
        <v>970</v>
      </c>
      <c r="M976" s="21">
        <v>-145934.87680839354</v>
      </c>
    </row>
    <row r="977" spans="12:13" x14ac:dyDescent="0.2">
      <c r="L977" s="4">
        <v>971</v>
      </c>
      <c r="M977" s="21">
        <v>-367783.72387003759</v>
      </c>
    </row>
    <row r="978" spans="12:13" x14ac:dyDescent="0.2">
      <c r="L978" s="4">
        <v>972</v>
      </c>
      <c r="M978" s="21">
        <v>-303685.41072594828</v>
      </c>
    </row>
    <row r="979" spans="12:13" x14ac:dyDescent="0.2">
      <c r="L979" s="4">
        <v>973</v>
      </c>
      <c r="M979" s="21">
        <v>95114.227343953535</v>
      </c>
    </row>
    <row r="980" spans="12:13" x14ac:dyDescent="0.2">
      <c r="L980" s="4">
        <v>974</v>
      </c>
      <c r="M980" s="21">
        <v>49130.921508674481</v>
      </c>
    </row>
    <row r="981" spans="12:13" x14ac:dyDescent="0.2">
      <c r="L981" s="4">
        <v>975</v>
      </c>
      <c r="M981" s="21">
        <v>-249851.18084048899</v>
      </c>
    </row>
    <row r="982" spans="12:13" x14ac:dyDescent="0.2">
      <c r="L982" s="4">
        <v>976</v>
      </c>
      <c r="M982" s="21">
        <v>12493.963821573299</v>
      </c>
    </row>
    <row r="983" spans="12:13" x14ac:dyDescent="0.2">
      <c r="L983" s="4">
        <v>977</v>
      </c>
      <c r="M983" s="21">
        <v>145449.74162239145</v>
      </c>
    </row>
    <row r="984" spans="12:13" x14ac:dyDescent="0.2">
      <c r="L984" s="4">
        <v>978</v>
      </c>
      <c r="M984" s="21">
        <v>65568.189618959528</v>
      </c>
    </row>
    <row r="985" spans="12:13" x14ac:dyDescent="0.2">
      <c r="L985" s="4">
        <v>979</v>
      </c>
      <c r="M985" s="21">
        <v>191773.56099649656</v>
      </c>
    </row>
    <row r="986" spans="12:13" x14ac:dyDescent="0.2">
      <c r="L986" s="4">
        <v>980</v>
      </c>
      <c r="M986" s="21">
        <v>-184088.56739486213</v>
      </c>
    </row>
    <row r="987" spans="12:13" x14ac:dyDescent="0.2">
      <c r="L987" s="4">
        <v>981</v>
      </c>
      <c r="M987" s="21">
        <v>-119648.39779032236</v>
      </c>
    </row>
    <row r="988" spans="12:13" x14ac:dyDescent="0.2">
      <c r="L988" s="4">
        <v>982</v>
      </c>
      <c r="M988" s="21">
        <v>39903.254357416386</v>
      </c>
    </row>
    <row r="989" spans="12:13" x14ac:dyDescent="0.2">
      <c r="L989" s="4">
        <v>983</v>
      </c>
      <c r="M989" s="21">
        <v>-36426.107229044937</v>
      </c>
    </row>
    <row r="990" spans="12:13" x14ac:dyDescent="0.2">
      <c r="L990" s="4">
        <v>984</v>
      </c>
      <c r="M990" s="21">
        <v>70251.485700939957</v>
      </c>
    </row>
    <row r="991" spans="12:13" x14ac:dyDescent="0.2">
      <c r="L991" s="4">
        <v>985</v>
      </c>
      <c r="M991" s="21">
        <v>-171960.30736651731</v>
      </c>
    </row>
    <row r="992" spans="12:13" x14ac:dyDescent="0.2">
      <c r="L992" s="4">
        <v>986</v>
      </c>
      <c r="M992" s="21">
        <v>15587.22953539525</v>
      </c>
    </row>
    <row r="993" spans="12:13" x14ac:dyDescent="0.2">
      <c r="L993" s="4">
        <v>987</v>
      </c>
      <c r="M993" s="21">
        <v>-111649.20080945177</v>
      </c>
    </row>
    <row r="994" spans="12:13" x14ac:dyDescent="0.2">
      <c r="L994" s="4">
        <v>988</v>
      </c>
      <c r="M994" s="21">
        <v>221242.49211356178</v>
      </c>
    </row>
    <row r="995" spans="12:13" x14ac:dyDescent="0.2">
      <c r="L995" s="4">
        <v>989</v>
      </c>
      <c r="M995" s="21">
        <v>-20073.945856246239</v>
      </c>
    </row>
    <row r="996" spans="12:13" x14ac:dyDescent="0.2">
      <c r="L996" s="4">
        <v>990</v>
      </c>
      <c r="M996" s="21">
        <v>52545.969451259851</v>
      </c>
    </row>
    <row r="997" spans="12:13" x14ac:dyDescent="0.2">
      <c r="L997" s="4">
        <v>991</v>
      </c>
      <c r="M997" s="21">
        <v>7493.59015735719</v>
      </c>
    </row>
    <row r="998" spans="12:13" x14ac:dyDescent="0.2">
      <c r="L998" s="4">
        <v>992</v>
      </c>
      <c r="M998" s="21">
        <v>-110461.87141452744</v>
      </c>
    </row>
    <row r="999" spans="12:13" x14ac:dyDescent="0.2">
      <c r="L999" s="4">
        <v>993</v>
      </c>
      <c r="M999" s="21">
        <v>-181358.14799023923</v>
      </c>
    </row>
    <row r="1000" spans="12:13" x14ac:dyDescent="0.2">
      <c r="L1000" s="4">
        <v>994</v>
      </c>
      <c r="M1000" s="21">
        <v>50642.462314309698</v>
      </c>
    </row>
    <row r="1001" spans="12:13" x14ac:dyDescent="0.2">
      <c r="L1001" s="4">
        <v>995</v>
      </c>
      <c r="M1001" s="21">
        <v>107929.64766738884</v>
      </c>
    </row>
    <row r="1002" spans="12:13" x14ac:dyDescent="0.2">
      <c r="L1002" s="4">
        <v>996</v>
      </c>
      <c r="M1002" s="21">
        <v>62895.137671670265</v>
      </c>
    </row>
    <row r="1003" spans="12:13" x14ac:dyDescent="0.2">
      <c r="L1003" s="4">
        <v>997</v>
      </c>
      <c r="M1003" s="21">
        <v>-409035.38008883165</v>
      </c>
    </row>
    <row r="1004" spans="12:13" x14ac:dyDescent="0.2">
      <c r="L1004" s="4">
        <v>998</v>
      </c>
      <c r="M1004" s="21">
        <v>-206438.21089157707</v>
      </c>
    </row>
    <row r="1005" spans="12:13" x14ac:dyDescent="0.2">
      <c r="L1005" s="4">
        <v>999</v>
      </c>
      <c r="M1005" s="21">
        <v>-196255.23173678809</v>
      </c>
    </row>
    <row r="1006" spans="12:13" x14ac:dyDescent="0.2">
      <c r="L1006" s="4">
        <v>1000</v>
      </c>
      <c r="M1006" s="21">
        <v>67007.616908783675</v>
      </c>
    </row>
    <row r="1007" spans="12:13" x14ac:dyDescent="0.2">
      <c r="L1007" s="4">
        <v>1001</v>
      </c>
      <c r="M1007" s="21">
        <v>-205645.87651764025</v>
      </c>
    </row>
    <row r="1008" spans="12:13" x14ac:dyDescent="0.2">
      <c r="L1008" s="4">
        <v>1002</v>
      </c>
      <c r="M1008" s="21">
        <v>139195.07986129558</v>
      </c>
    </row>
    <row r="1009" spans="12:13" x14ac:dyDescent="0.2">
      <c r="L1009" s="4">
        <v>1003</v>
      </c>
      <c r="M1009" s="21">
        <v>245376.89378338991</v>
      </c>
    </row>
    <row r="1010" spans="12:13" x14ac:dyDescent="0.2">
      <c r="L1010" s="4">
        <v>1004</v>
      </c>
      <c r="M1010" s="21">
        <v>229748.31815803825</v>
      </c>
    </row>
    <row r="1011" spans="12:13" x14ac:dyDescent="0.2">
      <c r="L1011" s="4">
        <v>1005</v>
      </c>
      <c r="M1011" s="21">
        <v>-179619.87289988017</v>
      </c>
    </row>
    <row r="1012" spans="12:13" x14ac:dyDescent="0.2">
      <c r="L1012" s="4">
        <v>1006</v>
      </c>
      <c r="M1012" s="21">
        <v>-130431.64399091995</v>
      </c>
    </row>
    <row r="1013" spans="12:13" x14ac:dyDescent="0.2">
      <c r="L1013" s="4">
        <v>1007</v>
      </c>
      <c r="M1013" s="21">
        <v>106850.2297929496</v>
      </c>
    </row>
    <row r="1014" spans="12:13" x14ac:dyDescent="0.2">
      <c r="L1014" s="4">
        <v>1008</v>
      </c>
      <c r="M1014" s="21">
        <v>-175086.88314099229</v>
      </c>
    </row>
    <row r="1015" spans="12:13" x14ac:dyDescent="0.2">
      <c r="L1015" s="4">
        <v>1009</v>
      </c>
      <c r="M1015" s="21">
        <v>-170776.594876107</v>
      </c>
    </row>
    <row r="1016" spans="12:13" x14ac:dyDescent="0.2">
      <c r="L1016" s="4">
        <v>1010</v>
      </c>
      <c r="M1016" s="21">
        <v>-56541.925778313074</v>
      </c>
    </row>
    <row r="1017" spans="12:13" x14ac:dyDescent="0.2">
      <c r="L1017" s="4">
        <v>1011</v>
      </c>
      <c r="M1017" s="21">
        <v>80813.723951803113</v>
      </c>
    </row>
    <row r="1018" spans="12:13" x14ac:dyDescent="0.2">
      <c r="L1018" s="4">
        <v>1012</v>
      </c>
      <c r="M1018" s="21">
        <v>8534.1776901427656</v>
      </c>
    </row>
    <row r="1019" spans="12:13" x14ac:dyDescent="0.2">
      <c r="L1019" s="4">
        <v>1013</v>
      </c>
      <c r="M1019" s="21">
        <v>-38224.951388719608</v>
      </c>
    </row>
    <row r="1020" spans="12:13" x14ac:dyDescent="0.2">
      <c r="L1020" s="4">
        <v>1014</v>
      </c>
      <c r="M1020" s="21">
        <v>59794.824135373055</v>
      </c>
    </row>
    <row r="1021" spans="12:13" x14ac:dyDescent="0.2">
      <c r="L1021" s="4">
        <v>1015</v>
      </c>
      <c r="M1021" s="21">
        <v>-201894.27619885668</v>
      </c>
    </row>
    <row r="1022" spans="12:13" x14ac:dyDescent="0.2">
      <c r="L1022" s="4">
        <v>1016</v>
      </c>
      <c r="M1022" s="21">
        <v>115561.17332786712</v>
      </c>
    </row>
    <row r="1023" spans="12:13" x14ac:dyDescent="0.2">
      <c r="L1023" s="4">
        <v>1017</v>
      </c>
      <c r="M1023" s="21">
        <v>355157.84647688112</v>
      </c>
    </row>
    <row r="1024" spans="12:13" x14ac:dyDescent="0.2">
      <c r="L1024" s="4">
        <v>1018</v>
      </c>
      <c r="M1024" s="21">
        <v>117896.59749935055</v>
      </c>
    </row>
    <row r="1025" spans="12:13" x14ac:dyDescent="0.2">
      <c r="L1025" s="4">
        <v>1019</v>
      </c>
      <c r="M1025" s="21">
        <v>-17174.538504508819</v>
      </c>
    </row>
    <row r="1026" spans="12:13" x14ac:dyDescent="0.2">
      <c r="L1026" s="4">
        <v>1020</v>
      </c>
      <c r="M1026" s="21">
        <v>-120206.04140964618</v>
      </c>
    </row>
    <row r="1027" spans="12:13" x14ac:dyDescent="0.2">
      <c r="L1027" s="4">
        <v>1021</v>
      </c>
      <c r="M1027" s="21">
        <v>-110651.04951455136</v>
      </c>
    </row>
    <row r="1028" spans="12:13" x14ac:dyDescent="0.2">
      <c r="L1028" s="4">
        <v>1022</v>
      </c>
      <c r="M1028" s="21">
        <v>50791.695967178151</v>
      </c>
    </row>
    <row r="1029" spans="12:13" x14ac:dyDescent="0.2">
      <c r="L1029" s="4">
        <v>1023</v>
      </c>
      <c r="M1029" s="21">
        <v>-47522.832936751191</v>
      </c>
    </row>
    <row r="1030" spans="12:13" x14ac:dyDescent="0.2">
      <c r="L1030" s="4">
        <v>1024</v>
      </c>
      <c r="M1030" s="21">
        <v>133466.03246687088</v>
      </c>
    </row>
    <row r="1031" spans="12:13" x14ac:dyDescent="0.2">
      <c r="L1031" s="4">
        <v>1025</v>
      </c>
      <c r="M1031" s="21">
        <v>43123.604315577366</v>
      </c>
    </row>
    <row r="1032" spans="12:13" x14ac:dyDescent="0.2">
      <c r="L1032" s="4">
        <v>1026</v>
      </c>
      <c r="M1032" s="21">
        <v>-214324.27043385617</v>
      </c>
    </row>
    <row r="1033" spans="12:13" x14ac:dyDescent="0.2">
      <c r="L1033" s="4">
        <v>1027</v>
      </c>
      <c r="M1033" s="21">
        <v>-22611.960632104106</v>
      </c>
    </row>
    <row r="1034" spans="12:13" x14ac:dyDescent="0.2">
      <c r="L1034" s="4">
        <v>1028</v>
      </c>
      <c r="M1034" s="21">
        <v>41996.561314869148</v>
      </c>
    </row>
    <row r="1035" spans="12:13" x14ac:dyDescent="0.2">
      <c r="L1035" s="4">
        <v>1029</v>
      </c>
      <c r="M1035" s="21">
        <v>-91467.451397242097</v>
      </c>
    </row>
    <row r="1036" spans="12:13" x14ac:dyDescent="0.2">
      <c r="L1036" s="4">
        <v>1030</v>
      </c>
      <c r="M1036" s="21">
        <v>112476.53141954131</v>
      </c>
    </row>
    <row r="1037" spans="12:13" x14ac:dyDescent="0.2">
      <c r="L1037" s="4">
        <v>1031</v>
      </c>
      <c r="M1037" s="21">
        <v>-32645.410241351434</v>
      </c>
    </row>
    <row r="1038" spans="12:13" x14ac:dyDescent="0.2">
      <c r="L1038" s="4">
        <v>1032</v>
      </c>
      <c r="M1038" s="21">
        <v>-300022.21430022869</v>
      </c>
    </row>
    <row r="1039" spans="12:13" x14ac:dyDescent="0.2">
      <c r="L1039" s="4">
        <v>1033</v>
      </c>
      <c r="M1039" s="21">
        <v>4880.7029118952632</v>
      </c>
    </row>
    <row r="1040" spans="12:13" x14ac:dyDescent="0.2">
      <c r="L1040" s="4">
        <v>1034</v>
      </c>
      <c r="M1040" s="21">
        <v>36087.165743169782</v>
      </c>
    </row>
    <row r="1041" spans="12:13" x14ac:dyDescent="0.2">
      <c r="L1041" s="4">
        <v>1035</v>
      </c>
      <c r="M1041" s="21">
        <v>-24393.292574911145</v>
      </c>
    </row>
    <row r="1042" spans="12:13" x14ac:dyDescent="0.2">
      <c r="L1042" s="4">
        <v>1036</v>
      </c>
      <c r="M1042" s="21">
        <v>47947.682145532803</v>
      </c>
    </row>
    <row r="1043" spans="12:13" x14ac:dyDescent="0.2">
      <c r="L1043" s="4">
        <v>1037</v>
      </c>
      <c r="M1043" s="21">
        <v>-112951.12544781195</v>
      </c>
    </row>
    <row r="1044" spans="12:13" x14ac:dyDescent="0.2">
      <c r="L1044" s="4">
        <v>1038</v>
      </c>
      <c r="M1044" s="21">
        <v>-149699.68097847648</v>
      </c>
    </row>
    <row r="1045" spans="12:13" x14ac:dyDescent="0.2">
      <c r="L1045" s="4">
        <v>1039</v>
      </c>
      <c r="M1045" s="21">
        <v>-33949.710380852499</v>
      </c>
    </row>
    <row r="1046" spans="12:13" x14ac:dyDescent="0.2">
      <c r="L1046" s="4">
        <v>1040</v>
      </c>
      <c r="M1046" s="21">
        <v>76001.851938392414</v>
      </c>
    </row>
    <row r="1047" spans="12:13" x14ac:dyDescent="0.2">
      <c r="L1047" s="4">
        <v>1041</v>
      </c>
      <c r="M1047" s="21">
        <v>58414.125232964987</v>
      </c>
    </row>
    <row r="1048" spans="12:13" x14ac:dyDescent="0.2">
      <c r="L1048" s="4">
        <v>1042</v>
      </c>
      <c r="M1048" s="21">
        <v>221746.09256062401</v>
      </c>
    </row>
    <row r="1049" spans="12:13" x14ac:dyDescent="0.2">
      <c r="L1049" s="4">
        <v>1043</v>
      </c>
      <c r="M1049" s="21">
        <v>72341.383196270239</v>
      </c>
    </row>
    <row r="1050" spans="12:13" x14ac:dyDescent="0.2">
      <c r="L1050" s="4">
        <v>1044</v>
      </c>
      <c r="M1050" s="21">
        <v>-60227.696003376332</v>
      </c>
    </row>
    <row r="1051" spans="12:13" x14ac:dyDescent="0.2">
      <c r="L1051" s="4">
        <v>1045</v>
      </c>
      <c r="M1051" s="21">
        <v>-10837.932755115049</v>
      </c>
    </row>
    <row r="1052" spans="12:13" x14ac:dyDescent="0.2">
      <c r="L1052" s="4">
        <v>1046</v>
      </c>
      <c r="M1052" s="21">
        <v>37884.936874250707</v>
      </c>
    </row>
    <row r="1053" spans="12:13" x14ac:dyDescent="0.2">
      <c r="L1053" s="4">
        <v>1047</v>
      </c>
      <c r="M1053" s="21">
        <v>-112648.95292719758</v>
      </c>
    </row>
    <row r="1054" spans="12:13" x14ac:dyDescent="0.2">
      <c r="L1054" s="4">
        <v>1048</v>
      </c>
      <c r="M1054" s="21">
        <v>-293230.19628936797</v>
      </c>
    </row>
    <row r="1055" spans="12:13" x14ac:dyDescent="0.2">
      <c r="L1055" s="4">
        <v>1049</v>
      </c>
      <c r="M1055" s="21">
        <v>34444.480002558877</v>
      </c>
    </row>
    <row r="1056" spans="12:13" x14ac:dyDescent="0.2">
      <c r="L1056" s="4">
        <v>1050</v>
      </c>
      <c r="M1056" s="21">
        <v>254340.91801004697</v>
      </c>
    </row>
    <row r="1057" spans="12:13" x14ac:dyDescent="0.2">
      <c r="L1057" s="4">
        <v>1051</v>
      </c>
      <c r="M1057" s="21">
        <v>149479.52177747645</v>
      </c>
    </row>
    <row r="1058" spans="12:13" x14ac:dyDescent="0.2">
      <c r="L1058" s="4">
        <v>1052</v>
      </c>
      <c r="M1058" s="21">
        <v>-52341.179847679959</v>
      </c>
    </row>
    <row r="1059" spans="12:13" x14ac:dyDescent="0.2">
      <c r="L1059" s="4">
        <v>1053</v>
      </c>
      <c r="M1059" s="21">
        <v>-203602.20514231265</v>
      </c>
    </row>
    <row r="1060" spans="12:13" x14ac:dyDescent="0.2">
      <c r="L1060" s="4">
        <v>1054</v>
      </c>
      <c r="M1060" s="21">
        <v>25954.823710643861</v>
      </c>
    </row>
    <row r="1061" spans="12:13" x14ac:dyDescent="0.2">
      <c r="L1061" s="4">
        <v>1055</v>
      </c>
      <c r="M1061" s="21">
        <v>-282021.96729918162</v>
      </c>
    </row>
    <row r="1062" spans="12:13" x14ac:dyDescent="0.2">
      <c r="L1062" s="4">
        <v>1056</v>
      </c>
      <c r="M1062" s="21">
        <v>-13654.430876569386</v>
      </c>
    </row>
    <row r="1063" spans="12:13" x14ac:dyDescent="0.2">
      <c r="L1063" s="4">
        <v>1057</v>
      </c>
      <c r="M1063" s="21">
        <v>-101092.79681149648</v>
      </c>
    </row>
    <row r="1064" spans="12:13" x14ac:dyDescent="0.2">
      <c r="L1064" s="4">
        <v>1058</v>
      </c>
      <c r="M1064" s="21">
        <v>116048.11774072045</v>
      </c>
    </row>
    <row r="1065" spans="12:13" x14ac:dyDescent="0.2">
      <c r="L1065" s="4">
        <v>1059</v>
      </c>
      <c r="M1065" s="21">
        <v>93539.162662507268</v>
      </c>
    </row>
    <row r="1066" spans="12:13" x14ac:dyDescent="0.2">
      <c r="L1066" s="4">
        <v>1060</v>
      </c>
      <c r="M1066" s="21">
        <v>-126610.03329975139</v>
      </c>
    </row>
    <row r="1067" spans="12:13" x14ac:dyDescent="0.2">
      <c r="L1067" s="4">
        <v>1061</v>
      </c>
      <c r="M1067" s="21">
        <v>314362.40604862978</v>
      </c>
    </row>
    <row r="1068" spans="12:13" x14ac:dyDescent="0.2">
      <c r="L1068" s="4">
        <v>1062</v>
      </c>
      <c r="M1068" s="21">
        <v>11608.48300297666</v>
      </c>
    </row>
    <row r="1069" spans="12:13" x14ac:dyDescent="0.2">
      <c r="L1069" s="4">
        <v>1063</v>
      </c>
      <c r="M1069" s="21">
        <v>142780.21029889263</v>
      </c>
    </row>
    <row r="1070" spans="12:13" x14ac:dyDescent="0.2">
      <c r="L1070" s="4">
        <v>1064</v>
      </c>
      <c r="M1070" s="21">
        <v>108752.8687289134</v>
      </c>
    </row>
    <row r="1071" spans="12:13" x14ac:dyDescent="0.2">
      <c r="L1071" s="4">
        <v>1065</v>
      </c>
      <c r="M1071" s="21">
        <v>-29162.509173536426</v>
      </c>
    </row>
    <row r="1072" spans="12:13" x14ac:dyDescent="0.2">
      <c r="L1072" s="4">
        <v>1066</v>
      </c>
      <c r="M1072" s="21">
        <v>-145304.00445513168</v>
      </c>
    </row>
    <row r="1073" spans="12:13" x14ac:dyDescent="0.2">
      <c r="L1073" s="4">
        <v>1067</v>
      </c>
      <c r="M1073" s="21">
        <v>-137687.22495056753</v>
      </c>
    </row>
    <row r="1074" spans="12:13" x14ac:dyDescent="0.2">
      <c r="L1074" s="4">
        <v>1068</v>
      </c>
      <c r="M1074" s="21">
        <v>-146842.83442435309</v>
      </c>
    </row>
    <row r="1075" spans="12:13" x14ac:dyDescent="0.2">
      <c r="L1075" s="4">
        <v>1069</v>
      </c>
      <c r="M1075" s="21">
        <v>86535.408100310393</v>
      </c>
    </row>
    <row r="1076" spans="12:13" x14ac:dyDescent="0.2">
      <c r="L1076" s="4">
        <v>1070</v>
      </c>
      <c r="M1076" s="21">
        <v>123718.08668600363</v>
      </c>
    </row>
    <row r="1077" spans="12:13" x14ac:dyDescent="0.2">
      <c r="L1077" s="4">
        <v>1071</v>
      </c>
      <c r="M1077" s="21">
        <v>142679.73520124669</v>
      </c>
    </row>
    <row r="1078" spans="12:13" x14ac:dyDescent="0.2">
      <c r="L1078" s="4">
        <v>1072</v>
      </c>
      <c r="M1078" s="21">
        <v>9802.1738454412553</v>
      </c>
    </row>
    <row r="1079" spans="12:13" x14ac:dyDescent="0.2">
      <c r="L1079" s="4">
        <v>1073</v>
      </c>
      <c r="M1079" s="21">
        <v>-173575.01359684346</v>
      </c>
    </row>
    <row r="1080" spans="12:13" x14ac:dyDescent="0.2">
      <c r="L1080" s="4">
        <v>1074</v>
      </c>
      <c r="M1080" s="21">
        <v>210164.09921046498</v>
      </c>
    </row>
    <row r="1081" spans="12:13" x14ac:dyDescent="0.2">
      <c r="L1081" s="4">
        <v>1075</v>
      </c>
      <c r="M1081" s="21">
        <v>-346755.4398248276</v>
      </c>
    </row>
    <row r="1082" spans="12:13" x14ac:dyDescent="0.2">
      <c r="L1082" s="4">
        <v>1076</v>
      </c>
      <c r="M1082" s="21">
        <v>8903.50511290555</v>
      </c>
    </row>
    <row r="1083" spans="12:13" x14ac:dyDescent="0.2">
      <c r="L1083" s="4">
        <v>1077</v>
      </c>
      <c r="M1083" s="21">
        <v>-333231.8814620148</v>
      </c>
    </row>
    <row r="1084" spans="12:13" x14ac:dyDescent="0.2">
      <c r="L1084" s="4">
        <v>1078</v>
      </c>
      <c r="M1084" s="21">
        <v>-49667.936120059225</v>
      </c>
    </row>
    <row r="1085" spans="12:13" x14ac:dyDescent="0.2">
      <c r="L1085" s="4">
        <v>1079</v>
      </c>
      <c r="M1085" s="21">
        <v>-185799.81496589852</v>
      </c>
    </row>
    <row r="1086" spans="12:13" x14ac:dyDescent="0.2">
      <c r="L1086" s="4">
        <v>1080</v>
      </c>
      <c r="M1086" s="21">
        <v>200368.43149168341</v>
      </c>
    </row>
    <row r="1087" spans="12:13" x14ac:dyDescent="0.2">
      <c r="L1087" s="4">
        <v>1081</v>
      </c>
      <c r="M1087" s="21">
        <v>-219993.51275468816</v>
      </c>
    </row>
    <row r="1088" spans="12:13" x14ac:dyDescent="0.2">
      <c r="L1088" s="4">
        <v>1082</v>
      </c>
      <c r="M1088" s="21">
        <v>241973.69751494666</v>
      </c>
    </row>
    <row r="1089" spans="12:13" x14ac:dyDescent="0.2">
      <c r="L1089" s="4">
        <v>1083</v>
      </c>
      <c r="M1089" s="21">
        <v>-18624.452632580811</v>
      </c>
    </row>
    <row r="1090" spans="12:13" x14ac:dyDescent="0.2">
      <c r="L1090" s="4">
        <v>1084</v>
      </c>
      <c r="M1090" s="21">
        <v>-172689.50682198023</v>
      </c>
    </row>
    <row r="1091" spans="12:13" x14ac:dyDescent="0.2">
      <c r="L1091" s="4">
        <v>1085</v>
      </c>
      <c r="M1091" s="21">
        <v>-55987.869206408097</v>
      </c>
    </row>
    <row r="1092" spans="12:13" x14ac:dyDescent="0.2">
      <c r="L1092" s="4">
        <v>1086</v>
      </c>
      <c r="M1092" s="21">
        <v>163911.71992447056</v>
      </c>
    </row>
    <row r="1093" spans="12:13" x14ac:dyDescent="0.2">
      <c r="L1093" s="4">
        <v>1087</v>
      </c>
      <c r="M1093" s="21">
        <v>-145931.26874895449</v>
      </c>
    </row>
    <row r="1094" spans="12:13" x14ac:dyDescent="0.2">
      <c r="L1094" s="4">
        <v>1088</v>
      </c>
      <c r="M1094" s="21">
        <v>106151.47061725694</v>
      </c>
    </row>
    <row r="1095" spans="12:13" x14ac:dyDescent="0.2">
      <c r="L1095" s="4">
        <v>1089</v>
      </c>
      <c r="M1095" s="21">
        <v>72964.508633837831</v>
      </c>
    </row>
    <row r="1096" spans="12:13" x14ac:dyDescent="0.2">
      <c r="L1096" s="4">
        <v>1090</v>
      </c>
      <c r="M1096" s="21">
        <v>88337.441573762364</v>
      </c>
    </row>
    <row r="1097" spans="12:13" x14ac:dyDescent="0.2">
      <c r="L1097" s="4">
        <v>1091</v>
      </c>
      <c r="M1097" s="21">
        <v>-310861.29622063378</v>
      </c>
    </row>
    <row r="1098" spans="12:13" x14ac:dyDescent="0.2">
      <c r="L1098" s="4">
        <v>1092</v>
      </c>
      <c r="M1098" s="21">
        <v>-44661.51550149564</v>
      </c>
    </row>
    <row r="1099" spans="12:13" x14ac:dyDescent="0.2">
      <c r="L1099" s="4">
        <v>1093</v>
      </c>
      <c r="M1099" s="21">
        <v>-8172.7627951602335</v>
      </c>
    </row>
    <row r="1100" spans="12:13" x14ac:dyDescent="0.2">
      <c r="L1100" s="4">
        <v>1094</v>
      </c>
      <c r="M1100" s="21">
        <v>-59238.157459367547</v>
      </c>
    </row>
    <row r="1101" spans="12:13" x14ac:dyDescent="0.2">
      <c r="L1101" s="4">
        <v>1095</v>
      </c>
      <c r="M1101" s="21">
        <v>34885.391653327679</v>
      </c>
    </row>
    <row r="1102" spans="12:13" x14ac:dyDescent="0.2">
      <c r="L1102" s="4">
        <v>1096</v>
      </c>
      <c r="M1102" s="21">
        <v>17884.161035464553</v>
      </c>
    </row>
    <row r="1103" spans="12:13" x14ac:dyDescent="0.2">
      <c r="L1103" s="4">
        <v>1097</v>
      </c>
      <c r="M1103" s="21">
        <v>131264.774570056</v>
      </c>
    </row>
    <row r="1104" spans="12:13" x14ac:dyDescent="0.2">
      <c r="L1104" s="4">
        <v>1098</v>
      </c>
      <c r="M1104" s="21">
        <v>42340.689212568395</v>
      </c>
    </row>
    <row r="1105" spans="12:13" x14ac:dyDescent="0.2">
      <c r="L1105" s="4">
        <v>1099</v>
      </c>
      <c r="M1105" s="21">
        <v>-139913.15003044048</v>
      </c>
    </row>
    <row r="1106" spans="12:13" x14ac:dyDescent="0.2">
      <c r="L1106" s="4">
        <v>1100</v>
      </c>
      <c r="M1106" s="21">
        <v>-160627.34820158023</v>
      </c>
    </row>
    <row r="1107" spans="12:13" x14ac:dyDescent="0.2">
      <c r="L1107" s="4">
        <v>1101</v>
      </c>
      <c r="M1107" s="21">
        <v>-43502.706498042549</v>
      </c>
    </row>
    <row r="1108" spans="12:13" x14ac:dyDescent="0.2">
      <c r="L1108" s="4">
        <v>1102</v>
      </c>
      <c r="M1108" s="21">
        <v>-92383.247454599797</v>
      </c>
    </row>
    <row r="1109" spans="12:13" x14ac:dyDescent="0.2">
      <c r="L1109" s="4">
        <v>1103</v>
      </c>
      <c r="M1109" s="21">
        <v>-106626.37071339673</v>
      </c>
    </row>
    <row r="1110" spans="12:13" x14ac:dyDescent="0.2">
      <c r="L1110" s="4">
        <v>1104</v>
      </c>
      <c r="M1110" s="21">
        <v>198735.02582902618</v>
      </c>
    </row>
    <row r="1111" spans="12:13" x14ac:dyDescent="0.2">
      <c r="L1111" s="4">
        <v>1105</v>
      </c>
      <c r="M1111" s="21">
        <v>-243095.29744150079</v>
      </c>
    </row>
    <row r="1112" spans="12:13" x14ac:dyDescent="0.2">
      <c r="L1112" s="4">
        <v>1106</v>
      </c>
      <c r="M1112" s="21">
        <v>54057.649718270026</v>
      </c>
    </row>
    <row r="1113" spans="12:13" x14ac:dyDescent="0.2">
      <c r="L1113" s="4">
        <v>1107</v>
      </c>
      <c r="M1113" s="21">
        <v>-27849.853330614555</v>
      </c>
    </row>
    <row r="1114" spans="12:13" x14ac:dyDescent="0.2">
      <c r="L1114" s="4">
        <v>1108</v>
      </c>
      <c r="M1114" s="21">
        <v>9316.6084829182073</v>
      </c>
    </row>
    <row r="1115" spans="12:13" x14ac:dyDescent="0.2">
      <c r="L1115" s="4">
        <v>1109</v>
      </c>
      <c r="M1115" s="21">
        <v>-58542.895463047957</v>
      </c>
    </row>
    <row r="1116" spans="12:13" x14ac:dyDescent="0.2">
      <c r="L1116" s="4">
        <v>1110</v>
      </c>
      <c r="M1116" s="21">
        <v>-154077.58860818579</v>
      </c>
    </row>
    <row r="1117" spans="12:13" x14ac:dyDescent="0.2">
      <c r="L1117" s="4">
        <v>1111</v>
      </c>
      <c r="M1117" s="21">
        <v>1364.3549580426188</v>
      </c>
    </row>
    <row r="1118" spans="12:13" x14ac:dyDescent="0.2">
      <c r="L1118" s="4">
        <v>1112</v>
      </c>
      <c r="M1118" s="21">
        <v>-213776.71136464732</v>
      </c>
    </row>
    <row r="1119" spans="12:13" x14ac:dyDescent="0.2">
      <c r="L1119" s="4">
        <v>1113</v>
      </c>
      <c r="M1119" s="21">
        <v>91284.392732213601</v>
      </c>
    </row>
    <row r="1120" spans="12:13" x14ac:dyDescent="0.2">
      <c r="L1120" s="4">
        <v>1114</v>
      </c>
      <c r="M1120" s="21">
        <v>71869.763843470922</v>
      </c>
    </row>
    <row r="1121" spans="12:13" x14ac:dyDescent="0.2">
      <c r="L1121" s="4">
        <v>1115</v>
      </c>
      <c r="M1121" s="21">
        <v>85887.940841394593</v>
      </c>
    </row>
    <row r="1122" spans="12:13" x14ac:dyDescent="0.2">
      <c r="L1122" s="4">
        <v>1116</v>
      </c>
      <c r="M1122" s="21">
        <v>-28356.489409754722</v>
      </c>
    </row>
    <row r="1123" spans="12:13" x14ac:dyDescent="0.2">
      <c r="L1123" s="4">
        <v>1117</v>
      </c>
      <c r="M1123" s="21">
        <v>-176397.49567272532</v>
      </c>
    </row>
    <row r="1124" spans="12:13" x14ac:dyDescent="0.2">
      <c r="L1124" s="4">
        <v>1118</v>
      </c>
      <c r="M1124" s="21">
        <v>-146323.29200979392</v>
      </c>
    </row>
    <row r="1125" spans="12:13" x14ac:dyDescent="0.2">
      <c r="L1125" s="4">
        <v>1119</v>
      </c>
      <c r="M1125" s="21">
        <v>-332119.57986403379</v>
      </c>
    </row>
    <row r="1126" spans="12:13" x14ac:dyDescent="0.2">
      <c r="L1126" s="4">
        <v>1120</v>
      </c>
      <c r="M1126" s="21">
        <v>239014.96214931304</v>
      </c>
    </row>
    <row r="1127" spans="12:13" x14ac:dyDescent="0.2">
      <c r="L1127" s="4">
        <v>1121</v>
      </c>
      <c r="M1127" s="21">
        <v>-127719.32082189681</v>
      </c>
    </row>
    <row r="1128" spans="12:13" x14ac:dyDescent="0.2">
      <c r="L1128" s="4">
        <v>1122</v>
      </c>
      <c r="M1128" s="21">
        <v>67464.508828991762</v>
      </c>
    </row>
    <row r="1129" spans="12:13" x14ac:dyDescent="0.2">
      <c r="L1129" s="4">
        <v>1123</v>
      </c>
      <c r="M1129" s="21">
        <v>59626.536531074467</v>
      </c>
    </row>
    <row r="1130" spans="12:13" x14ac:dyDescent="0.2">
      <c r="L1130" s="4">
        <v>1124</v>
      </c>
      <c r="M1130" s="21">
        <v>-9932.3590600191819</v>
      </c>
    </row>
    <row r="1131" spans="12:13" x14ac:dyDescent="0.2">
      <c r="L1131" s="4">
        <v>1125</v>
      </c>
      <c r="M1131" s="21">
        <v>-37765.538909812574</v>
      </c>
    </row>
    <row r="1132" spans="12:13" x14ac:dyDescent="0.2">
      <c r="L1132" s="4">
        <v>1126</v>
      </c>
      <c r="M1132" s="21">
        <v>38915.47633497513</v>
      </c>
    </row>
    <row r="1133" spans="12:13" x14ac:dyDescent="0.2">
      <c r="L1133" s="4">
        <v>1127</v>
      </c>
      <c r="M1133" s="21">
        <v>-73030.868052992984</v>
      </c>
    </row>
    <row r="1134" spans="12:13" x14ac:dyDescent="0.2">
      <c r="L1134" s="4">
        <v>1128</v>
      </c>
      <c r="M1134" s="21">
        <v>-113088.63455535882</v>
      </c>
    </row>
    <row r="1135" spans="12:13" x14ac:dyDescent="0.2">
      <c r="L1135" s="4">
        <v>1129</v>
      </c>
      <c r="M1135" s="21">
        <v>2864.9222800570715</v>
      </c>
    </row>
    <row r="1136" spans="12:13" x14ac:dyDescent="0.2">
      <c r="L1136" s="4">
        <v>1130</v>
      </c>
      <c r="M1136" s="21">
        <v>-108459.57707423305</v>
      </c>
    </row>
    <row r="1137" spans="12:13" x14ac:dyDescent="0.2">
      <c r="L1137" s="4">
        <v>1131</v>
      </c>
      <c r="M1137" s="21">
        <v>69731.7087554764</v>
      </c>
    </row>
    <row r="1138" spans="12:13" x14ac:dyDescent="0.2">
      <c r="L1138" s="4">
        <v>1132</v>
      </c>
      <c r="M1138" s="21">
        <v>-126290.45264622507</v>
      </c>
    </row>
    <row r="1139" spans="12:13" x14ac:dyDescent="0.2">
      <c r="L1139" s="4">
        <v>1133</v>
      </c>
      <c r="M1139" s="21">
        <v>-63561.106106304986</v>
      </c>
    </row>
    <row r="1140" spans="12:13" x14ac:dyDescent="0.2">
      <c r="L1140" s="4">
        <v>1134</v>
      </c>
      <c r="M1140" s="21">
        <v>-153331.48138620349</v>
      </c>
    </row>
    <row r="1141" spans="12:13" x14ac:dyDescent="0.2">
      <c r="L1141" s="4">
        <v>1135</v>
      </c>
      <c r="M1141" s="21">
        <v>149788.99389542494</v>
      </c>
    </row>
    <row r="1142" spans="12:13" x14ac:dyDescent="0.2">
      <c r="L1142" s="4">
        <v>1136</v>
      </c>
      <c r="M1142" s="21">
        <v>-165.03795144009928</v>
      </c>
    </row>
    <row r="1143" spans="12:13" x14ac:dyDescent="0.2">
      <c r="L1143" s="4">
        <v>1137</v>
      </c>
      <c r="M1143" s="21">
        <v>-68362.907984924197</v>
      </c>
    </row>
    <row r="1144" spans="12:13" x14ac:dyDescent="0.2">
      <c r="L1144" s="4">
        <v>1138</v>
      </c>
      <c r="M1144" s="21">
        <v>1012.9166008027678</v>
      </c>
    </row>
    <row r="1145" spans="12:13" x14ac:dyDescent="0.2">
      <c r="L1145" s="4">
        <v>1139</v>
      </c>
      <c r="M1145" s="21">
        <v>166800.05237302955</v>
      </c>
    </row>
    <row r="1146" spans="12:13" x14ac:dyDescent="0.2">
      <c r="L1146" s="4">
        <v>1140</v>
      </c>
      <c r="M1146" s="21">
        <v>10329.467700573296</v>
      </c>
    </row>
    <row r="1147" spans="12:13" x14ac:dyDescent="0.2">
      <c r="L1147" s="4">
        <v>1141</v>
      </c>
      <c r="M1147" s="21">
        <v>42708.98723562606</v>
      </c>
    </row>
    <row r="1148" spans="12:13" x14ac:dyDescent="0.2">
      <c r="L1148" s="4">
        <v>1142</v>
      </c>
      <c r="M1148" s="21">
        <v>-31107.451523738433</v>
      </c>
    </row>
    <row r="1149" spans="12:13" x14ac:dyDescent="0.2">
      <c r="L1149" s="4">
        <v>1143</v>
      </c>
      <c r="M1149" s="21">
        <v>60258.019111943082</v>
      </c>
    </row>
    <row r="1150" spans="12:13" x14ac:dyDescent="0.2">
      <c r="L1150" s="4">
        <v>1144</v>
      </c>
      <c r="M1150" s="21">
        <v>-261740.30876907986</v>
      </c>
    </row>
    <row r="1151" spans="12:13" x14ac:dyDescent="0.2">
      <c r="L1151" s="4">
        <v>1145</v>
      </c>
      <c r="M1151" s="21">
        <v>-258337.13083847723</v>
      </c>
    </row>
    <row r="1152" spans="12:13" x14ac:dyDescent="0.2">
      <c r="L1152" s="4">
        <v>1146</v>
      </c>
      <c r="M1152" s="21">
        <v>146028.95862339332</v>
      </c>
    </row>
    <row r="1153" spans="12:13" x14ac:dyDescent="0.2">
      <c r="L1153" s="4">
        <v>1147</v>
      </c>
      <c r="M1153" s="21">
        <v>-72074.57555227878</v>
      </c>
    </row>
    <row r="1154" spans="12:13" x14ac:dyDescent="0.2">
      <c r="L1154" s="4">
        <v>1148</v>
      </c>
      <c r="M1154" s="21">
        <v>109655.75011574171</v>
      </c>
    </row>
    <row r="1155" spans="12:13" x14ac:dyDescent="0.2">
      <c r="L1155" s="4">
        <v>1149</v>
      </c>
      <c r="M1155" s="21">
        <v>-272870.88094217639</v>
      </c>
    </row>
    <row r="1156" spans="12:13" x14ac:dyDescent="0.2">
      <c r="L1156" s="4">
        <v>1150</v>
      </c>
      <c r="M1156" s="21">
        <v>-191449.32986694633</v>
      </c>
    </row>
    <row r="1157" spans="12:13" x14ac:dyDescent="0.2">
      <c r="L1157" s="4">
        <v>1151</v>
      </c>
      <c r="M1157" s="21">
        <v>183837.33776461147</v>
      </c>
    </row>
    <row r="1158" spans="12:13" x14ac:dyDescent="0.2">
      <c r="L1158" s="4">
        <v>1152</v>
      </c>
      <c r="M1158" s="21">
        <v>-193087.32080400296</v>
      </c>
    </row>
    <row r="1159" spans="12:13" x14ac:dyDescent="0.2">
      <c r="L1159" s="4">
        <v>1153</v>
      </c>
      <c r="M1159" s="21">
        <v>11657.640312130388</v>
      </c>
    </row>
    <row r="1160" spans="12:13" x14ac:dyDescent="0.2">
      <c r="L1160" s="4">
        <v>1154</v>
      </c>
      <c r="M1160" s="21">
        <v>61320.678106389561</v>
      </c>
    </row>
    <row r="1161" spans="12:13" x14ac:dyDescent="0.2">
      <c r="L1161" s="4">
        <v>1155</v>
      </c>
      <c r="M1161" s="21">
        <v>-233385.88426763317</v>
      </c>
    </row>
    <row r="1162" spans="12:13" x14ac:dyDescent="0.2">
      <c r="L1162" s="4">
        <v>1156</v>
      </c>
      <c r="M1162" s="21">
        <v>122359.29607618524</v>
      </c>
    </row>
    <row r="1163" spans="12:13" x14ac:dyDescent="0.2">
      <c r="L1163" s="4">
        <v>1157</v>
      </c>
      <c r="M1163" s="21">
        <v>34536.623262501555</v>
      </c>
    </row>
    <row r="1164" spans="12:13" x14ac:dyDescent="0.2">
      <c r="L1164" s="4">
        <v>1158</v>
      </c>
      <c r="M1164" s="21">
        <v>8361.1217745043396</v>
      </c>
    </row>
    <row r="1165" spans="12:13" x14ac:dyDescent="0.2">
      <c r="L1165" s="4">
        <v>1159</v>
      </c>
      <c r="M1165" s="21">
        <v>-142643.54279264936</v>
      </c>
    </row>
    <row r="1166" spans="12:13" x14ac:dyDescent="0.2">
      <c r="L1166" s="4">
        <v>1160</v>
      </c>
      <c r="M1166" s="21">
        <v>33000.699180062365</v>
      </c>
    </row>
    <row r="1167" spans="12:13" x14ac:dyDescent="0.2">
      <c r="L1167" s="4">
        <v>1161</v>
      </c>
      <c r="M1167" s="21">
        <v>18724.403389192361</v>
      </c>
    </row>
    <row r="1168" spans="12:13" x14ac:dyDescent="0.2">
      <c r="L1168" s="4">
        <v>1162</v>
      </c>
      <c r="M1168" s="21">
        <v>552.67361971150967</v>
      </c>
    </row>
    <row r="1169" spans="12:13" x14ac:dyDescent="0.2">
      <c r="L1169" s="4">
        <v>1163</v>
      </c>
      <c r="M1169" s="21">
        <v>76235.482808996661</v>
      </c>
    </row>
    <row r="1170" spans="12:13" x14ac:dyDescent="0.2">
      <c r="L1170" s="4">
        <v>1164</v>
      </c>
      <c r="M1170" s="21">
        <v>-217758.03464620738</v>
      </c>
    </row>
    <row r="1171" spans="12:13" x14ac:dyDescent="0.2">
      <c r="L1171" s="4">
        <v>1165</v>
      </c>
      <c r="M1171" s="21">
        <v>87894.231023204571</v>
      </c>
    </row>
    <row r="1172" spans="12:13" x14ac:dyDescent="0.2">
      <c r="L1172" s="4">
        <v>1166</v>
      </c>
      <c r="M1172" s="21">
        <v>65817.337866380956</v>
      </c>
    </row>
    <row r="1173" spans="12:13" x14ac:dyDescent="0.2">
      <c r="L1173" s="4">
        <v>1167</v>
      </c>
      <c r="M1173" s="21">
        <v>10723.04593120169</v>
      </c>
    </row>
    <row r="1174" spans="12:13" x14ac:dyDescent="0.2">
      <c r="L1174" s="4">
        <v>1168</v>
      </c>
      <c r="M1174" s="21">
        <v>-109043.88844387389</v>
      </c>
    </row>
    <row r="1175" spans="12:13" x14ac:dyDescent="0.2">
      <c r="L1175" s="4">
        <v>1169</v>
      </c>
      <c r="M1175" s="21">
        <v>-263581.08396870224</v>
      </c>
    </row>
    <row r="1176" spans="12:13" x14ac:dyDescent="0.2">
      <c r="L1176" s="4">
        <v>1170</v>
      </c>
      <c r="M1176" s="21">
        <v>121009.23287951411</v>
      </c>
    </row>
    <row r="1177" spans="12:13" x14ac:dyDescent="0.2">
      <c r="L1177" s="4">
        <v>1171</v>
      </c>
      <c r="M1177" s="21">
        <v>93131.400903343427</v>
      </c>
    </row>
    <row r="1178" spans="12:13" x14ac:dyDescent="0.2">
      <c r="L1178" s="4">
        <v>1172</v>
      </c>
      <c r="M1178" s="21">
        <v>25182.996258916013</v>
      </c>
    </row>
    <row r="1179" spans="12:13" x14ac:dyDescent="0.2">
      <c r="L1179" s="4">
        <v>1173</v>
      </c>
      <c r="M1179" s="21">
        <v>363016.04231592792</v>
      </c>
    </row>
    <row r="1180" spans="12:13" x14ac:dyDescent="0.2">
      <c r="L1180" s="4">
        <v>1174</v>
      </c>
      <c r="M1180" s="21">
        <v>235365.87952461361</v>
      </c>
    </row>
    <row r="1181" spans="12:13" x14ac:dyDescent="0.2">
      <c r="L1181" s="4">
        <v>1175</v>
      </c>
      <c r="M1181" s="21">
        <v>53618.367394424131</v>
      </c>
    </row>
    <row r="1182" spans="12:13" x14ac:dyDescent="0.2">
      <c r="L1182" s="4">
        <v>1176</v>
      </c>
      <c r="M1182" s="21">
        <v>197730.469145143</v>
      </c>
    </row>
    <row r="1183" spans="12:13" x14ac:dyDescent="0.2">
      <c r="L1183" s="4">
        <v>1177</v>
      </c>
      <c r="M1183" s="21">
        <v>-58593.305832143771</v>
      </c>
    </row>
    <row r="1184" spans="12:13" x14ac:dyDescent="0.2">
      <c r="L1184" s="4">
        <v>1178</v>
      </c>
      <c r="M1184" s="21">
        <v>-2437.3454594471987</v>
      </c>
    </row>
    <row r="1185" spans="12:13" x14ac:dyDescent="0.2">
      <c r="L1185" s="4">
        <v>1179</v>
      </c>
      <c r="M1185" s="21">
        <v>34718.635377538681</v>
      </c>
    </row>
    <row r="1186" spans="12:13" x14ac:dyDescent="0.2">
      <c r="L1186" s="4">
        <v>1180</v>
      </c>
      <c r="M1186" s="21">
        <v>-87628.076620256921</v>
      </c>
    </row>
    <row r="1187" spans="12:13" x14ac:dyDescent="0.2">
      <c r="L1187" s="4">
        <v>1181</v>
      </c>
      <c r="M1187" s="21">
        <v>-289242.73873805732</v>
      </c>
    </row>
    <row r="1188" spans="12:13" x14ac:dyDescent="0.2">
      <c r="L1188" s="4">
        <v>1182</v>
      </c>
      <c r="M1188" s="21">
        <v>-19258.414485938934</v>
      </c>
    </row>
    <row r="1189" spans="12:13" x14ac:dyDescent="0.2">
      <c r="L1189" s="4">
        <v>1183</v>
      </c>
      <c r="M1189" s="21">
        <v>106970.58572761391</v>
      </c>
    </row>
    <row r="1190" spans="12:13" x14ac:dyDescent="0.2">
      <c r="L1190" s="4">
        <v>1184</v>
      </c>
      <c r="M1190" s="21">
        <v>22233.901145234093</v>
      </c>
    </row>
    <row r="1191" spans="12:13" x14ac:dyDescent="0.2">
      <c r="L1191" s="4">
        <v>1185</v>
      </c>
      <c r="M1191" s="21">
        <v>-171893.0273525159</v>
      </c>
    </row>
    <row r="1192" spans="12:13" x14ac:dyDescent="0.2">
      <c r="L1192" s="4">
        <v>1186</v>
      </c>
      <c r="M1192" s="21">
        <v>41565.676767601253</v>
      </c>
    </row>
    <row r="1193" spans="12:13" x14ac:dyDescent="0.2">
      <c r="L1193" s="4">
        <v>1187</v>
      </c>
      <c r="M1193" s="21">
        <v>-14519.24190377981</v>
      </c>
    </row>
    <row r="1194" spans="12:13" x14ac:dyDescent="0.2">
      <c r="L1194" s="4">
        <v>1188</v>
      </c>
      <c r="M1194" s="21">
        <v>89513.197597951104</v>
      </c>
    </row>
    <row r="1195" spans="12:13" x14ac:dyDescent="0.2">
      <c r="L1195" s="4">
        <v>1189</v>
      </c>
      <c r="M1195" s="21">
        <v>116310.33277009256</v>
      </c>
    </row>
    <row r="1196" spans="12:13" x14ac:dyDescent="0.2">
      <c r="L1196" s="4">
        <v>1190</v>
      </c>
      <c r="M1196" s="21">
        <v>-172097.0128976306</v>
      </c>
    </row>
    <row r="1197" spans="12:13" x14ac:dyDescent="0.2">
      <c r="L1197" s="4">
        <v>1191</v>
      </c>
      <c r="M1197" s="21">
        <v>-259519.43374995008</v>
      </c>
    </row>
    <row r="1198" spans="12:13" x14ac:dyDescent="0.2">
      <c r="L1198" s="4">
        <v>1192</v>
      </c>
      <c r="M1198" s="21">
        <v>-58077.498218562716</v>
      </c>
    </row>
    <row r="1199" spans="12:13" x14ac:dyDescent="0.2">
      <c r="L1199" s="4">
        <v>1193</v>
      </c>
      <c r="M1199" s="21">
        <v>-219760.12592247553</v>
      </c>
    </row>
    <row r="1200" spans="12:13" x14ac:dyDescent="0.2">
      <c r="L1200" s="4">
        <v>1194</v>
      </c>
      <c r="M1200" s="21">
        <v>30502.95180252791</v>
      </c>
    </row>
    <row r="1201" spans="12:13" x14ac:dyDescent="0.2">
      <c r="L1201" s="4">
        <v>1195</v>
      </c>
      <c r="M1201" s="21">
        <v>72269.334063559916</v>
      </c>
    </row>
    <row r="1202" spans="12:13" x14ac:dyDescent="0.2">
      <c r="L1202" s="4">
        <v>1196</v>
      </c>
      <c r="M1202" s="21">
        <v>26249.192559447052</v>
      </c>
    </row>
    <row r="1203" spans="12:13" x14ac:dyDescent="0.2">
      <c r="L1203" s="4">
        <v>1197</v>
      </c>
      <c r="M1203" s="21">
        <v>82896.542014811363</v>
      </c>
    </row>
    <row r="1204" spans="12:13" x14ac:dyDescent="0.2">
      <c r="L1204" s="4">
        <v>1198</v>
      </c>
      <c r="M1204" s="21">
        <v>-72215.593572977305</v>
      </c>
    </row>
    <row r="1205" spans="12:13" x14ac:dyDescent="0.2">
      <c r="L1205" s="4">
        <v>1199</v>
      </c>
      <c r="M1205" s="21">
        <v>-18618.68468568004</v>
      </c>
    </row>
    <row r="1206" spans="12:13" x14ac:dyDescent="0.2">
      <c r="L1206" s="4">
        <v>1200</v>
      </c>
      <c r="M1206" s="21">
        <v>116283.39659016347</v>
      </c>
    </row>
    <row r="1207" spans="12:13" x14ac:dyDescent="0.2">
      <c r="L1207" s="4">
        <v>1201</v>
      </c>
      <c r="M1207" s="21">
        <v>-184841.17994035204</v>
      </c>
    </row>
    <row r="1208" spans="12:13" x14ac:dyDescent="0.2">
      <c r="L1208" s="4">
        <v>1202</v>
      </c>
      <c r="M1208" s="21">
        <v>-258938.47458490878</v>
      </c>
    </row>
    <row r="1209" spans="12:13" x14ac:dyDescent="0.2">
      <c r="L1209" s="4">
        <v>1203</v>
      </c>
      <c r="M1209" s="21">
        <v>48020.010497492709</v>
      </c>
    </row>
    <row r="1210" spans="12:13" x14ac:dyDescent="0.2">
      <c r="L1210" s="4">
        <v>1204</v>
      </c>
      <c r="M1210" s="21">
        <v>-115570.90898262628</v>
      </c>
    </row>
    <row r="1211" spans="12:13" x14ac:dyDescent="0.2">
      <c r="L1211" s="4">
        <v>1205</v>
      </c>
      <c r="M1211" s="21">
        <v>-142990.89611006243</v>
      </c>
    </row>
    <row r="1212" spans="12:13" x14ac:dyDescent="0.2">
      <c r="L1212" s="4">
        <v>1206</v>
      </c>
      <c r="M1212" s="21">
        <v>254279.3787108906</v>
      </c>
    </row>
    <row r="1213" spans="12:13" x14ac:dyDescent="0.2">
      <c r="L1213" s="4">
        <v>1207</v>
      </c>
      <c r="M1213" s="21">
        <v>255060.53097838757</v>
      </c>
    </row>
    <row r="1214" spans="12:13" x14ac:dyDescent="0.2">
      <c r="L1214" s="4">
        <v>1208</v>
      </c>
      <c r="M1214" s="21">
        <v>-138374.1433816709</v>
      </c>
    </row>
    <row r="1215" spans="12:13" x14ac:dyDescent="0.2">
      <c r="L1215" s="4">
        <v>1209</v>
      </c>
      <c r="M1215" s="21">
        <v>-20905.287903609671</v>
      </c>
    </row>
    <row r="1216" spans="12:13" x14ac:dyDescent="0.2">
      <c r="L1216" s="4">
        <v>1210</v>
      </c>
      <c r="M1216" s="21">
        <v>-262989.95301561581</v>
      </c>
    </row>
    <row r="1217" spans="12:13" x14ac:dyDescent="0.2">
      <c r="L1217" s="4">
        <v>1211</v>
      </c>
      <c r="M1217" s="21">
        <v>163049.70092444672</v>
      </c>
    </row>
    <row r="1218" spans="12:13" x14ac:dyDescent="0.2">
      <c r="L1218" s="4">
        <v>1212</v>
      </c>
      <c r="M1218" s="21">
        <v>-20669.900915286387</v>
      </c>
    </row>
    <row r="1219" spans="12:13" x14ac:dyDescent="0.2">
      <c r="L1219" s="4">
        <v>1213</v>
      </c>
      <c r="M1219" s="21">
        <v>25611.36385681649</v>
      </c>
    </row>
    <row r="1220" spans="12:13" x14ac:dyDescent="0.2">
      <c r="L1220" s="4">
        <v>1214</v>
      </c>
      <c r="M1220" s="21">
        <v>167678.35028665114</v>
      </c>
    </row>
    <row r="1221" spans="12:13" x14ac:dyDescent="0.2">
      <c r="L1221" s="4">
        <v>1215</v>
      </c>
      <c r="M1221" s="21">
        <v>-89839.146458243806</v>
      </c>
    </row>
    <row r="1222" spans="12:13" x14ac:dyDescent="0.2">
      <c r="L1222" s="4">
        <v>1216</v>
      </c>
      <c r="M1222" s="21">
        <v>-191338.004267551</v>
      </c>
    </row>
    <row r="1223" spans="12:13" x14ac:dyDescent="0.2">
      <c r="L1223" s="4">
        <v>1217</v>
      </c>
      <c r="M1223" s="21">
        <v>94074.900118818856</v>
      </c>
    </row>
    <row r="1224" spans="12:13" x14ac:dyDescent="0.2">
      <c r="L1224" s="4">
        <v>1218</v>
      </c>
      <c r="M1224" s="21">
        <v>38225.848467510194</v>
      </c>
    </row>
    <row r="1225" spans="12:13" x14ac:dyDescent="0.2">
      <c r="L1225" s="4">
        <v>1219</v>
      </c>
      <c r="M1225" s="21">
        <v>65647.577663229225</v>
      </c>
    </row>
    <row r="1226" spans="12:13" x14ac:dyDescent="0.2">
      <c r="L1226" s="4">
        <v>1220</v>
      </c>
      <c r="M1226" s="21">
        <v>-231761.38067790674</v>
      </c>
    </row>
    <row r="1227" spans="12:13" x14ac:dyDescent="0.2">
      <c r="L1227" s="4">
        <v>1221</v>
      </c>
      <c r="M1227" s="21">
        <v>-71137.196722108609</v>
      </c>
    </row>
    <row r="1228" spans="12:13" x14ac:dyDescent="0.2">
      <c r="L1228" s="4">
        <v>1222</v>
      </c>
      <c r="M1228" s="21">
        <v>-239494.3128899216</v>
      </c>
    </row>
    <row r="1229" spans="12:13" x14ac:dyDescent="0.2">
      <c r="L1229" s="4">
        <v>1223</v>
      </c>
      <c r="M1229" s="21">
        <v>4851.1011462112947</v>
      </c>
    </row>
    <row r="1230" spans="12:13" x14ac:dyDescent="0.2">
      <c r="L1230" s="4">
        <v>1224</v>
      </c>
      <c r="M1230" s="21">
        <v>-84587.280492232385</v>
      </c>
    </row>
    <row r="1231" spans="12:13" x14ac:dyDescent="0.2">
      <c r="L1231" s="4">
        <v>1225</v>
      </c>
      <c r="M1231" s="21">
        <v>-29618.527248948347</v>
      </c>
    </row>
    <row r="1232" spans="12:13" x14ac:dyDescent="0.2">
      <c r="L1232" s="4">
        <v>1226</v>
      </c>
      <c r="M1232" s="21">
        <v>-121957.11837482646</v>
      </c>
    </row>
    <row r="1233" spans="12:13" x14ac:dyDescent="0.2">
      <c r="L1233" s="4">
        <v>1227</v>
      </c>
      <c r="M1233" s="21">
        <v>95054.375072402094</v>
      </c>
    </row>
    <row r="1234" spans="12:13" x14ac:dyDescent="0.2">
      <c r="L1234" s="4">
        <v>1228</v>
      </c>
      <c r="M1234" s="21">
        <v>-89707.028386467849</v>
      </c>
    </row>
    <row r="1235" spans="12:13" x14ac:dyDescent="0.2">
      <c r="L1235" s="4">
        <v>1229</v>
      </c>
      <c r="M1235" s="21">
        <v>109864.73482635038</v>
      </c>
    </row>
    <row r="1236" spans="12:13" x14ac:dyDescent="0.2">
      <c r="L1236" s="4">
        <v>1230</v>
      </c>
      <c r="M1236" s="21">
        <v>80580.079377876857</v>
      </c>
    </row>
    <row r="1237" spans="12:13" x14ac:dyDescent="0.2">
      <c r="L1237" s="4">
        <v>1231</v>
      </c>
      <c r="M1237" s="21">
        <v>-118846.12268815628</v>
      </c>
    </row>
    <row r="1238" spans="12:13" x14ac:dyDescent="0.2">
      <c r="L1238" s="4">
        <v>1232</v>
      </c>
      <c r="M1238" s="21">
        <v>200883.34891613727</v>
      </c>
    </row>
    <row r="1239" spans="12:13" x14ac:dyDescent="0.2">
      <c r="L1239" s="4">
        <v>1233</v>
      </c>
      <c r="M1239" s="21">
        <v>-83338.526163466871</v>
      </c>
    </row>
    <row r="1240" spans="12:13" x14ac:dyDescent="0.2">
      <c r="L1240" s="4">
        <v>1234</v>
      </c>
      <c r="M1240" s="21">
        <v>-123914.70333399616</v>
      </c>
    </row>
    <row r="1241" spans="12:13" x14ac:dyDescent="0.2">
      <c r="L1241" s="4">
        <v>1235</v>
      </c>
      <c r="M1241" s="21">
        <v>-23553.314019070414</v>
      </c>
    </row>
    <row r="1242" spans="12:13" x14ac:dyDescent="0.2">
      <c r="L1242" s="4">
        <v>1236</v>
      </c>
      <c r="M1242" s="21">
        <v>-107791.1731616725</v>
      </c>
    </row>
    <row r="1243" spans="12:13" x14ac:dyDescent="0.2">
      <c r="L1243" s="4">
        <v>1237</v>
      </c>
      <c r="M1243" s="21">
        <v>-129991.30684785439</v>
      </c>
    </row>
    <row r="1244" spans="12:13" x14ac:dyDescent="0.2">
      <c r="L1244" s="4">
        <v>1238</v>
      </c>
      <c r="M1244" s="21">
        <v>108739.34991936194</v>
      </c>
    </row>
    <row r="1245" spans="12:13" x14ac:dyDescent="0.2">
      <c r="L1245" s="4">
        <v>1239</v>
      </c>
      <c r="M1245" s="21">
        <v>-97643.549590936716</v>
      </c>
    </row>
    <row r="1246" spans="12:13" x14ac:dyDescent="0.2">
      <c r="L1246" s="4">
        <v>1240</v>
      </c>
      <c r="M1246" s="21">
        <v>-101388.51637702133</v>
      </c>
    </row>
    <row r="1247" spans="12:13" x14ac:dyDescent="0.2">
      <c r="L1247" s="4">
        <v>1241</v>
      </c>
      <c r="M1247" s="21">
        <v>87464.301717848022</v>
      </c>
    </row>
    <row r="1248" spans="12:13" x14ac:dyDescent="0.2">
      <c r="L1248" s="4">
        <v>1242</v>
      </c>
      <c r="M1248" s="21">
        <v>-200447.9700098201</v>
      </c>
    </row>
    <row r="1249" spans="12:13" x14ac:dyDescent="0.2">
      <c r="L1249" s="4">
        <v>1243</v>
      </c>
      <c r="M1249" s="21">
        <v>-280783.85816181765</v>
      </c>
    </row>
    <row r="1250" spans="12:13" x14ac:dyDescent="0.2">
      <c r="L1250" s="4">
        <v>1244</v>
      </c>
      <c r="M1250" s="21">
        <v>101539.35643989028</v>
      </c>
    </row>
    <row r="1251" spans="12:13" x14ac:dyDescent="0.2">
      <c r="L1251" s="4">
        <v>1245</v>
      </c>
      <c r="M1251" s="21">
        <v>-53134.291855576928</v>
      </c>
    </row>
    <row r="1252" spans="12:13" x14ac:dyDescent="0.2">
      <c r="L1252" s="4">
        <v>1246</v>
      </c>
      <c r="M1252" s="21">
        <v>199397.74973912892</v>
      </c>
    </row>
    <row r="1253" spans="12:13" x14ac:dyDescent="0.2">
      <c r="L1253" s="4">
        <v>1247</v>
      </c>
      <c r="M1253" s="21">
        <v>165159.10658266529</v>
      </c>
    </row>
    <row r="1254" spans="12:13" x14ac:dyDescent="0.2">
      <c r="L1254" s="4">
        <v>1248</v>
      </c>
      <c r="M1254" s="21">
        <v>172736.36266034521</v>
      </c>
    </row>
    <row r="1255" spans="12:13" x14ac:dyDescent="0.2">
      <c r="L1255" s="4">
        <v>1249</v>
      </c>
      <c r="M1255" s="21">
        <v>93250.563680305087</v>
      </c>
    </row>
    <row r="1256" spans="12:13" x14ac:dyDescent="0.2">
      <c r="L1256" s="4">
        <v>1250</v>
      </c>
      <c r="M1256" s="21">
        <v>-121660.26341364613</v>
      </c>
    </row>
    <row r="1257" spans="12:13" x14ac:dyDescent="0.2">
      <c r="L1257" s="4">
        <v>1251</v>
      </c>
      <c r="M1257" s="21">
        <v>-151938.77263892459</v>
      </c>
    </row>
    <row r="1258" spans="12:13" x14ac:dyDescent="0.2">
      <c r="L1258" s="4">
        <v>1252</v>
      </c>
      <c r="M1258" s="21">
        <v>-247906.59122871788</v>
      </c>
    </row>
    <row r="1259" spans="12:13" x14ac:dyDescent="0.2">
      <c r="L1259" s="4">
        <v>1253</v>
      </c>
      <c r="M1259" s="21">
        <v>61275.340773797827</v>
      </c>
    </row>
    <row r="1260" spans="12:13" x14ac:dyDescent="0.2">
      <c r="L1260" s="4">
        <v>1254</v>
      </c>
      <c r="M1260" s="21">
        <v>-63677.036101413134</v>
      </c>
    </row>
    <row r="1261" spans="12:13" x14ac:dyDescent="0.2">
      <c r="L1261" s="4">
        <v>1255</v>
      </c>
      <c r="M1261" s="21">
        <v>122730.79907695868</v>
      </c>
    </row>
    <row r="1262" spans="12:13" x14ac:dyDescent="0.2">
      <c r="L1262" s="4">
        <v>1256</v>
      </c>
      <c r="M1262" s="21">
        <v>30729.567190337519</v>
      </c>
    </row>
    <row r="1263" spans="12:13" x14ac:dyDescent="0.2">
      <c r="L1263" s="4">
        <v>1257</v>
      </c>
      <c r="M1263" s="21">
        <v>-308404.85148398578</v>
      </c>
    </row>
    <row r="1264" spans="12:13" x14ac:dyDescent="0.2">
      <c r="L1264" s="4">
        <v>1258</v>
      </c>
      <c r="M1264" s="21">
        <v>146898.93661972217</v>
      </c>
    </row>
    <row r="1265" spans="12:13" x14ac:dyDescent="0.2">
      <c r="L1265" s="4">
        <v>1259</v>
      </c>
      <c r="M1265" s="21">
        <v>-45287.570595820012</v>
      </c>
    </row>
    <row r="1266" spans="12:13" x14ac:dyDescent="0.2">
      <c r="L1266" s="4">
        <v>1260</v>
      </c>
      <c r="M1266" s="21">
        <v>-135349.81760489417</v>
      </c>
    </row>
    <row r="1267" spans="12:13" x14ac:dyDescent="0.2">
      <c r="L1267" s="4">
        <v>1261</v>
      </c>
      <c r="M1267" s="21">
        <v>2981.7327451367455</v>
      </c>
    </row>
    <row r="1268" spans="12:13" x14ac:dyDescent="0.2">
      <c r="L1268" s="4">
        <v>1262</v>
      </c>
      <c r="M1268" s="21">
        <v>-54557.582404242188</v>
      </c>
    </row>
    <row r="1269" spans="12:13" x14ac:dyDescent="0.2">
      <c r="L1269" s="4">
        <v>1263</v>
      </c>
      <c r="M1269" s="21">
        <v>-20582.115188826923</v>
      </c>
    </row>
    <row r="1270" spans="12:13" x14ac:dyDescent="0.2">
      <c r="L1270" s="4">
        <v>1264</v>
      </c>
      <c r="M1270" s="21">
        <v>-142087.67848592944</v>
      </c>
    </row>
    <row r="1271" spans="12:13" x14ac:dyDescent="0.2">
      <c r="L1271" s="4">
        <v>1265</v>
      </c>
      <c r="M1271" s="21">
        <v>104696.03959552301</v>
      </c>
    </row>
    <row r="1272" spans="12:13" x14ac:dyDescent="0.2">
      <c r="L1272" s="4">
        <v>1266</v>
      </c>
      <c r="M1272" s="21">
        <v>48944.38741520411</v>
      </c>
    </row>
    <row r="1273" spans="12:13" x14ac:dyDescent="0.2">
      <c r="L1273" s="4">
        <v>1267</v>
      </c>
      <c r="M1273" s="21">
        <v>213068.50873183005</v>
      </c>
    </row>
    <row r="1274" spans="12:13" x14ac:dyDescent="0.2">
      <c r="L1274" s="4">
        <v>1268</v>
      </c>
      <c r="M1274" s="21">
        <v>27186.732045445358</v>
      </c>
    </row>
    <row r="1275" spans="12:13" x14ac:dyDescent="0.2">
      <c r="L1275" s="4">
        <v>1269</v>
      </c>
      <c r="M1275" s="21">
        <v>-84744.866246120277</v>
      </c>
    </row>
    <row r="1276" spans="12:13" x14ac:dyDescent="0.2">
      <c r="L1276" s="4">
        <v>1270</v>
      </c>
      <c r="M1276" s="21">
        <v>46166.146346214839</v>
      </c>
    </row>
    <row r="1277" spans="12:13" x14ac:dyDescent="0.2">
      <c r="L1277" s="4">
        <v>1271</v>
      </c>
      <c r="M1277" s="21">
        <v>-208294.2950113269</v>
      </c>
    </row>
    <row r="1278" spans="12:13" x14ac:dyDescent="0.2">
      <c r="L1278" s="4">
        <v>1272</v>
      </c>
      <c r="M1278" s="21">
        <v>-215928.79566846805</v>
      </c>
    </row>
    <row r="1279" spans="12:13" x14ac:dyDescent="0.2">
      <c r="L1279" s="4">
        <v>1273</v>
      </c>
      <c r="M1279" s="21">
        <v>-204269.13123465003</v>
      </c>
    </row>
    <row r="1280" spans="12:13" x14ac:dyDescent="0.2">
      <c r="L1280" s="4">
        <v>1274</v>
      </c>
      <c r="M1280" s="21">
        <v>53699.169288075471</v>
      </c>
    </row>
    <row r="1281" spans="12:13" x14ac:dyDescent="0.2">
      <c r="L1281" s="4">
        <v>1275</v>
      </c>
      <c r="M1281" s="21">
        <v>223229.45677865008</v>
      </c>
    </row>
    <row r="1282" spans="12:13" x14ac:dyDescent="0.2">
      <c r="L1282" s="4">
        <v>1276</v>
      </c>
      <c r="M1282" s="21">
        <v>2357.2471302065533</v>
      </c>
    </row>
    <row r="1283" spans="12:13" x14ac:dyDescent="0.2">
      <c r="L1283" s="4">
        <v>1277</v>
      </c>
      <c r="M1283" s="21">
        <v>-129625.05731028784</v>
      </c>
    </row>
    <row r="1284" spans="12:13" x14ac:dyDescent="0.2">
      <c r="L1284" s="4">
        <v>1278</v>
      </c>
      <c r="M1284" s="21">
        <v>102020.44208481035</v>
      </c>
    </row>
    <row r="1285" spans="12:13" x14ac:dyDescent="0.2">
      <c r="L1285" s="4">
        <v>1279</v>
      </c>
      <c r="M1285" s="21">
        <v>-229287.09902841179</v>
      </c>
    </row>
    <row r="1286" spans="12:13" x14ac:dyDescent="0.2">
      <c r="L1286" s="4">
        <v>1280</v>
      </c>
      <c r="M1286" s="21">
        <v>-11267.231774298663</v>
      </c>
    </row>
    <row r="1287" spans="12:13" x14ac:dyDescent="0.2">
      <c r="L1287" s="4">
        <v>1281</v>
      </c>
      <c r="M1287" s="21">
        <v>162204.00978640968</v>
      </c>
    </row>
    <row r="1288" spans="12:13" x14ac:dyDescent="0.2">
      <c r="L1288" s="4">
        <v>1282</v>
      </c>
      <c r="M1288" s="21">
        <v>-69121.475820840918</v>
      </c>
    </row>
    <row r="1289" spans="12:13" x14ac:dyDescent="0.2">
      <c r="L1289" s="4">
        <v>1283</v>
      </c>
      <c r="M1289" s="21">
        <v>211090.11980154927</v>
      </c>
    </row>
    <row r="1290" spans="12:13" x14ac:dyDescent="0.2">
      <c r="L1290" s="4">
        <v>1284</v>
      </c>
      <c r="M1290" s="21">
        <v>-150965.83681682535</v>
      </c>
    </row>
    <row r="1291" spans="12:13" x14ac:dyDescent="0.2">
      <c r="L1291" s="4">
        <v>1285</v>
      </c>
      <c r="M1291" s="21">
        <v>82787.082047584932</v>
      </c>
    </row>
    <row r="1292" spans="12:13" x14ac:dyDescent="0.2">
      <c r="L1292" s="4">
        <v>1286</v>
      </c>
      <c r="M1292" s="21">
        <v>-61424.574265381118</v>
      </c>
    </row>
    <row r="1293" spans="12:13" x14ac:dyDescent="0.2">
      <c r="L1293" s="4">
        <v>1287</v>
      </c>
      <c r="M1293" s="21">
        <v>98136.924547366216</v>
      </c>
    </row>
    <row r="1294" spans="12:13" x14ac:dyDescent="0.2">
      <c r="L1294" s="4">
        <v>1288</v>
      </c>
      <c r="M1294" s="21">
        <v>131701.88810167837</v>
      </c>
    </row>
    <row r="1295" spans="12:13" x14ac:dyDescent="0.2">
      <c r="L1295" s="4">
        <v>1289</v>
      </c>
      <c r="M1295" s="21">
        <v>-47366.508887386299</v>
      </c>
    </row>
    <row r="1296" spans="12:13" x14ac:dyDescent="0.2">
      <c r="L1296" s="4">
        <v>1290</v>
      </c>
      <c r="M1296" s="21">
        <v>224520.548020752</v>
      </c>
    </row>
    <row r="1297" spans="12:13" x14ac:dyDescent="0.2">
      <c r="L1297" s="4">
        <v>1291</v>
      </c>
      <c r="M1297" s="21">
        <v>199123.15932733013</v>
      </c>
    </row>
    <row r="1298" spans="12:13" x14ac:dyDescent="0.2">
      <c r="L1298" s="4">
        <v>1292</v>
      </c>
      <c r="M1298" s="21">
        <v>-32241.461172755284</v>
      </c>
    </row>
    <row r="1299" spans="12:13" x14ac:dyDescent="0.2">
      <c r="L1299" s="4">
        <v>1293</v>
      </c>
      <c r="M1299" s="21">
        <v>13741.099139652972</v>
      </c>
    </row>
    <row r="1300" spans="12:13" x14ac:dyDescent="0.2">
      <c r="L1300" s="4">
        <v>1294</v>
      </c>
      <c r="M1300" s="21">
        <v>-32073.167187493716</v>
      </c>
    </row>
    <row r="1301" spans="12:13" x14ac:dyDescent="0.2">
      <c r="L1301" s="4">
        <v>1295</v>
      </c>
      <c r="M1301" s="21">
        <v>114056.99173411352</v>
      </c>
    </row>
    <row r="1302" spans="12:13" x14ac:dyDescent="0.2">
      <c r="L1302" s="4">
        <v>1296</v>
      </c>
      <c r="M1302" s="21">
        <v>156619.05758928752</v>
      </c>
    </row>
    <row r="1303" spans="12:13" x14ac:dyDescent="0.2">
      <c r="L1303" s="4">
        <v>1297</v>
      </c>
      <c r="M1303" s="21">
        <v>244644.45714049926</v>
      </c>
    </row>
    <row r="1304" spans="12:13" x14ac:dyDescent="0.2">
      <c r="L1304" s="4">
        <v>1298</v>
      </c>
      <c r="M1304" s="21">
        <v>68944.102103263169</v>
      </c>
    </row>
    <row r="1305" spans="12:13" x14ac:dyDescent="0.2">
      <c r="L1305" s="4">
        <v>1299</v>
      </c>
      <c r="M1305" s="21">
        <v>41386.807535058935</v>
      </c>
    </row>
    <row r="1306" spans="12:13" x14ac:dyDescent="0.2">
      <c r="L1306" s="4">
        <v>1300</v>
      </c>
      <c r="M1306" s="21">
        <v>-62841.394259734458</v>
      </c>
    </row>
    <row r="1307" spans="12:13" x14ac:dyDescent="0.2">
      <c r="L1307" s="4">
        <v>1301</v>
      </c>
      <c r="M1307" s="21">
        <v>-173500.1401291744</v>
      </c>
    </row>
    <row r="1308" spans="12:13" x14ac:dyDescent="0.2">
      <c r="L1308" s="4">
        <v>1302</v>
      </c>
      <c r="M1308" s="21">
        <v>-152188.49221367546</v>
      </c>
    </row>
    <row r="1309" spans="12:13" x14ac:dyDescent="0.2">
      <c r="L1309" s="4">
        <v>1303</v>
      </c>
      <c r="M1309" s="21">
        <v>-102448.81920445865</v>
      </c>
    </row>
    <row r="1310" spans="12:13" x14ac:dyDescent="0.2">
      <c r="L1310" s="4">
        <v>1304</v>
      </c>
      <c r="M1310" s="21">
        <v>-2875.1798500588193</v>
      </c>
    </row>
    <row r="1311" spans="12:13" x14ac:dyDescent="0.2">
      <c r="L1311" s="4">
        <v>1305</v>
      </c>
      <c r="M1311" s="21">
        <v>295234.93596703303</v>
      </c>
    </row>
    <row r="1312" spans="12:13" x14ac:dyDescent="0.2">
      <c r="L1312" s="4">
        <v>1306</v>
      </c>
      <c r="M1312" s="21">
        <v>-141439.09495180246</v>
      </c>
    </row>
    <row r="1313" spans="12:13" x14ac:dyDescent="0.2">
      <c r="L1313" s="4">
        <v>1307</v>
      </c>
      <c r="M1313" s="21">
        <v>196628.56165199535</v>
      </c>
    </row>
    <row r="1314" spans="12:13" x14ac:dyDescent="0.2">
      <c r="L1314" s="4">
        <v>1308</v>
      </c>
      <c r="M1314" s="21">
        <v>-149453.60119524761</v>
      </c>
    </row>
    <row r="1315" spans="12:13" x14ac:dyDescent="0.2">
      <c r="L1315" s="4">
        <v>1309</v>
      </c>
      <c r="M1315" s="21">
        <v>-65386.216503751173</v>
      </c>
    </row>
    <row r="1316" spans="12:13" x14ac:dyDescent="0.2">
      <c r="L1316" s="4">
        <v>1310</v>
      </c>
      <c r="M1316" s="21">
        <v>44034.399790971453</v>
      </c>
    </row>
    <row r="1317" spans="12:13" x14ac:dyDescent="0.2">
      <c r="L1317" s="4">
        <v>1311</v>
      </c>
      <c r="M1317" s="21">
        <v>-89308.856918786507</v>
      </c>
    </row>
    <row r="1318" spans="12:13" x14ac:dyDescent="0.2">
      <c r="L1318" s="4">
        <v>1312</v>
      </c>
      <c r="M1318" s="21">
        <v>-82239.187837445425</v>
      </c>
    </row>
    <row r="1319" spans="12:13" x14ac:dyDescent="0.2">
      <c r="L1319" s="4">
        <v>1313</v>
      </c>
      <c r="M1319" s="21">
        <v>49048.438923256297</v>
      </c>
    </row>
    <row r="1320" spans="12:13" x14ac:dyDescent="0.2">
      <c r="L1320" s="4">
        <v>1314</v>
      </c>
      <c r="M1320" s="21">
        <v>-15129.600838760351</v>
      </c>
    </row>
    <row r="1321" spans="12:13" x14ac:dyDescent="0.2">
      <c r="L1321" s="4">
        <v>1315</v>
      </c>
      <c r="M1321" s="21">
        <v>-30788.392822912734</v>
      </c>
    </row>
    <row r="1322" spans="12:13" x14ac:dyDescent="0.2">
      <c r="L1322" s="4">
        <v>1316</v>
      </c>
      <c r="M1322" s="21">
        <v>10441.561394180142</v>
      </c>
    </row>
    <row r="1323" spans="12:13" x14ac:dyDescent="0.2">
      <c r="L1323" s="4">
        <v>1317</v>
      </c>
      <c r="M1323" s="21">
        <v>70147.747361003159</v>
      </c>
    </row>
    <row r="1324" spans="12:13" x14ac:dyDescent="0.2">
      <c r="L1324" s="4">
        <v>1318</v>
      </c>
      <c r="M1324" s="21">
        <v>11641.230812612223</v>
      </c>
    </row>
    <row r="1325" spans="12:13" x14ac:dyDescent="0.2">
      <c r="L1325" s="4">
        <v>1319</v>
      </c>
      <c r="M1325" s="21">
        <v>-31248.204425026284</v>
      </c>
    </row>
    <row r="1326" spans="12:13" x14ac:dyDescent="0.2">
      <c r="L1326" s="4">
        <v>1320</v>
      </c>
      <c r="M1326" s="21">
        <v>199377.12248669515</v>
      </c>
    </row>
    <row r="1327" spans="12:13" x14ac:dyDescent="0.2">
      <c r="L1327" s="4">
        <v>1321</v>
      </c>
      <c r="M1327" s="21">
        <v>33461.460246092465</v>
      </c>
    </row>
    <row r="1328" spans="12:13" x14ac:dyDescent="0.2">
      <c r="L1328" s="4">
        <v>1322</v>
      </c>
      <c r="M1328" s="21">
        <v>-7859.4834455486562</v>
      </c>
    </row>
    <row r="1329" spans="12:13" x14ac:dyDescent="0.2">
      <c r="L1329" s="4">
        <v>1323</v>
      </c>
      <c r="M1329" s="21">
        <v>160840.35237815953</v>
      </c>
    </row>
    <row r="1330" spans="12:13" x14ac:dyDescent="0.2">
      <c r="L1330" s="4">
        <v>1324</v>
      </c>
      <c r="M1330" s="21">
        <v>-163618.21984811471</v>
      </c>
    </row>
    <row r="1331" spans="12:13" x14ac:dyDescent="0.2">
      <c r="L1331" s="4">
        <v>1325</v>
      </c>
      <c r="M1331" s="21">
        <v>-159882.33319867181</v>
      </c>
    </row>
    <row r="1332" spans="12:13" x14ac:dyDescent="0.2">
      <c r="L1332" s="4">
        <v>1326</v>
      </c>
      <c r="M1332" s="21">
        <v>-394161.71680731536</v>
      </c>
    </row>
    <row r="1333" spans="12:13" x14ac:dyDescent="0.2">
      <c r="L1333" s="4">
        <v>1327</v>
      </c>
      <c r="M1333" s="21">
        <v>162856.73504119989</v>
      </c>
    </row>
    <row r="1334" spans="12:13" x14ac:dyDescent="0.2">
      <c r="L1334" s="4">
        <v>1328</v>
      </c>
      <c r="M1334" s="21">
        <v>164569.4363232055</v>
      </c>
    </row>
    <row r="1335" spans="12:13" x14ac:dyDescent="0.2">
      <c r="L1335" s="4">
        <v>1329</v>
      </c>
      <c r="M1335" s="21">
        <v>45610.73551707092</v>
      </c>
    </row>
    <row r="1336" spans="12:13" x14ac:dyDescent="0.2">
      <c r="L1336" s="4">
        <v>1330</v>
      </c>
      <c r="M1336" s="21">
        <v>121062.40099561424</v>
      </c>
    </row>
    <row r="1337" spans="12:13" x14ac:dyDescent="0.2">
      <c r="L1337" s="4">
        <v>1331</v>
      </c>
      <c r="M1337" s="21">
        <v>202283.31245137219</v>
      </c>
    </row>
    <row r="1338" spans="12:13" x14ac:dyDescent="0.2">
      <c r="L1338" s="4">
        <v>1332</v>
      </c>
      <c r="M1338" s="21">
        <v>-195142.98328753354</v>
      </c>
    </row>
    <row r="1339" spans="12:13" x14ac:dyDescent="0.2">
      <c r="L1339" s="4">
        <v>1333</v>
      </c>
      <c r="M1339" s="21">
        <v>-168382.47566371615</v>
      </c>
    </row>
    <row r="1340" spans="12:13" x14ac:dyDescent="0.2">
      <c r="L1340" s="4">
        <v>1334</v>
      </c>
      <c r="M1340" s="21">
        <v>-65355.923574799279</v>
      </c>
    </row>
    <row r="1341" spans="12:13" x14ac:dyDescent="0.2">
      <c r="L1341" s="4">
        <v>1335</v>
      </c>
      <c r="M1341" s="21">
        <v>-96461.265078405908</v>
      </c>
    </row>
    <row r="1342" spans="12:13" x14ac:dyDescent="0.2">
      <c r="L1342" s="4">
        <v>1336</v>
      </c>
      <c r="M1342" s="21">
        <v>69035.362936249585</v>
      </c>
    </row>
    <row r="1343" spans="12:13" x14ac:dyDescent="0.2">
      <c r="L1343" s="4">
        <v>1337</v>
      </c>
      <c r="M1343" s="21">
        <v>-75686.586369614437</v>
      </c>
    </row>
    <row r="1344" spans="12:13" x14ac:dyDescent="0.2">
      <c r="L1344" s="4">
        <v>1338</v>
      </c>
      <c r="M1344" s="21">
        <v>127442.10022253959</v>
      </c>
    </row>
    <row r="1345" spans="12:13" x14ac:dyDescent="0.2">
      <c r="L1345" s="4">
        <v>1339</v>
      </c>
      <c r="M1345" s="21">
        <v>-43306.054124461923</v>
      </c>
    </row>
    <row r="1346" spans="12:13" x14ac:dyDescent="0.2">
      <c r="L1346" s="4">
        <v>1340</v>
      </c>
      <c r="M1346" s="21">
        <v>58447.803717299714</v>
      </c>
    </row>
    <row r="1347" spans="12:13" x14ac:dyDescent="0.2">
      <c r="L1347" s="4">
        <v>1341</v>
      </c>
      <c r="M1347" s="21">
        <v>66336.829442724411</v>
      </c>
    </row>
    <row r="1348" spans="12:13" x14ac:dyDescent="0.2">
      <c r="L1348" s="4">
        <v>1342</v>
      </c>
      <c r="M1348" s="21">
        <v>232909.10100452733</v>
      </c>
    </row>
    <row r="1349" spans="12:13" x14ac:dyDescent="0.2">
      <c r="L1349" s="4">
        <v>1343</v>
      </c>
      <c r="M1349" s="21">
        <v>-291070.49168443301</v>
      </c>
    </row>
    <row r="1350" spans="12:13" x14ac:dyDescent="0.2">
      <c r="L1350" s="4">
        <v>1344</v>
      </c>
      <c r="M1350" s="21">
        <v>-153392.54176831921</v>
      </c>
    </row>
    <row r="1351" spans="12:13" x14ac:dyDescent="0.2">
      <c r="L1351" s="4">
        <v>1345</v>
      </c>
      <c r="M1351" s="21">
        <v>-164368.14987701978</v>
      </c>
    </row>
    <row r="1352" spans="12:13" x14ac:dyDescent="0.2">
      <c r="L1352" s="4">
        <v>1346</v>
      </c>
      <c r="M1352" s="21">
        <v>88191.840526530199</v>
      </c>
    </row>
    <row r="1353" spans="12:13" x14ac:dyDescent="0.2">
      <c r="L1353" s="4">
        <v>1347</v>
      </c>
      <c r="M1353" s="21">
        <v>167298.69271505892</v>
      </c>
    </row>
    <row r="1354" spans="12:13" x14ac:dyDescent="0.2">
      <c r="L1354" s="4">
        <v>1348</v>
      </c>
      <c r="M1354" s="21">
        <v>152367.29633097301</v>
      </c>
    </row>
    <row r="1355" spans="12:13" x14ac:dyDescent="0.2">
      <c r="L1355" s="4">
        <v>1349</v>
      </c>
      <c r="M1355" s="21">
        <v>-4544.8425473750831</v>
      </c>
    </row>
    <row r="1356" spans="12:13" x14ac:dyDescent="0.2">
      <c r="L1356" s="4">
        <v>1350</v>
      </c>
      <c r="M1356" s="21">
        <v>-322736.44972655823</v>
      </c>
    </row>
    <row r="1357" spans="12:13" x14ac:dyDescent="0.2">
      <c r="L1357" s="4">
        <v>1351</v>
      </c>
      <c r="M1357" s="21">
        <v>-75278.794361554799</v>
      </c>
    </row>
    <row r="1358" spans="12:13" x14ac:dyDescent="0.2">
      <c r="L1358" s="4">
        <v>1352</v>
      </c>
      <c r="M1358" s="21">
        <v>3780.5629770464438</v>
      </c>
    </row>
    <row r="1359" spans="12:13" x14ac:dyDescent="0.2">
      <c r="L1359" s="4">
        <v>1353</v>
      </c>
      <c r="M1359" s="21">
        <v>67893.737474413501</v>
      </c>
    </row>
    <row r="1360" spans="12:13" x14ac:dyDescent="0.2">
      <c r="L1360" s="4">
        <v>1354</v>
      </c>
      <c r="M1360" s="21">
        <v>-218604.17614278133</v>
      </c>
    </row>
    <row r="1361" spans="12:13" x14ac:dyDescent="0.2">
      <c r="L1361" s="4">
        <v>1355</v>
      </c>
      <c r="M1361" s="21">
        <v>31568.431485015783</v>
      </c>
    </row>
    <row r="1362" spans="12:13" x14ac:dyDescent="0.2">
      <c r="L1362" s="4">
        <v>1356</v>
      </c>
      <c r="M1362" s="21">
        <v>20067.832401115622</v>
      </c>
    </row>
    <row r="1363" spans="12:13" x14ac:dyDescent="0.2">
      <c r="L1363" s="4">
        <v>1357</v>
      </c>
      <c r="M1363" s="21">
        <v>-57403.760463779967</v>
      </c>
    </row>
    <row r="1364" spans="12:13" x14ac:dyDescent="0.2">
      <c r="L1364" s="4">
        <v>1358</v>
      </c>
      <c r="M1364" s="21">
        <v>-98124.77126081739</v>
      </c>
    </row>
    <row r="1365" spans="12:13" x14ac:dyDescent="0.2">
      <c r="L1365" s="4">
        <v>1359</v>
      </c>
      <c r="M1365" s="21">
        <v>-221313.88710989471</v>
      </c>
    </row>
    <row r="1366" spans="12:13" x14ac:dyDescent="0.2">
      <c r="L1366" s="4">
        <v>1360</v>
      </c>
      <c r="M1366" s="21">
        <v>-3048.954202580775</v>
      </c>
    </row>
    <row r="1367" spans="12:13" x14ac:dyDescent="0.2">
      <c r="L1367" s="4">
        <v>1361</v>
      </c>
      <c r="M1367" s="21">
        <v>-31429.363361804295</v>
      </c>
    </row>
    <row r="1368" spans="12:13" x14ac:dyDescent="0.2">
      <c r="L1368" s="4">
        <v>1362</v>
      </c>
      <c r="M1368" s="21">
        <v>14950.166187224764</v>
      </c>
    </row>
    <row r="1369" spans="12:13" x14ac:dyDescent="0.2">
      <c r="L1369" s="4">
        <v>1363</v>
      </c>
      <c r="M1369" s="21">
        <v>44423.219850051682</v>
      </c>
    </row>
    <row r="1370" spans="12:13" x14ac:dyDescent="0.2">
      <c r="L1370" s="4">
        <v>1364</v>
      </c>
      <c r="M1370" s="21">
        <v>-323771.84278083686</v>
      </c>
    </row>
    <row r="1371" spans="12:13" x14ac:dyDescent="0.2">
      <c r="L1371" s="4">
        <v>1365</v>
      </c>
      <c r="M1371" s="21">
        <v>-85559.330212852597</v>
      </c>
    </row>
    <row r="1372" spans="12:13" x14ac:dyDescent="0.2">
      <c r="L1372" s="4">
        <v>1366</v>
      </c>
      <c r="M1372" s="21">
        <v>24637.526997548819</v>
      </c>
    </row>
    <row r="1373" spans="12:13" x14ac:dyDescent="0.2">
      <c r="L1373" s="4">
        <v>1367</v>
      </c>
      <c r="M1373" s="21">
        <v>42940.048985606496</v>
      </c>
    </row>
    <row r="1374" spans="12:13" x14ac:dyDescent="0.2">
      <c r="L1374" s="4">
        <v>1368</v>
      </c>
      <c r="M1374" s="21">
        <v>-58677.570902630992</v>
      </c>
    </row>
    <row r="1375" spans="12:13" x14ac:dyDescent="0.2">
      <c r="L1375" s="4">
        <v>1369</v>
      </c>
      <c r="M1375" s="21">
        <v>-300743.92092133971</v>
      </c>
    </row>
    <row r="1376" spans="12:13" x14ac:dyDescent="0.2">
      <c r="L1376" s="4">
        <v>1370</v>
      </c>
      <c r="M1376" s="21">
        <v>-36012.099975699763</v>
      </c>
    </row>
    <row r="1377" spans="12:13" x14ac:dyDescent="0.2">
      <c r="L1377" s="4">
        <v>1371</v>
      </c>
      <c r="M1377" s="21">
        <v>180204.96496151862</v>
      </c>
    </row>
    <row r="1378" spans="12:13" x14ac:dyDescent="0.2">
      <c r="L1378" s="4">
        <v>1372</v>
      </c>
      <c r="M1378" s="21">
        <v>-26790.783318078888</v>
      </c>
    </row>
    <row r="1379" spans="12:13" x14ac:dyDescent="0.2">
      <c r="L1379" s="4">
        <v>1373</v>
      </c>
      <c r="M1379" s="21">
        <v>-32576.097731093279</v>
      </c>
    </row>
    <row r="1380" spans="12:13" x14ac:dyDescent="0.2">
      <c r="L1380" s="4">
        <v>1374</v>
      </c>
      <c r="M1380" s="21">
        <v>218432.41001685703</v>
      </c>
    </row>
    <row r="1381" spans="12:13" x14ac:dyDescent="0.2">
      <c r="L1381" s="4">
        <v>1375</v>
      </c>
      <c r="M1381" s="21">
        <v>-124092.38978474904</v>
      </c>
    </row>
    <row r="1382" spans="12:13" x14ac:dyDescent="0.2">
      <c r="L1382" s="4">
        <v>1376</v>
      </c>
      <c r="M1382" s="21">
        <v>-22830.068636732292</v>
      </c>
    </row>
    <row r="1383" spans="12:13" x14ac:dyDescent="0.2">
      <c r="L1383" s="4">
        <v>1377</v>
      </c>
      <c r="M1383" s="21">
        <v>-32042.010755470852</v>
      </c>
    </row>
    <row r="1384" spans="12:13" x14ac:dyDescent="0.2">
      <c r="L1384" s="4">
        <v>1378</v>
      </c>
      <c r="M1384" s="21">
        <v>150184.92453604285</v>
      </c>
    </row>
    <row r="1385" spans="12:13" x14ac:dyDescent="0.2">
      <c r="L1385" s="4">
        <v>1379</v>
      </c>
      <c r="M1385" s="21">
        <v>98001.536443103454</v>
      </c>
    </row>
    <row r="1386" spans="12:13" x14ac:dyDescent="0.2">
      <c r="L1386" s="4">
        <v>1380</v>
      </c>
      <c r="M1386" s="21">
        <v>-326963.64974682068</v>
      </c>
    </row>
    <row r="1387" spans="12:13" x14ac:dyDescent="0.2">
      <c r="L1387" s="4">
        <v>1381</v>
      </c>
      <c r="M1387" s="21">
        <v>70348.404951146862</v>
      </c>
    </row>
    <row r="1388" spans="12:13" x14ac:dyDescent="0.2">
      <c r="L1388" s="4">
        <v>1382</v>
      </c>
      <c r="M1388" s="21">
        <v>-18466.739271870843</v>
      </c>
    </row>
    <row r="1389" spans="12:13" x14ac:dyDescent="0.2">
      <c r="L1389" s="4">
        <v>1383</v>
      </c>
      <c r="M1389" s="21">
        <v>219546.19396141206</v>
      </c>
    </row>
    <row r="1390" spans="12:13" x14ac:dyDescent="0.2">
      <c r="L1390" s="4">
        <v>1384</v>
      </c>
      <c r="M1390" s="21">
        <v>19587.328939276864</v>
      </c>
    </row>
    <row r="1391" spans="12:13" x14ac:dyDescent="0.2">
      <c r="L1391" s="4">
        <v>1385</v>
      </c>
      <c r="M1391" s="21">
        <v>-200105.67046761623</v>
      </c>
    </row>
    <row r="1392" spans="12:13" x14ac:dyDescent="0.2">
      <c r="L1392" s="4">
        <v>1386</v>
      </c>
      <c r="M1392" s="21">
        <v>-40854.542415174394</v>
      </c>
    </row>
    <row r="1393" spans="12:13" x14ac:dyDescent="0.2">
      <c r="L1393" s="4">
        <v>1387</v>
      </c>
      <c r="M1393" s="21">
        <v>-183287.29772498328</v>
      </c>
    </row>
    <row r="1394" spans="12:13" x14ac:dyDescent="0.2">
      <c r="L1394" s="4">
        <v>1388</v>
      </c>
      <c r="M1394" s="21">
        <v>-148513.90063286317</v>
      </c>
    </row>
    <row r="1395" spans="12:13" x14ac:dyDescent="0.2">
      <c r="L1395" s="4">
        <v>1389</v>
      </c>
      <c r="M1395" s="21">
        <v>149948.86075014857</v>
      </c>
    </row>
    <row r="1396" spans="12:13" x14ac:dyDescent="0.2">
      <c r="L1396" s="4">
        <v>1390</v>
      </c>
      <c r="M1396" s="21">
        <v>116808.19128024593</v>
      </c>
    </row>
    <row r="1397" spans="12:13" x14ac:dyDescent="0.2">
      <c r="L1397" s="4">
        <v>1391</v>
      </c>
      <c r="M1397" s="21">
        <v>-19713.317204584571</v>
      </c>
    </row>
    <row r="1398" spans="12:13" x14ac:dyDescent="0.2">
      <c r="L1398" s="4">
        <v>1392</v>
      </c>
      <c r="M1398" s="21">
        <v>296791.28876427037</v>
      </c>
    </row>
    <row r="1399" spans="12:13" x14ac:dyDescent="0.2">
      <c r="L1399" s="4">
        <v>1393</v>
      </c>
      <c r="M1399" s="21">
        <v>-64028.078967710884</v>
      </c>
    </row>
    <row r="1400" spans="12:13" x14ac:dyDescent="0.2">
      <c r="L1400" s="4">
        <v>1394</v>
      </c>
      <c r="M1400" s="21">
        <v>-78878.823329122068</v>
      </c>
    </row>
    <row r="1401" spans="12:13" x14ac:dyDescent="0.2">
      <c r="L1401" s="4">
        <v>1395</v>
      </c>
      <c r="M1401" s="21">
        <v>93462.541912290908</v>
      </c>
    </row>
    <row r="1402" spans="12:13" x14ac:dyDescent="0.2">
      <c r="L1402" s="4">
        <v>1396</v>
      </c>
      <c r="M1402" s="21">
        <v>-211323.18637422475</v>
      </c>
    </row>
    <row r="1403" spans="12:13" x14ac:dyDescent="0.2">
      <c r="L1403" s="4">
        <v>1397</v>
      </c>
      <c r="M1403" s="21">
        <v>46750.601242208242</v>
      </c>
    </row>
    <row r="1404" spans="12:13" x14ac:dyDescent="0.2">
      <c r="L1404" s="4">
        <v>1398</v>
      </c>
      <c r="M1404" s="21">
        <v>-146511.17284481361</v>
      </c>
    </row>
    <row r="1405" spans="12:13" x14ac:dyDescent="0.2">
      <c r="L1405" s="4">
        <v>1399</v>
      </c>
      <c r="M1405" s="21">
        <v>-153540.25168361829</v>
      </c>
    </row>
    <row r="1406" spans="12:13" x14ac:dyDescent="0.2">
      <c r="L1406" s="4">
        <v>1400</v>
      </c>
      <c r="M1406" s="21">
        <v>31060.166670402803</v>
      </c>
    </row>
    <row r="1407" spans="12:13" x14ac:dyDescent="0.2">
      <c r="L1407" s="4">
        <v>1401</v>
      </c>
      <c r="M1407" s="21">
        <v>-37302.989427050081</v>
      </c>
    </row>
    <row r="1408" spans="12:13" x14ac:dyDescent="0.2">
      <c r="L1408" s="4">
        <v>1402</v>
      </c>
      <c r="M1408" s="21">
        <v>-209703.42830109858</v>
      </c>
    </row>
    <row r="1409" spans="12:13" x14ac:dyDescent="0.2">
      <c r="L1409" s="4">
        <v>1403</v>
      </c>
      <c r="M1409" s="21">
        <v>-95647.200205955116</v>
      </c>
    </row>
    <row r="1410" spans="12:13" x14ac:dyDescent="0.2">
      <c r="L1410" s="4">
        <v>1404</v>
      </c>
      <c r="M1410" s="21">
        <v>173657.67222638676</v>
      </c>
    </row>
    <row r="1411" spans="12:13" x14ac:dyDescent="0.2">
      <c r="L1411" s="4">
        <v>1405</v>
      </c>
      <c r="M1411" s="21">
        <v>-188291.28367994842</v>
      </c>
    </row>
    <row r="1412" spans="12:13" x14ac:dyDescent="0.2">
      <c r="L1412" s="4">
        <v>1406</v>
      </c>
      <c r="M1412" s="21">
        <v>-162803.91222340666</v>
      </c>
    </row>
    <row r="1413" spans="12:13" x14ac:dyDescent="0.2">
      <c r="L1413" s="4">
        <v>1407</v>
      </c>
      <c r="M1413" s="21">
        <v>7840.2117719319358</v>
      </c>
    </row>
    <row r="1414" spans="12:13" x14ac:dyDescent="0.2">
      <c r="L1414" s="4">
        <v>1408</v>
      </c>
      <c r="M1414" s="21">
        <v>138517.98968578209</v>
      </c>
    </row>
    <row r="1415" spans="12:13" x14ac:dyDescent="0.2">
      <c r="L1415" s="4">
        <v>1409</v>
      </c>
      <c r="M1415" s="21">
        <v>61092.923087342933</v>
      </c>
    </row>
    <row r="1416" spans="12:13" x14ac:dyDescent="0.2">
      <c r="L1416" s="4">
        <v>1410</v>
      </c>
      <c r="M1416" s="21">
        <v>194471.07004572664</v>
      </c>
    </row>
    <row r="1417" spans="12:13" x14ac:dyDescent="0.2">
      <c r="L1417" s="4">
        <v>1411</v>
      </c>
      <c r="M1417" s="21">
        <v>-114459.14450210056</v>
      </c>
    </row>
    <row r="1418" spans="12:13" x14ac:dyDescent="0.2">
      <c r="L1418" s="4">
        <v>1412</v>
      </c>
      <c r="M1418" s="21">
        <v>45061.96322551812</v>
      </c>
    </row>
    <row r="1419" spans="12:13" x14ac:dyDescent="0.2">
      <c r="L1419" s="4">
        <v>1413</v>
      </c>
      <c r="M1419" s="21">
        <v>-131006.48972809796</v>
      </c>
    </row>
    <row r="1420" spans="12:13" x14ac:dyDescent="0.2">
      <c r="L1420" s="4">
        <v>1414</v>
      </c>
      <c r="M1420" s="21">
        <v>-169102.13668090655</v>
      </c>
    </row>
    <row r="1421" spans="12:13" x14ac:dyDescent="0.2">
      <c r="L1421" s="4">
        <v>1415</v>
      </c>
      <c r="M1421" s="21">
        <v>141670.105140228</v>
      </c>
    </row>
    <row r="1422" spans="12:13" x14ac:dyDescent="0.2">
      <c r="L1422" s="4">
        <v>1416</v>
      </c>
      <c r="M1422" s="21">
        <v>6632.0314212864905</v>
      </c>
    </row>
    <row r="1423" spans="12:13" x14ac:dyDescent="0.2">
      <c r="L1423" s="4">
        <v>1417</v>
      </c>
      <c r="M1423" s="21">
        <v>-30261.846229408111</v>
      </c>
    </row>
    <row r="1424" spans="12:13" x14ac:dyDescent="0.2">
      <c r="L1424" s="4">
        <v>1418</v>
      </c>
      <c r="M1424" s="21">
        <v>11636.177094220388</v>
      </c>
    </row>
    <row r="1425" spans="12:13" x14ac:dyDescent="0.2">
      <c r="L1425" s="4">
        <v>1419</v>
      </c>
      <c r="M1425" s="21">
        <v>30441.993191510963</v>
      </c>
    </row>
    <row r="1426" spans="12:13" x14ac:dyDescent="0.2">
      <c r="L1426" s="4">
        <v>1420</v>
      </c>
      <c r="M1426" s="21">
        <v>45467.29431199652</v>
      </c>
    </row>
    <row r="1427" spans="12:13" x14ac:dyDescent="0.2">
      <c r="L1427" s="4">
        <v>1421</v>
      </c>
      <c r="M1427" s="21">
        <v>33249.064746841905</v>
      </c>
    </row>
    <row r="1428" spans="12:13" x14ac:dyDescent="0.2">
      <c r="L1428" s="4">
        <v>1422</v>
      </c>
      <c r="M1428" s="21">
        <v>144912.77001873564</v>
      </c>
    </row>
    <row r="1429" spans="12:13" x14ac:dyDescent="0.2">
      <c r="L1429" s="4">
        <v>1423</v>
      </c>
      <c r="M1429" s="21">
        <v>246896.92991870292</v>
      </c>
    </row>
    <row r="1430" spans="12:13" x14ac:dyDescent="0.2">
      <c r="L1430" s="4">
        <v>1424</v>
      </c>
      <c r="M1430" s="21">
        <v>-104243.14229359062</v>
      </c>
    </row>
    <row r="1431" spans="12:13" x14ac:dyDescent="0.2">
      <c r="L1431" s="4">
        <v>1425</v>
      </c>
      <c r="M1431" s="21">
        <v>317077.58056146174</v>
      </c>
    </row>
    <row r="1432" spans="12:13" x14ac:dyDescent="0.2">
      <c r="L1432" s="4">
        <v>1426</v>
      </c>
      <c r="M1432" s="21">
        <v>133988.69839995613</v>
      </c>
    </row>
    <row r="1433" spans="12:13" x14ac:dyDescent="0.2">
      <c r="L1433" s="4">
        <v>1427</v>
      </c>
      <c r="M1433" s="21">
        <v>-206969.55454869434</v>
      </c>
    </row>
    <row r="1434" spans="12:13" x14ac:dyDescent="0.2">
      <c r="L1434" s="4">
        <v>1428</v>
      </c>
      <c r="M1434" s="21">
        <v>-183850.63150651017</v>
      </c>
    </row>
    <row r="1435" spans="12:13" x14ac:dyDescent="0.2">
      <c r="L1435" s="4">
        <v>1429</v>
      </c>
      <c r="M1435" s="21">
        <v>-47468.822514364001</v>
      </c>
    </row>
    <row r="1436" spans="12:13" x14ac:dyDescent="0.2">
      <c r="L1436" s="4">
        <v>1430</v>
      </c>
      <c r="M1436" s="21">
        <v>35772.451870309567</v>
      </c>
    </row>
    <row r="1437" spans="12:13" x14ac:dyDescent="0.2">
      <c r="L1437" s="4">
        <v>1431</v>
      </c>
      <c r="M1437" s="21">
        <v>113820.25334370602</v>
      </c>
    </row>
    <row r="1438" spans="12:13" x14ac:dyDescent="0.2">
      <c r="L1438" s="4">
        <v>1432</v>
      </c>
      <c r="M1438" s="21">
        <v>-167277.22574891924</v>
      </c>
    </row>
    <row r="1439" spans="12:13" x14ac:dyDescent="0.2">
      <c r="L1439" s="4">
        <v>1433</v>
      </c>
      <c r="M1439" s="21">
        <v>-94183.788847225107</v>
      </c>
    </row>
    <row r="1440" spans="12:13" x14ac:dyDescent="0.2">
      <c r="L1440" s="4">
        <v>1434</v>
      </c>
      <c r="M1440" s="21">
        <v>72870.059254728199</v>
      </c>
    </row>
    <row r="1441" spans="12:13" x14ac:dyDescent="0.2">
      <c r="L1441" s="4">
        <v>1435</v>
      </c>
      <c r="M1441" s="21">
        <v>174416.87006742341</v>
      </c>
    </row>
    <row r="1442" spans="12:13" x14ac:dyDescent="0.2">
      <c r="L1442" s="4">
        <v>1436</v>
      </c>
      <c r="M1442" s="21">
        <v>203185.75111514173</v>
      </c>
    </row>
    <row r="1443" spans="12:13" x14ac:dyDescent="0.2">
      <c r="L1443" s="4">
        <v>1437</v>
      </c>
      <c r="M1443" s="21">
        <v>-193884.40376225938</v>
      </c>
    </row>
    <row r="1444" spans="12:13" x14ac:dyDescent="0.2">
      <c r="L1444" s="4">
        <v>1438</v>
      </c>
      <c r="M1444" s="21">
        <v>-95805.292096255231</v>
      </c>
    </row>
    <row r="1445" spans="12:13" x14ac:dyDescent="0.2">
      <c r="L1445" s="4">
        <v>1439</v>
      </c>
      <c r="M1445" s="21">
        <v>-120356.15613960881</v>
      </c>
    </row>
    <row r="1446" spans="12:13" x14ac:dyDescent="0.2">
      <c r="L1446" s="4">
        <v>1440</v>
      </c>
      <c r="M1446" s="21">
        <v>-158295.29254283383</v>
      </c>
    </row>
    <row r="1447" spans="12:13" x14ac:dyDescent="0.2">
      <c r="L1447" s="4">
        <v>1441</v>
      </c>
      <c r="M1447" s="21">
        <v>-98755.279711889089</v>
      </c>
    </row>
    <row r="1448" spans="12:13" x14ac:dyDescent="0.2">
      <c r="L1448" s="4">
        <v>1442</v>
      </c>
      <c r="M1448" s="21">
        <v>-245749.05158989649</v>
      </c>
    </row>
    <row r="1449" spans="12:13" x14ac:dyDescent="0.2">
      <c r="L1449" s="4">
        <v>1443</v>
      </c>
      <c r="M1449" s="21">
        <v>-48523.810621123368</v>
      </c>
    </row>
    <row r="1450" spans="12:13" x14ac:dyDescent="0.2">
      <c r="L1450" s="4">
        <v>1444</v>
      </c>
      <c r="M1450" s="21">
        <v>-23546.121828181262</v>
      </c>
    </row>
    <row r="1451" spans="12:13" x14ac:dyDescent="0.2">
      <c r="L1451" s="4">
        <v>1445</v>
      </c>
      <c r="M1451" s="21">
        <v>-149874.89590153735</v>
      </c>
    </row>
    <row r="1452" spans="12:13" x14ac:dyDescent="0.2">
      <c r="L1452" s="4">
        <v>1446</v>
      </c>
      <c r="M1452" s="21">
        <v>-120476.1436600391</v>
      </c>
    </row>
    <row r="1453" spans="12:13" x14ac:dyDescent="0.2">
      <c r="L1453" s="4">
        <v>1447</v>
      </c>
      <c r="M1453" s="21">
        <v>281.35123872139957</v>
      </c>
    </row>
    <row r="1454" spans="12:13" x14ac:dyDescent="0.2">
      <c r="L1454" s="4">
        <v>1448</v>
      </c>
      <c r="M1454" s="21">
        <v>41675.55613441579</v>
      </c>
    </row>
    <row r="1455" spans="12:13" x14ac:dyDescent="0.2">
      <c r="L1455" s="4">
        <v>1449</v>
      </c>
      <c r="M1455" s="21">
        <v>1777.6523791144136</v>
      </c>
    </row>
    <row r="1456" spans="12:13" x14ac:dyDescent="0.2">
      <c r="L1456" s="4">
        <v>1450</v>
      </c>
      <c r="M1456" s="21">
        <v>-229767.07276512851</v>
      </c>
    </row>
    <row r="1457" spans="12:13" x14ac:dyDescent="0.2">
      <c r="L1457" s="4">
        <v>1451</v>
      </c>
      <c r="M1457" s="21">
        <v>92239.155573003605</v>
      </c>
    </row>
    <row r="1458" spans="12:13" x14ac:dyDescent="0.2">
      <c r="L1458" s="4">
        <v>1452</v>
      </c>
      <c r="M1458" s="21">
        <v>-447246.22873911506</v>
      </c>
    </row>
    <row r="1459" spans="12:13" x14ac:dyDescent="0.2">
      <c r="L1459" s="4">
        <v>1453</v>
      </c>
      <c r="M1459" s="21">
        <v>134482.07664457845</v>
      </c>
    </row>
    <row r="1460" spans="12:13" x14ac:dyDescent="0.2">
      <c r="L1460" s="4">
        <v>1454</v>
      </c>
      <c r="M1460" s="21">
        <v>-245056.28523391337</v>
      </c>
    </row>
    <row r="1461" spans="12:13" x14ac:dyDescent="0.2">
      <c r="L1461" s="4">
        <v>1455</v>
      </c>
      <c r="M1461" s="21">
        <v>124917.11141859254</v>
      </c>
    </row>
    <row r="1462" spans="12:13" x14ac:dyDescent="0.2">
      <c r="L1462" s="4">
        <v>1456</v>
      </c>
      <c r="M1462" s="21">
        <v>-10730.643692195285</v>
      </c>
    </row>
    <row r="1463" spans="12:13" x14ac:dyDescent="0.2">
      <c r="L1463" s="4">
        <v>1457</v>
      </c>
      <c r="M1463" s="21">
        <v>-48324.193590584706</v>
      </c>
    </row>
    <row r="1464" spans="12:13" x14ac:dyDescent="0.2">
      <c r="L1464" s="4">
        <v>1458</v>
      </c>
      <c r="M1464" s="21">
        <v>59704.240987819037</v>
      </c>
    </row>
    <row r="1465" spans="12:13" x14ac:dyDescent="0.2">
      <c r="L1465" s="4">
        <v>1459</v>
      </c>
      <c r="M1465" s="21">
        <v>119541.80852941479</v>
      </c>
    </row>
    <row r="1466" spans="12:13" x14ac:dyDescent="0.2">
      <c r="L1466" s="4">
        <v>1460</v>
      </c>
      <c r="M1466" s="21">
        <v>274707.08787711174</v>
      </c>
    </row>
    <row r="1467" spans="12:13" x14ac:dyDescent="0.2">
      <c r="L1467" s="4">
        <v>1461</v>
      </c>
      <c r="M1467" s="21">
        <v>-194250.90747884143</v>
      </c>
    </row>
    <row r="1468" spans="12:13" x14ac:dyDescent="0.2">
      <c r="L1468" s="4">
        <v>1462</v>
      </c>
      <c r="M1468" s="21">
        <v>-64615.283483904714</v>
      </c>
    </row>
    <row r="1469" spans="12:13" x14ac:dyDescent="0.2">
      <c r="L1469" s="4">
        <v>1463</v>
      </c>
      <c r="M1469" s="21">
        <v>27898.416004472674</v>
      </c>
    </row>
    <row r="1470" spans="12:13" x14ac:dyDescent="0.2">
      <c r="L1470" s="4">
        <v>1464</v>
      </c>
      <c r="M1470" s="21">
        <v>-312135.4465234396</v>
      </c>
    </row>
    <row r="1471" spans="12:13" x14ac:dyDescent="0.2">
      <c r="L1471" s="4">
        <v>1465</v>
      </c>
      <c r="M1471" s="21">
        <v>-122591.05070063782</v>
      </c>
    </row>
    <row r="1472" spans="12:13" x14ac:dyDescent="0.2">
      <c r="L1472" s="4">
        <v>1466</v>
      </c>
      <c r="M1472" s="21">
        <v>133407.23224977381</v>
      </c>
    </row>
    <row r="1473" spans="12:13" x14ac:dyDescent="0.2">
      <c r="L1473" s="4">
        <v>1467</v>
      </c>
      <c r="M1473" s="21">
        <v>53500.456182331342</v>
      </c>
    </row>
    <row r="1474" spans="12:13" x14ac:dyDescent="0.2">
      <c r="L1474" s="4">
        <v>1468</v>
      </c>
      <c r="M1474" s="21">
        <v>126738.6694937422</v>
      </c>
    </row>
    <row r="1475" spans="12:13" x14ac:dyDescent="0.2">
      <c r="L1475" s="4">
        <v>1469</v>
      </c>
      <c r="M1475" s="21">
        <v>-118206.07514404556</v>
      </c>
    </row>
    <row r="1476" spans="12:13" x14ac:dyDescent="0.2">
      <c r="L1476" s="4">
        <v>1470</v>
      </c>
      <c r="M1476" s="21">
        <v>-27358.530355145005</v>
      </c>
    </row>
    <row r="1477" spans="12:13" x14ac:dyDescent="0.2">
      <c r="L1477" s="4">
        <v>1471</v>
      </c>
      <c r="M1477" s="21">
        <v>-50823.23761037775</v>
      </c>
    </row>
    <row r="1478" spans="12:13" x14ac:dyDescent="0.2">
      <c r="L1478" s="4">
        <v>1472</v>
      </c>
      <c r="M1478" s="21">
        <v>23779.463747043919</v>
      </c>
    </row>
    <row r="1479" spans="12:13" x14ac:dyDescent="0.2">
      <c r="L1479" s="4">
        <v>1473</v>
      </c>
      <c r="M1479" s="21">
        <v>151486.93364370882</v>
      </c>
    </row>
    <row r="1480" spans="12:13" x14ac:dyDescent="0.2">
      <c r="L1480" s="4">
        <v>1474</v>
      </c>
      <c r="M1480" s="21">
        <v>-86860.466292647077</v>
      </c>
    </row>
    <row r="1481" spans="12:13" x14ac:dyDescent="0.2">
      <c r="L1481" s="4">
        <v>1475</v>
      </c>
      <c r="M1481" s="21">
        <v>173792.58319340507</v>
      </c>
    </row>
    <row r="1482" spans="12:13" x14ac:dyDescent="0.2">
      <c r="L1482" s="4">
        <v>1476</v>
      </c>
      <c r="M1482" s="21">
        <v>92611.619116830232</v>
      </c>
    </row>
    <row r="1483" spans="12:13" x14ac:dyDescent="0.2">
      <c r="L1483" s="4">
        <v>1477</v>
      </c>
      <c r="M1483" s="21">
        <v>196311.72129972637</v>
      </c>
    </row>
    <row r="1484" spans="12:13" x14ac:dyDescent="0.2">
      <c r="L1484" s="4">
        <v>1478</v>
      </c>
      <c r="M1484" s="21">
        <v>63122.698203651176</v>
      </c>
    </row>
    <row r="1485" spans="12:13" x14ac:dyDescent="0.2">
      <c r="L1485" s="4">
        <v>1479</v>
      </c>
      <c r="M1485" s="21">
        <v>144969.14558208545</v>
      </c>
    </row>
    <row r="1486" spans="12:13" x14ac:dyDescent="0.2">
      <c r="L1486" s="4">
        <v>1480</v>
      </c>
      <c r="M1486" s="21">
        <v>-34903.167951059149</v>
      </c>
    </row>
    <row r="1487" spans="12:13" x14ac:dyDescent="0.2">
      <c r="L1487" s="4">
        <v>1481</v>
      </c>
      <c r="M1487" s="21">
        <v>-251494.5038974433</v>
      </c>
    </row>
    <row r="1488" spans="12:13" x14ac:dyDescent="0.2">
      <c r="L1488" s="4">
        <v>1482</v>
      </c>
      <c r="M1488" s="21">
        <v>19721.279187499284</v>
      </c>
    </row>
    <row r="1489" spans="12:13" x14ac:dyDescent="0.2">
      <c r="L1489" s="4">
        <v>1483</v>
      </c>
      <c r="M1489" s="21">
        <v>-233351.69087058393</v>
      </c>
    </row>
    <row r="1490" spans="12:13" x14ac:dyDescent="0.2">
      <c r="L1490" s="4">
        <v>1484</v>
      </c>
      <c r="M1490" s="21">
        <v>161552.54496654167</v>
      </c>
    </row>
    <row r="1491" spans="12:13" x14ac:dyDescent="0.2">
      <c r="L1491" s="4">
        <v>1485</v>
      </c>
      <c r="M1491" s="21">
        <v>-62184.780668483218</v>
      </c>
    </row>
    <row r="1492" spans="12:13" x14ac:dyDescent="0.2">
      <c r="L1492" s="4">
        <v>1486</v>
      </c>
      <c r="M1492" s="21">
        <v>25658.511849502305</v>
      </c>
    </row>
    <row r="1493" spans="12:13" x14ac:dyDescent="0.2">
      <c r="L1493" s="4">
        <v>1487</v>
      </c>
      <c r="M1493" s="21">
        <v>-130316.73430199141</v>
      </c>
    </row>
    <row r="1494" spans="12:13" x14ac:dyDescent="0.2">
      <c r="L1494" s="4">
        <v>1488</v>
      </c>
      <c r="M1494" s="21">
        <v>139786.46136119598</v>
      </c>
    </row>
    <row r="1495" spans="12:13" x14ac:dyDescent="0.2">
      <c r="L1495" s="4">
        <v>1489</v>
      </c>
      <c r="M1495" s="21">
        <v>216093.29989935155</v>
      </c>
    </row>
    <row r="1496" spans="12:13" x14ac:dyDescent="0.2">
      <c r="L1496" s="4">
        <v>1490</v>
      </c>
      <c r="M1496" s="21">
        <v>-23370.55072232832</v>
      </c>
    </row>
    <row r="1497" spans="12:13" x14ac:dyDescent="0.2">
      <c r="L1497" s="4">
        <v>1491</v>
      </c>
      <c r="M1497" s="21">
        <v>-39646.961104159724</v>
      </c>
    </row>
    <row r="1498" spans="12:13" x14ac:dyDescent="0.2">
      <c r="L1498" s="4">
        <v>1492</v>
      </c>
      <c r="M1498" s="21">
        <v>212738.82460817922</v>
      </c>
    </row>
    <row r="1499" spans="12:13" x14ac:dyDescent="0.2">
      <c r="L1499" s="4">
        <v>1493</v>
      </c>
      <c r="M1499" s="21">
        <v>80372.677263327729</v>
      </c>
    </row>
    <row r="1500" spans="12:13" x14ac:dyDescent="0.2">
      <c r="L1500" s="4">
        <v>1494</v>
      </c>
      <c r="M1500" s="21">
        <v>-158057.79457774499</v>
      </c>
    </row>
    <row r="1501" spans="12:13" x14ac:dyDescent="0.2">
      <c r="L1501" s="4">
        <v>1495</v>
      </c>
      <c r="M1501" s="21">
        <v>111840.69954428746</v>
      </c>
    </row>
    <row r="1502" spans="12:13" x14ac:dyDescent="0.2">
      <c r="L1502" s="4">
        <v>1496</v>
      </c>
      <c r="M1502" s="21">
        <v>-1591.9494587482041</v>
      </c>
    </row>
    <row r="1503" spans="12:13" x14ac:dyDescent="0.2">
      <c r="L1503" s="4">
        <v>1497</v>
      </c>
      <c r="M1503" s="21">
        <v>83884.487800993811</v>
      </c>
    </row>
    <row r="1504" spans="12:13" x14ac:dyDescent="0.2">
      <c r="L1504" s="4">
        <v>1498</v>
      </c>
      <c r="M1504" s="21">
        <v>333098.80899902579</v>
      </c>
    </row>
    <row r="1505" spans="12:13" x14ac:dyDescent="0.2">
      <c r="L1505" s="4">
        <v>1499</v>
      </c>
      <c r="M1505" s="21">
        <v>-32633.066844001267</v>
      </c>
    </row>
    <row r="1506" spans="12:13" x14ac:dyDescent="0.2">
      <c r="L1506" s="4">
        <v>1500</v>
      </c>
      <c r="M1506" s="21">
        <v>-97467.684644113542</v>
      </c>
    </row>
    <row r="1507" spans="12:13" x14ac:dyDescent="0.2">
      <c r="L1507" s="4">
        <v>1501</v>
      </c>
      <c r="M1507" s="21">
        <v>-21234.554017997492</v>
      </c>
    </row>
    <row r="1508" spans="12:13" x14ac:dyDescent="0.2">
      <c r="L1508" s="4">
        <v>1502</v>
      </c>
      <c r="M1508" s="21">
        <v>-149782.4511838624</v>
      </c>
    </row>
    <row r="1509" spans="12:13" x14ac:dyDescent="0.2">
      <c r="L1509" s="4">
        <v>1503</v>
      </c>
      <c r="M1509" s="21">
        <v>-77887.493966084978</v>
      </c>
    </row>
    <row r="1510" spans="12:13" x14ac:dyDescent="0.2">
      <c r="L1510" s="4">
        <v>1504</v>
      </c>
      <c r="M1510" s="21">
        <v>197693.50116968513</v>
      </c>
    </row>
    <row r="1511" spans="12:13" x14ac:dyDescent="0.2">
      <c r="L1511" s="4">
        <v>1505</v>
      </c>
      <c r="M1511" s="21">
        <v>13332.660862989229</v>
      </c>
    </row>
    <row r="1512" spans="12:13" x14ac:dyDescent="0.2">
      <c r="L1512" s="4">
        <v>1506</v>
      </c>
      <c r="M1512" s="21">
        <v>255264.87747589863</v>
      </c>
    </row>
    <row r="1513" spans="12:13" x14ac:dyDescent="0.2">
      <c r="L1513" s="4">
        <v>1507</v>
      </c>
      <c r="M1513" s="21">
        <v>-279031.48918900429</v>
      </c>
    </row>
    <row r="1514" spans="12:13" x14ac:dyDescent="0.2">
      <c r="L1514" s="4">
        <v>1508</v>
      </c>
      <c r="M1514" s="21">
        <v>198023.41491562471</v>
      </c>
    </row>
    <row r="1515" spans="12:13" x14ac:dyDescent="0.2">
      <c r="L1515" s="4">
        <v>1509</v>
      </c>
      <c r="M1515" s="21">
        <v>135766.96089527424</v>
      </c>
    </row>
    <row r="1516" spans="12:13" x14ac:dyDescent="0.2">
      <c r="L1516" s="4">
        <v>1510</v>
      </c>
      <c r="M1516" s="21">
        <v>-19077.524436312699</v>
      </c>
    </row>
    <row r="1517" spans="12:13" x14ac:dyDescent="0.2">
      <c r="L1517" s="4">
        <v>1511</v>
      </c>
      <c r="M1517" s="21">
        <v>175532.01516066026</v>
      </c>
    </row>
    <row r="1518" spans="12:13" x14ac:dyDescent="0.2">
      <c r="L1518" s="4">
        <v>1512</v>
      </c>
      <c r="M1518" s="21">
        <v>-13475.513811987563</v>
      </c>
    </row>
    <row r="1519" spans="12:13" x14ac:dyDescent="0.2">
      <c r="L1519" s="4">
        <v>1513</v>
      </c>
      <c r="M1519" s="21">
        <v>260414.23124009653</v>
      </c>
    </row>
    <row r="1520" spans="12:13" x14ac:dyDescent="0.2">
      <c r="L1520" s="4">
        <v>1514</v>
      </c>
      <c r="M1520" s="21">
        <v>105651.2953767638</v>
      </c>
    </row>
    <row r="1521" spans="12:13" x14ac:dyDescent="0.2">
      <c r="L1521" s="4">
        <v>1515</v>
      </c>
      <c r="M1521" s="21">
        <v>37003.271662755811</v>
      </c>
    </row>
    <row r="1522" spans="12:13" x14ac:dyDescent="0.2">
      <c r="L1522" s="4">
        <v>1516</v>
      </c>
      <c r="M1522" s="21">
        <v>3157.353956554929</v>
      </c>
    </row>
    <row r="1523" spans="12:13" x14ac:dyDescent="0.2">
      <c r="L1523" s="4">
        <v>1517</v>
      </c>
      <c r="M1523" s="21">
        <v>-57868.133507040475</v>
      </c>
    </row>
    <row r="1524" spans="12:13" x14ac:dyDescent="0.2">
      <c r="L1524" s="4">
        <v>1518</v>
      </c>
      <c r="M1524" s="21">
        <v>-113859.11793775184</v>
      </c>
    </row>
    <row r="1525" spans="12:13" x14ac:dyDescent="0.2">
      <c r="L1525" s="4">
        <v>1519</v>
      </c>
      <c r="M1525" s="21">
        <v>43869.675144039851</v>
      </c>
    </row>
    <row r="1526" spans="12:13" x14ac:dyDescent="0.2">
      <c r="L1526" s="4">
        <v>1520</v>
      </c>
      <c r="M1526" s="21">
        <v>140475.37050463888</v>
      </c>
    </row>
    <row r="1527" spans="12:13" x14ac:dyDescent="0.2">
      <c r="L1527" s="4">
        <v>1521</v>
      </c>
      <c r="M1527" s="21">
        <v>-76289.608065917957</v>
      </c>
    </row>
    <row r="1528" spans="12:13" x14ac:dyDescent="0.2">
      <c r="L1528" s="4">
        <v>1522</v>
      </c>
      <c r="M1528" s="21">
        <v>-56430.004613415498</v>
      </c>
    </row>
    <row r="1529" spans="12:13" x14ac:dyDescent="0.2">
      <c r="L1529" s="4">
        <v>1523</v>
      </c>
      <c r="M1529" s="21">
        <v>39048.774375423818</v>
      </c>
    </row>
    <row r="1530" spans="12:13" x14ac:dyDescent="0.2">
      <c r="L1530" s="4">
        <v>1524</v>
      </c>
      <c r="M1530" s="21">
        <v>25890.243175601179</v>
      </c>
    </row>
    <row r="1531" spans="12:13" x14ac:dyDescent="0.2">
      <c r="L1531" s="4">
        <v>1525</v>
      </c>
      <c r="M1531" s="21">
        <v>91330.431141900772</v>
      </c>
    </row>
    <row r="1532" spans="12:13" x14ac:dyDescent="0.2">
      <c r="L1532" s="4">
        <v>1526</v>
      </c>
      <c r="M1532" s="21">
        <v>146155.33194393548</v>
      </c>
    </row>
    <row r="1533" spans="12:13" x14ac:dyDescent="0.2">
      <c r="L1533" s="4">
        <v>1527</v>
      </c>
      <c r="M1533" s="21">
        <v>-270889.59608299844</v>
      </c>
    </row>
    <row r="1534" spans="12:13" x14ac:dyDescent="0.2">
      <c r="L1534" s="4">
        <v>1528</v>
      </c>
      <c r="M1534" s="21">
        <v>-169386.94382745819</v>
      </c>
    </row>
    <row r="1535" spans="12:13" x14ac:dyDescent="0.2">
      <c r="L1535" s="4">
        <v>1529</v>
      </c>
      <c r="M1535" s="21">
        <v>304559.41888861079</v>
      </c>
    </row>
    <row r="1536" spans="12:13" x14ac:dyDescent="0.2">
      <c r="L1536" s="4">
        <v>1530</v>
      </c>
      <c r="M1536" s="21">
        <v>-143653.90094254492</v>
      </c>
    </row>
    <row r="1537" spans="12:13" x14ac:dyDescent="0.2">
      <c r="L1537" s="4">
        <v>1531</v>
      </c>
      <c r="M1537" s="21">
        <v>178323.97654159128</v>
      </c>
    </row>
    <row r="1538" spans="12:13" x14ac:dyDescent="0.2">
      <c r="L1538" s="4">
        <v>1532</v>
      </c>
      <c r="M1538" s="21">
        <v>-45495.391103823844</v>
      </c>
    </row>
    <row r="1539" spans="12:13" x14ac:dyDescent="0.2">
      <c r="L1539" s="4">
        <v>1533</v>
      </c>
      <c r="M1539" s="21">
        <v>139595.76431935962</v>
      </c>
    </row>
    <row r="1540" spans="12:13" x14ac:dyDescent="0.2">
      <c r="L1540" s="4">
        <v>1534</v>
      </c>
      <c r="M1540" s="21">
        <v>-206771.08794613258</v>
      </c>
    </row>
    <row r="1541" spans="12:13" x14ac:dyDescent="0.2">
      <c r="L1541" s="4">
        <v>1535</v>
      </c>
      <c r="M1541" s="21">
        <v>-77703.762793771704</v>
      </c>
    </row>
    <row r="1542" spans="12:13" x14ac:dyDescent="0.2">
      <c r="L1542" s="4">
        <v>1536</v>
      </c>
      <c r="M1542" s="21">
        <v>-272067.47158059012</v>
      </c>
    </row>
    <row r="1543" spans="12:13" x14ac:dyDescent="0.2">
      <c r="L1543" s="4">
        <v>1537</v>
      </c>
      <c r="M1543" s="21">
        <v>-80344.708411689149</v>
      </c>
    </row>
    <row r="1544" spans="12:13" x14ac:dyDescent="0.2">
      <c r="L1544" s="4">
        <v>1538</v>
      </c>
      <c r="M1544" s="21">
        <v>32226.463010967564</v>
      </c>
    </row>
    <row r="1545" spans="12:13" x14ac:dyDescent="0.2">
      <c r="L1545" s="4">
        <v>1539</v>
      </c>
      <c r="M1545" s="21">
        <v>-47766.76779347354</v>
      </c>
    </row>
    <row r="1546" spans="12:13" x14ac:dyDescent="0.2">
      <c r="L1546" s="4">
        <v>1540</v>
      </c>
      <c r="M1546" s="21">
        <v>-124996.33896923883</v>
      </c>
    </row>
    <row r="1547" spans="12:13" x14ac:dyDescent="0.2">
      <c r="L1547" s="4">
        <v>1541</v>
      </c>
      <c r="M1547" s="21">
        <v>7476.6324636831123</v>
      </c>
    </row>
    <row r="1548" spans="12:13" x14ac:dyDescent="0.2">
      <c r="L1548" s="4">
        <v>1542</v>
      </c>
      <c r="M1548" s="21">
        <v>-26514.409753292013</v>
      </c>
    </row>
    <row r="1549" spans="12:13" x14ac:dyDescent="0.2">
      <c r="L1549" s="4">
        <v>1543</v>
      </c>
      <c r="M1549" s="21">
        <v>135587.36123344919</v>
      </c>
    </row>
    <row r="1550" spans="12:13" x14ac:dyDescent="0.2">
      <c r="L1550" s="4">
        <v>1544</v>
      </c>
      <c r="M1550" s="21">
        <v>-23940.652573607091</v>
      </c>
    </row>
    <row r="1551" spans="12:13" x14ac:dyDescent="0.2">
      <c r="L1551" s="4">
        <v>1545</v>
      </c>
      <c r="M1551" s="21">
        <v>88261.873041692277</v>
      </c>
    </row>
    <row r="1552" spans="12:13" x14ac:dyDescent="0.2">
      <c r="L1552" s="4">
        <v>1546</v>
      </c>
      <c r="M1552" s="21">
        <v>-165741.80561793433</v>
      </c>
    </row>
    <row r="1553" spans="12:13" x14ac:dyDescent="0.2">
      <c r="L1553" s="4">
        <v>1547</v>
      </c>
      <c r="M1553" s="21">
        <v>-72415.749933478306</v>
      </c>
    </row>
    <row r="1554" spans="12:13" x14ac:dyDescent="0.2">
      <c r="L1554" s="4">
        <v>1548</v>
      </c>
      <c r="M1554" s="21">
        <v>38440.743127073074</v>
      </c>
    </row>
    <row r="1555" spans="12:13" x14ac:dyDescent="0.2">
      <c r="L1555" s="4">
        <v>1549</v>
      </c>
      <c r="M1555" s="21">
        <v>167093.40644026539</v>
      </c>
    </row>
    <row r="1556" spans="12:13" x14ac:dyDescent="0.2">
      <c r="L1556" s="4">
        <v>1550</v>
      </c>
      <c r="M1556" s="21">
        <v>-31471.80817670541</v>
      </c>
    </row>
    <row r="1557" spans="12:13" x14ac:dyDescent="0.2">
      <c r="L1557" s="4">
        <v>1551</v>
      </c>
      <c r="M1557" s="21">
        <v>-107726.58260284922</v>
      </c>
    </row>
    <row r="1558" spans="12:13" x14ac:dyDescent="0.2">
      <c r="L1558" s="4">
        <v>1552</v>
      </c>
      <c r="M1558" s="21">
        <v>-67371.018616212808</v>
      </c>
    </row>
    <row r="1559" spans="12:13" x14ac:dyDescent="0.2">
      <c r="L1559" s="4">
        <v>1553</v>
      </c>
      <c r="M1559" s="21">
        <v>-89885.291181573994</v>
      </c>
    </row>
    <row r="1560" spans="12:13" x14ac:dyDescent="0.2">
      <c r="L1560" s="4">
        <v>1554</v>
      </c>
      <c r="M1560" s="21">
        <v>48897.267336437217</v>
      </c>
    </row>
    <row r="1561" spans="12:13" x14ac:dyDescent="0.2">
      <c r="L1561" s="4">
        <v>1555</v>
      </c>
      <c r="M1561" s="21">
        <v>86884.764436479541</v>
      </c>
    </row>
    <row r="1562" spans="12:13" x14ac:dyDescent="0.2">
      <c r="L1562" s="4">
        <v>1556</v>
      </c>
      <c r="M1562" s="21">
        <v>-72964.61220286008</v>
      </c>
    </row>
    <row r="1563" spans="12:13" x14ac:dyDescent="0.2">
      <c r="L1563" s="4">
        <v>1557</v>
      </c>
      <c r="M1563" s="21">
        <v>7099.1326318481297</v>
      </c>
    </row>
    <row r="1564" spans="12:13" x14ac:dyDescent="0.2">
      <c r="L1564" s="4">
        <v>1558</v>
      </c>
      <c r="M1564" s="21">
        <v>-71642.020029651001</v>
      </c>
    </row>
    <row r="1565" spans="12:13" x14ac:dyDescent="0.2">
      <c r="L1565" s="4">
        <v>1559</v>
      </c>
      <c r="M1565" s="21">
        <v>-44545.969941153278</v>
      </c>
    </row>
    <row r="1566" spans="12:13" x14ac:dyDescent="0.2">
      <c r="L1566" s="4">
        <v>1560</v>
      </c>
      <c r="M1566" s="21">
        <v>182693.38197368261</v>
      </c>
    </row>
    <row r="1567" spans="12:13" x14ac:dyDescent="0.2">
      <c r="L1567" s="4">
        <v>1561</v>
      </c>
      <c r="M1567" s="21">
        <v>-120788.87742784827</v>
      </c>
    </row>
    <row r="1568" spans="12:13" x14ac:dyDescent="0.2">
      <c r="L1568" s="4">
        <v>1562</v>
      </c>
      <c r="M1568" s="21">
        <v>-67545.528114127999</v>
      </c>
    </row>
    <row r="1569" spans="12:13" x14ac:dyDescent="0.2">
      <c r="L1569" s="4">
        <v>1563</v>
      </c>
      <c r="M1569" s="21">
        <v>-104757.7806696317</v>
      </c>
    </row>
    <row r="1570" spans="12:13" x14ac:dyDescent="0.2">
      <c r="L1570" s="4">
        <v>1564</v>
      </c>
      <c r="M1570" s="21">
        <v>-167993.02885018356</v>
      </c>
    </row>
    <row r="1571" spans="12:13" x14ac:dyDescent="0.2">
      <c r="L1571" s="4">
        <v>1565</v>
      </c>
      <c r="M1571" s="21">
        <v>155800.41976511304</v>
      </c>
    </row>
    <row r="1572" spans="12:13" x14ac:dyDescent="0.2">
      <c r="L1572" s="4">
        <v>1566</v>
      </c>
      <c r="M1572" s="21">
        <v>-117984.57371389012</v>
      </c>
    </row>
    <row r="1573" spans="12:13" x14ac:dyDescent="0.2">
      <c r="L1573" s="4">
        <v>1567</v>
      </c>
      <c r="M1573" s="21">
        <v>128127.76179369667</v>
      </c>
    </row>
    <row r="1574" spans="12:13" x14ac:dyDescent="0.2">
      <c r="L1574" s="4">
        <v>1568</v>
      </c>
      <c r="M1574" s="21">
        <v>91985.631894573395</v>
      </c>
    </row>
    <row r="1575" spans="12:13" x14ac:dyDescent="0.2">
      <c r="L1575" s="4">
        <v>1569</v>
      </c>
      <c r="M1575" s="21">
        <v>180108.49147055735</v>
      </c>
    </row>
    <row r="1576" spans="12:13" x14ac:dyDescent="0.2">
      <c r="L1576" s="4">
        <v>1570</v>
      </c>
      <c r="M1576" s="21">
        <v>136911.19304247494</v>
      </c>
    </row>
    <row r="1577" spans="12:13" x14ac:dyDescent="0.2">
      <c r="L1577" s="4">
        <v>1571</v>
      </c>
      <c r="M1577" s="21">
        <v>11401.896886208502</v>
      </c>
    </row>
    <row r="1578" spans="12:13" x14ac:dyDescent="0.2">
      <c r="L1578" s="4">
        <v>1572</v>
      </c>
      <c r="M1578" s="21">
        <v>37839.328513735003</v>
      </c>
    </row>
    <row r="1579" spans="12:13" x14ac:dyDescent="0.2">
      <c r="L1579" s="4">
        <v>1573</v>
      </c>
      <c r="M1579" s="21">
        <v>21962.001188479713</v>
      </c>
    </row>
    <row r="1580" spans="12:13" x14ac:dyDescent="0.2">
      <c r="L1580" s="4">
        <v>1574</v>
      </c>
      <c r="M1580" s="21">
        <v>-95371.783649187346</v>
      </c>
    </row>
    <row r="1581" spans="12:13" x14ac:dyDescent="0.2">
      <c r="L1581" s="4">
        <v>1575</v>
      </c>
      <c r="M1581" s="21">
        <v>-96903.358855321785</v>
      </c>
    </row>
    <row r="1582" spans="12:13" x14ac:dyDescent="0.2">
      <c r="L1582" s="4">
        <v>1576</v>
      </c>
      <c r="M1582" s="21">
        <v>-23139.257590763926</v>
      </c>
    </row>
    <row r="1583" spans="12:13" x14ac:dyDescent="0.2">
      <c r="L1583" s="4">
        <v>1577</v>
      </c>
      <c r="M1583" s="21">
        <v>190023.21984250238</v>
      </c>
    </row>
    <row r="1584" spans="12:13" x14ac:dyDescent="0.2">
      <c r="L1584" s="4">
        <v>1578</v>
      </c>
      <c r="M1584" s="21">
        <v>-2572.3216384822153</v>
      </c>
    </row>
    <row r="1585" spans="12:13" x14ac:dyDescent="0.2">
      <c r="L1585" s="4">
        <v>1579</v>
      </c>
      <c r="M1585" s="21">
        <v>-380617.03898272873</v>
      </c>
    </row>
    <row r="1586" spans="12:13" x14ac:dyDescent="0.2">
      <c r="L1586" s="4">
        <v>1580</v>
      </c>
      <c r="M1586" s="21">
        <v>-176359.03869458553</v>
      </c>
    </row>
    <row r="1587" spans="12:13" x14ac:dyDescent="0.2">
      <c r="L1587" s="4">
        <v>1581</v>
      </c>
      <c r="M1587" s="21">
        <v>-28817.998463479904</v>
      </c>
    </row>
    <row r="1588" spans="12:13" x14ac:dyDescent="0.2">
      <c r="L1588" s="4">
        <v>1582</v>
      </c>
      <c r="M1588" s="21">
        <v>-160420.62379118093</v>
      </c>
    </row>
    <row r="1589" spans="12:13" x14ac:dyDescent="0.2">
      <c r="L1589" s="4">
        <v>1583</v>
      </c>
      <c r="M1589" s="21">
        <v>-22095.906728977949</v>
      </c>
    </row>
    <row r="1590" spans="12:13" x14ac:dyDescent="0.2">
      <c r="L1590" s="4">
        <v>1584</v>
      </c>
      <c r="M1590" s="21">
        <v>96676.1143043513</v>
      </c>
    </row>
    <row r="1591" spans="12:13" x14ac:dyDescent="0.2">
      <c r="L1591" s="4">
        <v>1585</v>
      </c>
      <c r="M1591" s="21">
        <v>-205821.50406010979</v>
      </c>
    </row>
    <row r="1592" spans="12:13" x14ac:dyDescent="0.2">
      <c r="L1592" s="4">
        <v>1586</v>
      </c>
      <c r="M1592" s="21">
        <v>-278257.62310007075</v>
      </c>
    </row>
    <row r="1593" spans="12:13" x14ac:dyDescent="0.2">
      <c r="L1593" s="4">
        <v>1587</v>
      </c>
      <c r="M1593" s="21">
        <v>-96847.483234339801</v>
      </c>
    </row>
    <row r="1594" spans="12:13" x14ac:dyDescent="0.2">
      <c r="L1594" s="4">
        <v>1588</v>
      </c>
      <c r="M1594" s="21">
        <v>-89566.9942727296</v>
      </c>
    </row>
    <row r="1595" spans="12:13" x14ac:dyDescent="0.2">
      <c r="L1595" s="4">
        <v>1589</v>
      </c>
      <c r="M1595" s="21">
        <v>299691.47382460593</v>
      </c>
    </row>
    <row r="1596" spans="12:13" x14ac:dyDescent="0.2">
      <c r="L1596" s="4">
        <v>1590</v>
      </c>
      <c r="M1596" s="21">
        <v>-117251.19675386649</v>
      </c>
    </row>
    <row r="1597" spans="12:13" x14ac:dyDescent="0.2">
      <c r="L1597" s="4">
        <v>1591</v>
      </c>
      <c r="M1597" s="21">
        <v>193525.16694279967</v>
      </c>
    </row>
    <row r="1598" spans="12:13" x14ac:dyDescent="0.2">
      <c r="L1598" s="4">
        <v>1592</v>
      </c>
      <c r="M1598" s="21">
        <v>-217699.39917851615</v>
      </c>
    </row>
    <row r="1599" spans="12:13" x14ac:dyDescent="0.2">
      <c r="L1599" s="4">
        <v>1593</v>
      </c>
      <c r="M1599" s="21">
        <v>73559.442570092157</v>
      </c>
    </row>
    <row r="1600" spans="12:13" x14ac:dyDescent="0.2">
      <c r="L1600" s="4">
        <v>1594</v>
      </c>
      <c r="M1600" s="21">
        <v>7667.9626186089299</v>
      </c>
    </row>
    <row r="1601" spans="12:13" x14ac:dyDescent="0.2">
      <c r="L1601" s="4">
        <v>1595</v>
      </c>
      <c r="M1601" s="21">
        <v>25701.469998987246</v>
      </c>
    </row>
    <row r="1602" spans="12:13" x14ac:dyDescent="0.2">
      <c r="L1602" s="4">
        <v>1596</v>
      </c>
      <c r="M1602" s="21">
        <v>-3875.9991462041653</v>
      </c>
    </row>
    <row r="1603" spans="12:13" x14ac:dyDescent="0.2">
      <c r="L1603" s="4">
        <v>1597</v>
      </c>
      <c r="M1603" s="21">
        <v>41319.114207490755</v>
      </c>
    </row>
    <row r="1604" spans="12:13" x14ac:dyDescent="0.2">
      <c r="L1604" s="4">
        <v>1598</v>
      </c>
      <c r="M1604" s="21">
        <v>45145.877548161778</v>
      </c>
    </row>
    <row r="1605" spans="12:13" x14ac:dyDescent="0.2">
      <c r="L1605" s="4">
        <v>1599</v>
      </c>
      <c r="M1605" s="21">
        <v>119733.93851212726</v>
      </c>
    </row>
    <row r="1606" spans="12:13" x14ac:dyDescent="0.2">
      <c r="L1606" s="4">
        <v>1600</v>
      </c>
      <c r="M1606" s="21">
        <v>-249701.05042128527</v>
      </c>
    </row>
    <row r="1607" spans="12:13" x14ac:dyDescent="0.2">
      <c r="L1607" s="4">
        <v>1601</v>
      </c>
      <c r="M1607" s="21">
        <v>-85655.187069948035</v>
      </c>
    </row>
    <row r="1608" spans="12:13" x14ac:dyDescent="0.2">
      <c r="L1608" s="4">
        <v>1602</v>
      </c>
      <c r="M1608" s="21">
        <v>-253325.80672488731</v>
      </c>
    </row>
    <row r="1609" spans="12:13" x14ac:dyDescent="0.2">
      <c r="L1609" s="4">
        <v>1603</v>
      </c>
      <c r="M1609" s="21">
        <v>-346218.55513213464</v>
      </c>
    </row>
    <row r="1610" spans="12:13" x14ac:dyDescent="0.2">
      <c r="L1610" s="4">
        <v>1604</v>
      </c>
      <c r="M1610" s="21">
        <v>59386.799420008552</v>
      </c>
    </row>
    <row r="1611" spans="12:13" x14ac:dyDescent="0.2">
      <c r="L1611" s="4">
        <v>1605</v>
      </c>
      <c r="M1611" s="21">
        <v>-231709.75729079638</v>
      </c>
    </row>
    <row r="1612" spans="12:13" x14ac:dyDescent="0.2">
      <c r="L1612" s="4">
        <v>1606</v>
      </c>
      <c r="M1612" s="21">
        <v>206618.56730141089</v>
      </c>
    </row>
    <row r="1613" spans="12:13" x14ac:dyDescent="0.2">
      <c r="L1613" s="4">
        <v>1607</v>
      </c>
      <c r="M1613" s="21">
        <v>159390.4755887725</v>
      </c>
    </row>
    <row r="1614" spans="12:13" x14ac:dyDescent="0.2">
      <c r="L1614" s="4">
        <v>1608</v>
      </c>
      <c r="M1614" s="21">
        <v>-16621.385828195023</v>
      </c>
    </row>
    <row r="1615" spans="12:13" x14ac:dyDescent="0.2">
      <c r="L1615" s="4">
        <v>1609</v>
      </c>
      <c r="M1615" s="21">
        <v>128197.83013860224</v>
      </c>
    </row>
    <row r="1616" spans="12:13" x14ac:dyDescent="0.2">
      <c r="L1616" s="4">
        <v>1610</v>
      </c>
      <c r="M1616" s="21">
        <v>-128286.41826871534</v>
      </c>
    </row>
    <row r="1617" spans="12:13" x14ac:dyDescent="0.2">
      <c r="L1617" s="4">
        <v>1611</v>
      </c>
      <c r="M1617" s="21">
        <v>-335580.11877379467</v>
      </c>
    </row>
    <row r="1618" spans="12:13" x14ac:dyDescent="0.2">
      <c r="L1618" s="4">
        <v>1612</v>
      </c>
      <c r="M1618" s="21">
        <v>85634.637499481876</v>
      </c>
    </row>
    <row r="1619" spans="12:13" x14ac:dyDescent="0.2">
      <c r="L1619" s="4">
        <v>1613</v>
      </c>
      <c r="M1619" s="21">
        <v>-203388.16147029202</v>
      </c>
    </row>
    <row r="1620" spans="12:13" x14ac:dyDescent="0.2">
      <c r="L1620" s="4">
        <v>1614</v>
      </c>
      <c r="M1620" s="21">
        <v>-175106.60388205445</v>
      </c>
    </row>
    <row r="1621" spans="12:13" x14ac:dyDescent="0.2">
      <c r="L1621" s="4">
        <v>1615</v>
      </c>
      <c r="M1621" s="21">
        <v>-12188.555114100091</v>
      </c>
    </row>
    <row r="1622" spans="12:13" x14ac:dyDescent="0.2">
      <c r="L1622" s="4">
        <v>1616</v>
      </c>
      <c r="M1622" s="21">
        <v>-100644.49853980642</v>
      </c>
    </row>
    <row r="1623" spans="12:13" x14ac:dyDescent="0.2">
      <c r="L1623" s="4">
        <v>1617</v>
      </c>
      <c r="M1623" s="21">
        <v>187700.56907318076</v>
      </c>
    </row>
    <row r="1624" spans="12:13" x14ac:dyDescent="0.2">
      <c r="L1624" s="4">
        <v>1618</v>
      </c>
      <c r="M1624" s="21">
        <v>-100013.74654675862</v>
      </c>
    </row>
    <row r="1625" spans="12:13" x14ac:dyDescent="0.2">
      <c r="L1625" s="4">
        <v>1619</v>
      </c>
      <c r="M1625" s="21">
        <v>140050.77286965027</v>
      </c>
    </row>
    <row r="1626" spans="12:13" x14ac:dyDescent="0.2">
      <c r="L1626" s="4">
        <v>1620</v>
      </c>
      <c r="M1626" s="21">
        <v>210598.94763258129</v>
      </c>
    </row>
    <row r="1627" spans="12:13" x14ac:dyDescent="0.2">
      <c r="L1627" s="4">
        <v>1621</v>
      </c>
      <c r="M1627" s="21">
        <v>-336821.02243009908</v>
      </c>
    </row>
    <row r="1628" spans="12:13" x14ac:dyDescent="0.2">
      <c r="L1628" s="4">
        <v>1622</v>
      </c>
      <c r="M1628" s="21">
        <v>152372.93374122615</v>
      </c>
    </row>
    <row r="1629" spans="12:13" x14ac:dyDescent="0.2">
      <c r="L1629" s="4">
        <v>1623</v>
      </c>
      <c r="M1629" s="21">
        <v>141480.32628924967</v>
      </c>
    </row>
    <row r="1630" spans="12:13" x14ac:dyDescent="0.2">
      <c r="L1630" s="4">
        <v>1624</v>
      </c>
      <c r="M1630" s="21">
        <v>46566.596756345563</v>
      </c>
    </row>
    <row r="1631" spans="12:13" x14ac:dyDescent="0.2">
      <c r="L1631" s="4">
        <v>1625</v>
      </c>
      <c r="M1631" s="21">
        <v>14582.031232902402</v>
      </c>
    </row>
    <row r="1632" spans="12:13" x14ac:dyDescent="0.2">
      <c r="L1632" s="4">
        <v>1626</v>
      </c>
      <c r="M1632" s="21">
        <v>13359.572404186358</v>
      </c>
    </row>
    <row r="1633" spans="12:13" x14ac:dyDescent="0.2">
      <c r="L1633" s="4">
        <v>1627</v>
      </c>
      <c r="M1633" s="21">
        <v>-23488.487916845086</v>
      </c>
    </row>
    <row r="1634" spans="12:13" x14ac:dyDescent="0.2">
      <c r="L1634" s="4">
        <v>1628</v>
      </c>
      <c r="M1634" s="21">
        <v>-252081.92249747546</v>
      </c>
    </row>
    <row r="1635" spans="12:13" x14ac:dyDescent="0.2">
      <c r="L1635" s="4">
        <v>1629</v>
      </c>
      <c r="M1635" s="21">
        <v>-162032.37049351356</v>
      </c>
    </row>
    <row r="1636" spans="12:13" x14ac:dyDescent="0.2">
      <c r="L1636" s="4">
        <v>1630</v>
      </c>
      <c r="M1636" s="21">
        <v>20902.090367530211</v>
      </c>
    </row>
    <row r="1637" spans="12:13" x14ac:dyDescent="0.2">
      <c r="L1637" s="4">
        <v>1631</v>
      </c>
      <c r="M1637" s="21">
        <v>219992.86462279942</v>
      </c>
    </row>
    <row r="1638" spans="12:13" x14ac:dyDescent="0.2">
      <c r="L1638" s="4">
        <v>1632</v>
      </c>
      <c r="M1638" s="21">
        <v>21185.028460944974</v>
      </c>
    </row>
    <row r="1639" spans="12:13" x14ac:dyDescent="0.2">
      <c r="L1639" s="4">
        <v>1633</v>
      </c>
      <c r="M1639" s="21">
        <v>141544.6311167356</v>
      </c>
    </row>
    <row r="1640" spans="12:13" x14ac:dyDescent="0.2">
      <c r="L1640" s="4">
        <v>1634</v>
      </c>
      <c r="M1640" s="21">
        <v>-106916.02209501916</v>
      </c>
    </row>
    <row r="1641" spans="12:13" x14ac:dyDescent="0.2">
      <c r="L1641" s="4">
        <v>1635</v>
      </c>
      <c r="M1641" s="21">
        <v>-62981.96325000604</v>
      </c>
    </row>
    <row r="1642" spans="12:13" x14ac:dyDescent="0.2">
      <c r="L1642" s="4">
        <v>1636</v>
      </c>
      <c r="M1642" s="21">
        <v>-120043.5923503189</v>
      </c>
    </row>
    <row r="1643" spans="12:13" x14ac:dyDescent="0.2">
      <c r="L1643" s="4">
        <v>1637</v>
      </c>
      <c r="M1643" s="21">
        <v>-44299.587115454517</v>
      </c>
    </row>
    <row r="1644" spans="12:13" x14ac:dyDescent="0.2">
      <c r="L1644" s="4">
        <v>1638</v>
      </c>
      <c r="M1644" s="21">
        <v>-137921.54700799822</v>
      </c>
    </row>
    <row r="1645" spans="12:13" x14ac:dyDescent="0.2">
      <c r="L1645" s="4">
        <v>1639</v>
      </c>
      <c r="M1645" s="21">
        <v>-124027.30237693936</v>
      </c>
    </row>
    <row r="1646" spans="12:13" x14ac:dyDescent="0.2">
      <c r="L1646" s="4">
        <v>1640</v>
      </c>
      <c r="M1646" s="21">
        <v>46077.251507329027</v>
      </c>
    </row>
    <row r="1647" spans="12:13" x14ac:dyDescent="0.2">
      <c r="L1647" s="4">
        <v>1641</v>
      </c>
      <c r="M1647" s="21">
        <v>72991.948499528022</v>
      </c>
    </row>
    <row r="1648" spans="12:13" x14ac:dyDescent="0.2">
      <c r="L1648" s="4">
        <v>1642</v>
      </c>
      <c r="M1648" s="21">
        <v>-137939.2568256763</v>
      </c>
    </row>
    <row r="1649" spans="12:13" x14ac:dyDescent="0.2">
      <c r="L1649" s="4">
        <v>1643</v>
      </c>
      <c r="M1649" s="21">
        <v>156832.94166203745</v>
      </c>
    </row>
    <row r="1650" spans="12:13" x14ac:dyDescent="0.2">
      <c r="L1650" s="4">
        <v>1644</v>
      </c>
      <c r="M1650" s="21">
        <v>237961.61956052395</v>
      </c>
    </row>
    <row r="1651" spans="12:13" x14ac:dyDescent="0.2">
      <c r="L1651" s="4">
        <v>1645</v>
      </c>
      <c r="M1651" s="21">
        <v>25179.115549693757</v>
      </c>
    </row>
    <row r="1652" spans="12:13" x14ac:dyDescent="0.2">
      <c r="L1652" s="4">
        <v>1646</v>
      </c>
      <c r="M1652" s="21">
        <v>-54553.621136968621</v>
      </c>
    </row>
    <row r="1653" spans="12:13" x14ac:dyDescent="0.2">
      <c r="L1653" s="4">
        <v>1647</v>
      </c>
      <c r="M1653" s="21">
        <v>168687.22661625326</v>
      </c>
    </row>
    <row r="1654" spans="12:13" x14ac:dyDescent="0.2">
      <c r="L1654" s="4">
        <v>1648</v>
      </c>
      <c r="M1654" s="21">
        <v>90476.844583807018</v>
      </c>
    </row>
    <row r="1655" spans="12:13" x14ac:dyDescent="0.2">
      <c r="L1655" s="4">
        <v>1649</v>
      </c>
      <c r="M1655" s="21">
        <v>113769.87746446376</v>
      </c>
    </row>
    <row r="1656" spans="12:13" x14ac:dyDescent="0.2">
      <c r="L1656" s="4">
        <v>1650</v>
      </c>
      <c r="M1656" s="21">
        <v>59855.058586517494</v>
      </c>
    </row>
    <row r="1657" spans="12:13" x14ac:dyDescent="0.2">
      <c r="L1657" s="4">
        <v>1651</v>
      </c>
      <c r="M1657" s="21">
        <v>-10241.398697366618</v>
      </c>
    </row>
    <row r="1658" spans="12:13" x14ac:dyDescent="0.2">
      <c r="L1658" s="4">
        <v>1652</v>
      </c>
      <c r="M1658" s="21">
        <v>26545.276109236293</v>
      </c>
    </row>
    <row r="1659" spans="12:13" x14ac:dyDescent="0.2">
      <c r="L1659" s="4">
        <v>1653</v>
      </c>
      <c r="M1659" s="21">
        <v>34460.856875861471</v>
      </c>
    </row>
    <row r="1660" spans="12:13" x14ac:dyDescent="0.2">
      <c r="L1660" s="4">
        <v>1654</v>
      </c>
      <c r="M1660" s="21">
        <v>-95027.934039103609</v>
      </c>
    </row>
    <row r="1661" spans="12:13" x14ac:dyDescent="0.2">
      <c r="L1661" s="4">
        <v>1655</v>
      </c>
      <c r="M1661" s="21">
        <v>-100964.1307604559</v>
      </c>
    </row>
    <row r="1662" spans="12:13" x14ac:dyDescent="0.2">
      <c r="L1662" s="4">
        <v>1656</v>
      </c>
      <c r="M1662" s="21">
        <v>-34952.245625279276</v>
      </c>
    </row>
    <row r="1663" spans="12:13" x14ac:dyDescent="0.2">
      <c r="L1663" s="4">
        <v>1657</v>
      </c>
      <c r="M1663" s="21">
        <v>-5737.8520427464391</v>
      </c>
    </row>
    <row r="1664" spans="12:13" x14ac:dyDescent="0.2">
      <c r="L1664" s="4">
        <v>1658</v>
      </c>
      <c r="M1664" s="21">
        <v>-296894.22370064573</v>
      </c>
    </row>
    <row r="1665" spans="12:13" x14ac:dyDescent="0.2">
      <c r="L1665" s="4">
        <v>1659</v>
      </c>
      <c r="M1665" s="21">
        <v>-22752.203100015875</v>
      </c>
    </row>
    <row r="1666" spans="12:13" x14ac:dyDescent="0.2">
      <c r="L1666" s="4">
        <v>1660</v>
      </c>
      <c r="M1666" s="21">
        <v>62792.840656601707</v>
      </c>
    </row>
    <row r="1667" spans="12:13" x14ac:dyDescent="0.2">
      <c r="L1667" s="4">
        <v>1661</v>
      </c>
      <c r="M1667" s="21">
        <v>-114953.39672549638</v>
      </c>
    </row>
    <row r="1668" spans="12:13" x14ac:dyDescent="0.2">
      <c r="L1668" s="4">
        <v>1662</v>
      </c>
      <c r="M1668" s="21">
        <v>102826.48024287031</v>
      </c>
    </row>
    <row r="1669" spans="12:13" x14ac:dyDescent="0.2">
      <c r="L1669" s="4">
        <v>1663</v>
      </c>
      <c r="M1669" s="21">
        <v>-338737.38041786011</v>
      </c>
    </row>
    <row r="1670" spans="12:13" x14ac:dyDescent="0.2">
      <c r="L1670" s="4">
        <v>1664</v>
      </c>
      <c r="M1670" s="21">
        <v>103280.5072978278</v>
      </c>
    </row>
    <row r="1671" spans="12:13" x14ac:dyDescent="0.2">
      <c r="L1671" s="4">
        <v>1665</v>
      </c>
      <c r="M1671" s="21">
        <v>181270.20880795547</v>
      </c>
    </row>
    <row r="1672" spans="12:13" x14ac:dyDescent="0.2">
      <c r="L1672" s="4">
        <v>1666</v>
      </c>
      <c r="M1672" s="21">
        <v>-73345.583567016132</v>
      </c>
    </row>
    <row r="1673" spans="12:13" x14ac:dyDescent="0.2">
      <c r="L1673" s="4">
        <v>1667</v>
      </c>
      <c r="M1673" s="21">
        <v>-16482.949684103849</v>
      </c>
    </row>
    <row r="1674" spans="12:13" x14ac:dyDescent="0.2">
      <c r="L1674" s="4">
        <v>1668</v>
      </c>
      <c r="M1674" s="21">
        <v>111137.6680626446</v>
      </c>
    </row>
    <row r="1675" spans="12:13" x14ac:dyDescent="0.2">
      <c r="L1675" s="4">
        <v>1669</v>
      </c>
      <c r="M1675" s="21">
        <v>96775.736366843194</v>
      </c>
    </row>
    <row r="1676" spans="12:13" x14ac:dyDescent="0.2">
      <c r="L1676" s="4">
        <v>1670</v>
      </c>
      <c r="M1676" s="21">
        <v>105072.06062247048</v>
      </c>
    </row>
    <row r="1677" spans="12:13" x14ac:dyDescent="0.2">
      <c r="L1677" s="4">
        <v>1671</v>
      </c>
      <c r="M1677" s="21">
        <v>-114.16232778485573</v>
      </c>
    </row>
    <row r="1678" spans="12:13" x14ac:dyDescent="0.2">
      <c r="L1678" s="4">
        <v>1672</v>
      </c>
      <c r="M1678" s="21">
        <v>119518.24367718981</v>
      </c>
    </row>
    <row r="1679" spans="12:13" x14ac:dyDescent="0.2">
      <c r="L1679" s="4">
        <v>1673</v>
      </c>
      <c r="M1679" s="21">
        <v>-195954.22558445518</v>
      </c>
    </row>
    <row r="1680" spans="12:13" x14ac:dyDescent="0.2">
      <c r="L1680" s="4">
        <v>1674</v>
      </c>
      <c r="M1680" s="21">
        <v>-62264.805718993812</v>
      </c>
    </row>
    <row r="1681" spans="12:13" x14ac:dyDescent="0.2">
      <c r="L1681" s="4">
        <v>1675</v>
      </c>
      <c r="M1681" s="21">
        <v>-53010.095998644116</v>
      </c>
    </row>
    <row r="1682" spans="12:13" x14ac:dyDescent="0.2">
      <c r="L1682" s="4">
        <v>1676</v>
      </c>
      <c r="M1682" s="21">
        <v>84811.164621924894</v>
      </c>
    </row>
    <row r="1683" spans="12:13" x14ac:dyDescent="0.2">
      <c r="L1683" s="4">
        <v>1677</v>
      </c>
      <c r="M1683" s="21">
        <v>86552.769390638918</v>
      </c>
    </row>
    <row r="1684" spans="12:13" x14ac:dyDescent="0.2">
      <c r="L1684" s="4">
        <v>1678</v>
      </c>
      <c r="M1684" s="21">
        <v>150169.44931987196</v>
      </c>
    </row>
    <row r="1685" spans="12:13" x14ac:dyDescent="0.2">
      <c r="L1685" s="4">
        <v>1679</v>
      </c>
      <c r="M1685" s="21">
        <v>-74991.256676838137</v>
      </c>
    </row>
    <row r="1686" spans="12:13" x14ac:dyDescent="0.2">
      <c r="L1686" s="4">
        <v>1680</v>
      </c>
      <c r="M1686" s="21">
        <v>-36665.607889276187</v>
      </c>
    </row>
    <row r="1687" spans="12:13" x14ac:dyDescent="0.2">
      <c r="L1687" s="4">
        <v>1681</v>
      </c>
      <c r="M1687" s="21">
        <v>107352.99812373347</v>
      </c>
    </row>
    <row r="1688" spans="12:13" x14ac:dyDescent="0.2">
      <c r="L1688" s="4">
        <v>1682</v>
      </c>
      <c r="M1688" s="21">
        <v>-78035.164975912863</v>
      </c>
    </row>
    <row r="1689" spans="12:13" x14ac:dyDescent="0.2">
      <c r="L1689" s="4">
        <v>1683</v>
      </c>
      <c r="M1689" s="21">
        <v>-388274.37297980103</v>
      </c>
    </row>
    <row r="1690" spans="12:13" x14ac:dyDescent="0.2">
      <c r="L1690" s="4">
        <v>1684</v>
      </c>
      <c r="M1690" s="21">
        <v>-118090.21691864637</v>
      </c>
    </row>
    <row r="1691" spans="12:13" x14ac:dyDescent="0.2">
      <c r="L1691" s="4">
        <v>1685</v>
      </c>
      <c r="M1691" s="21">
        <v>-202459.64161443672</v>
      </c>
    </row>
    <row r="1692" spans="12:13" x14ac:dyDescent="0.2">
      <c r="L1692" s="4">
        <v>1686</v>
      </c>
      <c r="M1692" s="21">
        <v>-178076.96544031316</v>
      </c>
    </row>
    <row r="1693" spans="12:13" x14ac:dyDescent="0.2">
      <c r="L1693" s="4">
        <v>1687</v>
      </c>
      <c r="M1693" s="21">
        <v>91102.591381306382</v>
      </c>
    </row>
    <row r="1694" spans="12:13" x14ac:dyDescent="0.2">
      <c r="L1694" s="4">
        <v>1688</v>
      </c>
      <c r="M1694" s="21">
        <v>10308.604637077602</v>
      </c>
    </row>
    <row r="1695" spans="12:13" x14ac:dyDescent="0.2">
      <c r="L1695" s="4">
        <v>1689</v>
      </c>
      <c r="M1695" s="21">
        <v>-109419.20377808073</v>
      </c>
    </row>
    <row r="1696" spans="12:13" x14ac:dyDescent="0.2">
      <c r="L1696" s="4">
        <v>1690</v>
      </c>
      <c r="M1696" s="21">
        <v>-241415.13443353659</v>
      </c>
    </row>
    <row r="1697" spans="12:13" x14ac:dyDescent="0.2">
      <c r="L1697" s="4">
        <v>1691</v>
      </c>
      <c r="M1697" s="21">
        <v>14176.318914336123</v>
      </c>
    </row>
    <row r="1698" spans="12:13" x14ac:dyDescent="0.2">
      <c r="L1698" s="4">
        <v>1692</v>
      </c>
      <c r="M1698" s="21">
        <v>107267.67385203432</v>
      </c>
    </row>
    <row r="1699" spans="12:13" x14ac:dyDescent="0.2">
      <c r="L1699" s="4">
        <v>1693</v>
      </c>
      <c r="M1699" s="21">
        <v>3881.5484787490859</v>
      </c>
    </row>
    <row r="1700" spans="12:13" x14ac:dyDescent="0.2">
      <c r="L1700" s="4">
        <v>1694</v>
      </c>
      <c r="M1700" s="21">
        <v>42941.564973481523</v>
      </c>
    </row>
    <row r="1701" spans="12:13" x14ac:dyDescent="0.2">
      <c r="L1701" s="4">
        <v>1695</v>
      </c>
      <c r="M1701" s="21">
        <v>58784.481667592772</v>
      </c>
    </row>
    <row r="1702" spans="12:13" x14ac:dyDescent="0.2">
      <c r="L1702" s="4">
        <v>1696</v>
      </c>
      <c r="M1702" s="21">
        <v>15554.602030081587</v>
      </c>
    </row>
    <row r="1703" spans="12:13" x14ac:dyDescent="0.2">
      <c r="L1703" s="4">
        <v>1697</v>
      </c>
      <c r="M1703" s="21">
        <v>-148417.70283915687</v>
      </c>
    </row>
    <row r="1704" spans="12:13" x14ac:dyDescent="0.2">
      <c r="L1704" s="4">
        <v>1698</v>
      </c>
      <c r="M1704" s="21">
        <v>-125833.86081003255</v>
      </c>
    </row>
    <row r="1705" spans="12:13" x14ac:dyDescent="0.2">
      <c r="L1705" s="4">
        <v>1699</v>
      </c>
      <c r="M1705" s="21">
        <v>241027.99954574488</v>
      </c>
    </row>
    <row r="1706" spans="12:13" x14ac:dyDescent="0.2">
      <c r="L1706" s="4">
        <v>1700</v>
      </c>
      <c r="M1706" s="21">
        <v>2061.3946200476785</v>
      </c>
    </row>
    <row r="1707" spans="12:13" x14ac:dyDescent="0.2">
      <c r="L1707" s="4">
        <v>1701</v>
      </c>
      <c r="M1707" s="21">
        <v>84876.810916628776</v>
      </c>
    </row>
    <row r="1708" spans="12:13" x14ac:dyDescent="0.2">
      <c r="L1708" s="4">
        <v>1702</v>
      </c>
      <c r="M1708" s="21">
        <v>218099.06147330574</v>
      </c>
    </row>
    <row r="1709" spans="12:13" x14ac:dyDescent="0.2">
      <c r="L1709" s="4">
        <v>1703</v>
      </c>
      <c r="M1709" s="21">
        <v>215928.44641604443</v>
      </c>
    </row>
    <row r="1710" spans="12:13" x14ac:dyDescent="0.2">
      <c r="L1710" s="4">
        <v>1704</v>
      </c>
      <c r="M1710" s="21">
        <v>-281035.05758184765</v>
      </c>
    </row>
    <row r="1711" spans="12:13" x14ac:dyDescent="0.2">
      <c r="L1711" s="4">
        <v>1705</v>
      </c>
      <c r="M1711" s="21">
        <v>-19382.604366777334</v>
      </c>
    </row>
    <row r="1712" spans="12:13" x14ac:dyDescent="0.2">
      <c r="L1712" s="4">
        <v>1706</v>
      </c>
      <c r="M1712" s="21">
        <v>135657.4647044958</v>
      </c>
    </row>
    <row r="1713" spans="12:13" x14ac:dyDescent="0.2">
      <c r="L1713" s="4">
        <v>1707</v>
      </c>
      <c r="M1713" s="21">
        <v>291955.59375603485</v>
      </c>
    </row>
    <row r="1714" spans="12:13" x14ac:dyDescent="0.2">
      <c r="L1714" s="4">
        <v>1708</v>
      </c>
      <c r="M1714" s="21">
        <v>-141444.22193863106</v>
      </c>
    </row>
    <row r="1715" spans="12:13" x14ac:dyDescent="0.2">
      <c r="L1715" s="4">
        <v>1709</v>
      </c>
      <c r="M1715" s="21">
        <v>-192410.40616336791</v>
      </c>
    </row>
    <row r="1716" spans="12:13" x14ac:dyDescent="0.2">
      <c r="L1716" s="4">
        <v>1710</v>
      </c>
      <c r="M1716" s="21">
        <v>26595.231830090517</v>
      </c>
    </row>
    <row r="1717" spans="12:13" x14ac:dyDescent="0.2">
      <c r="L1717" s="4">
        <v>1711</v>
      </c>
      <c r="M1717" s="21">
        <v>49349.785357319401</v>
      </c>
    </row>
    <row r="1718" spans="12:13" x14ac:dyDescent="0.2">
      <c r="L1718" s="4">
        <v>1712</v>
      </c>
      <c r="M1718" s="21">
        <v>-89429.548099476364</v>
      </c>
    </row>
    <row r="1719" spans="12:13" x14ac:dyDescent="0.2">
      <c r="L1719" s="4">
        <v>1713</v>
      </c>
      <c r="M1719" s="21">
        <v>232566.37586556995</v>
      </c>
    </row>
    <row r="1720" spans="12:13" x14ac:dyDescent="0.2">
      <c r="L1720" s="4">
        <v>1714</v>
      </c>
      <c r="M1720" s="21">
        <v>-141841.8601613674</v>
      </c>
    </row>
    <row r="1721" spans="12:13" x14ac:dyDescent="0.2">
      <c r="L1721" s="4">
        <v>1715</v>
      </c>
      <c r="M1721" s="21">
        <v>30279.340056216461</v>
      </c>
    </row>
    <row r="1722" spans="12:13" x14ac:dyDescent="0.2">
      <c r="L1722" s="4">
        <v>1716</v>
      </c>
      <c r="M1722" s="21">
        <v>66204.529704923945</v>
      </c>
    </row>
    <row r="1723" spans="12:13" x14ac:dyDescent="0.2">
      <c r="L1723" s="4">
        <v>1717</v>
      </c>
      <c r="M1723" s="21">
        <v>1650.1794244279445</v>
      </c>
    </row>
    <row r="1724" spans="12:13" x14ac:dyDescent="0.2">
      <c r="L1724" s="4">
        <v>1718</v>
      </c>
      <c r="M1724" s="21">
        <v>71522.564764476323</v>
      </c>
    </row>
    <row r="1725" spans="12:13" x14ac:dyDescent="0.2">
      <c r="L1725" s="4">
        <v>1719</v>
      </c>
      <c r="M1725" s="21">
        <v>-201299.74620316425</v>
      </c>
    </row>
    <row r="1726" spans="12:13" x14ac:dyDescent="0.2">
      <c r="L1726" s="4">
        <v>1720</v>
      </c>
      <c r="M1726" s="21">
        <v>48189.541840843478</v>
      </c>
    </row>
    <row r="1727" spans="12:13" x14ac:dyDescent="0.2">
      <c r="L1727" s="4">
        <v>1721</v>
      </c>
      <c r="M1727" s="21">
        <v>-114854.69462672982</v>
      </c>
    </row>
    <row r="1728" spans="12:13" x14ac:dyDescent="0.2">
      <c r="L1728" s="4">
        <v>1722</v>
      </c>
      <c r="M1728" s="21">
        <v>67534.372927058721</v>
      </c>
    </row>
    <row r="1729" spans="12:13" x14ac:dyDescent="0.2">
      <c r="L1729" s="4">
        <v>1723</v>
      </c>
      <c r="M1729" s="21">
        <v>14468.908665717434</v>
      </c>
    </row>
    <row r="1730" spans="12:13" x14ac:dyDescent="0.2">
      <c r="L1730" s="4">
        <v>1724</v>
      </c>
      <c r="M1730" s="21">
        <v>-91325.778757825319</v>
      </c>
    </row>
    <row r="1731" spans="12:13" x14ac:dyDescent="0.2">
      <c r="L1731" s="4">
        <v>1725</v>
      </c>
      <c r="M1731" s="21">
        <v>-101556.45846418729</v>
      </c>
    </row>
    <row r="1732" spans="12:13" x14ac:dyDescent="0.2">
      <c r="L1732" s="4">
        <v>1726</v>
      </c>
      <c r="M1732" s="21">
        <v>-230209.5238298155</v>
      </c>
    </row>
    <row r="1733" spans="12:13" x14ac:dyDescent="0.2">
      <c r="L1733" s="4">
        <v>1727</v>
      </c>
      <c r="M1733" s="21">
        <v>-60038.599159539794</v>
      </c>
    </row>
    <row r="1734" spans="12:13" x14ac:dyDescent="0.2">
      <c r="L1734" s="4">
        <v>1728</v>
      </c>
      <c r="M1734" s="21">
        <v>-146675.32885503361</v>
      </c>
    </row>
    <row r="1735" spans="12:13" x14ac:dyDescent="0.2">
      <c r="L1735" s="4">
        <v>1729</v>
      </c>
      <c r="M1735" s="21">
        <v>-66734.522867133288</v>
      </c>
    </row>
    <row r="1736" spans="12:13" x14ac:dyDescent="0.2">
      <c r="L1736" s="4">
        <v>1730</v>
      </c>
      <c r="M1736" s="21">
        <v>15127.817560700903</v>
      </c>
    </row>
    <row r="1737" spans="12:13" x14ac:dyDescent="0.2">
      <c r="L1737" s="4">
        <v>1731</v>
      </c>
      <c r="M1737" s="21">
        <v>-87951.693976594514</v>
      </c>
    </row>
    <row r="1738" spans="12:13" x14ac:dyDescent="0.2">
      <c r="L1738" s="4">
        <v>1732</v>
      </c>
      <c r="M1738" s="21">
        <v>-68257.555242490998</v>
      </c>
    </row>
    <row r="1739" spans="12:13" x14ac:dyDescent="0.2">
      <c r="L1739" s="4">
        <v>1733</v>
      </c>
      <c r="M1739" s="21">
        <v>-98902.818723483637</v>
      </c>
    </row>
    <row r="1740" spans="12:13" x14ac:dyDescent="0.2">
      <c r="L1740" s="4">
        <v>1734</v>
      </c>
      <c r="M1740" s="21">
        <v>117110.22029965027</v>
      </c>
    </row>
    <row r="1741" spans="12:13" x14ac:dyDescent="0.2">
      <c r="L1741" s="4">
        <v>1735</v>
      </c>
      <c r="M1741" s="21">
        <v>197717.28470031335</v>
      </c>
    </row>
    <row r="1742" spans="12:13" x14ac:dyDescent="0.2">
      <c r="L1742" s="4">
        <v>1736</v>
      </c>
      <c r="M1742" s="21">
        <v>179562.0793456799</v>
      </c>
    </row>
    <row r="1743" spans="12:13" x14ac:dyDescent="0.2">
      <c r="L1743" s="4">
        <v>1737</v>
      </c>
      <c r="M1743" s="21">
        <v>-83246.557783077355</v>
      </c>
    </row>
    <row r="1744" spans="12:13" x14ac:dyDescent="0.2">
      <c r="L1744" s="4">
        <v>1738</v>
      </c>
      <c r="M1744" s="21">
        <v>105133.19554122348</v>
      </c>
    </row>
    <row r="1745" spans="12:13" x14ac:dyDescent="0.2">
      <c r="L1745" s="4">
        <v>1739</v>
      </c>
      <c r="M1745" s="21">
        <v>-100347.1168978635</v>
      </c>
    </row>
    <row r="1746" spans="12:13" x14ac:dyDescent="0.2">
      <c r="L1746" s="4">
        <v>1740</v>
      </c>
      <c r="M1746" s="21">
        <v>77383.211197853641</v>
      </c>
    </row>
    <row r="1747" spans="12:13" x14ac:dyDescent="0.2">
      <c r="L1747" s="4">
        <v>1741</v>
      </c>
      <c r="M1747" s="21">
        <v>148481.20764529405</v>
      </c>
    </row>
    <row r="1748" spans="12:13" x14ac:dyDescent="0.2">
      <c r="L1748" s="4">
        <v>1742</v>
      </c>
      <c r="M1748" s="21">
        <v>288267.64279704448</v>
      </c>
    </row>
    <row r="1749" spans="12:13" x14ac:dyDescent="0.2">
      <c r="L1749" s="4">
        <v>1743</v>
      </c>
      <c r="M1749" s="21">
        <v>-107948.67257011576</v>
      </c>
    </row>
    <row r="1750" spans="12:13" x14ac:dyDescent="0.2">
      <c r="L1750" s="4">
        <v>1744</v>
      </c>
      <c r="M1750" s="21">
        <v>-17788.288213047999</v>
      </c>
    </row>
    <row r="1751" spans="12:13" x14ac:dyDescent="0.2">
      <c r="L1751" s="4">
        <v>1745</v>
      </c>
      <c r="M1751" s="21">
        <v>305240.34786531352</v>
      </c>
    </row>
    <row r="1752" spans="12:13" x14ac:dyDescent="0.2">
      <c r="L1752" s="4">
        <v>1746</v>
      </c>
      <c r="M1752" s="21">
        <v>90114.35869572204</v>
      </c>
    </row>
    <row r="1753" spans="12:13" x14ac:dyDescent="0.2">
      <c r="L1753" s="4">
        <v>1747</v>
      </c>
      <c r="M1753" s="21">
        <v>-101281.85434505867</v>
      </c>
    </row>
    <row r="1754" spans="12:13" x14ac:dyDescent="0.2">
      <c r="L1754" s="4">
        <v>1748</v>
      </c>
      <c r="M1754" s="21">
        <v>24855.847585311218</v>
      </c>
    </row>
    <row r="1755" spans="12:13" x14ac:dyDescent="0.2">
      <c r="L1755" s="4">
        <v>1749</v>
      </c>
      <c r="M1755" s="21">
        <v>-319676.3694177476</v>
      </c>
    </row>
    <row r="1756" spans="12:13" x14ac:dyDescent="0.2">
      <c r="L1756" s="4">
        <v>1750</v>
      </c>
      <c r="M1756" s="21">
        <v>41601.393002397759</v>
      </c>
    </row>
    <row r="1757" spans="12:13" x14ac:dyDescent="0.2">
      <c r="L1757" s="4">
        <v>1751</v>
      </c>
      <c r="M1757" s="21">
        <v>125902.04125257267</v>
      </c>
    </row>
    <row r="1758" spans="12:13" x14ac:dyDescent="0.2">
      <c r="L1758" s="4">
        <v>1752</v>
      </c>
      <c r="M1758" s="21">
        <v>52724.407344723382</v>
      </c>
    </row>
    <row r="1759" spans="12:13" x14ac:dyDescent="0.2">
      <c r="L1759" s="4">
        <v>1753</v>
      </c>
      <c r="M1759" s="21">
        <v>-220620.27043499117</v>
      </c>
    </row>
    <row r="1760" spans="12:13" x14ac:dyDescent="0.2">
      <c r="L1760" s="4">
        <v>1754</v>
      </c>
      <c r="M1760" s="21">
        <v>-374866.9680000341</v>
      </c>
    </row>
    <row r="1761" spans="12:13" x14ac:dyDescent="0.2">
      <c r="L1761" s="4">
        <v>1755</v>
      </c>
      <c r="M1761" s="21">
        <v>-81966.464894117875</v>
      </c>
    </row>
    <row r="1762" spans="12:13" x14ac:dyDescent="0.2">
      <c r="L1762" s="4">
        <v>1756</v>
      </c>
      <c r="M1762" s="21">
        <v>-40711.063450353337</v>
      </c>
    </row>
    <row r="1763" spans="12:13" x14ac:dyDescent="0.2">
      <c r="L1763" s="4">
        <v>1757</v>
      </c>
      <c r="M1763" s="21">
        <v>-19428.919601845599</v>
      </c>
    </row>
    <row r="1764" spans="12:13" x14ac:dyDescent="0.2">
      <c r="L1764" s="4">
        <v>1758</v>
      </c>
      <c r="M1764" s="21">
        <v>68413.148973592411</v>
      </c>
    </row>
    <row r="1765" spans="12:13" x14ac:dyDescent="0.2">
      <c r="L1765" s="4">
        <v>1759</v>
      </c>
      <c r="M1765" s="21">
        <v>-146297.52453732694</v>
      </c>
    </row>
    <row r="1766" spans="12:13" x14ac:dyDescent="0.2">
      <c r="L1766" s="4">
        <v>1760</v>
      </c>
      <c r="M1766" s="21">
        <v>14132.063754770992</v>
      </c>
    </row>
    <row r="1767" spans="12:13" x14ac:dyDescent="0.2">
      <c r="L1767" s="4">
        <v>1761</v>
      </c>
      <c r="M1767" s="21">
        <v>140299.9456479527</v>
      </c>
    </row>
    <row r="1768" spans="12:13" x14ac:dyDescent="0.2">
      <c r="L1768" s="4">
        <v>1762</v>
      </c>
      <c r="M1768" s="21">
        <v>387640.6720659323</v>
      </c>
    </row>
    <row r="1769" spans="12:13" x14ac:dyDescent="0.2">
      <c r="L1769" s="4">
        <v>1763</v>
      </c>
      <c r="M1769" s="21">
        <v>-160727.36720471969</v>
      </c>
    </row>
    <row r="1770" spans="12:13" x14ac:dyDescent="0.2">
      <c r="L1770" s="4">
        <v>1764</v>
      </c>
      <c r="M1770" s="21">
        <v>75908.776605889376</v>
      </c>
    </row>
    <row r="1771" spans="12:13" x14ac:dyDescent="0.2">
      <c r="L1771" s="4">
        <v>1765</v>
      </c>
      <c r="M1771" s="21">
        <v>-17452.694078198241</v>
      </c>
    </row>
    <row r="1772" spans="12:13" x14ac:dyDescent="0.2">
      <c r="L1772" s="4">
        <v>1766</v>
      </c>
      <c r="M1772" s="21">
        <v>141033.41059866681</v>
      </c>
    </row>
    <row r="1773" spans="12:13" x14ac:dyDescent="0.2">
      <c r="L1773" s="4">
        <v>1767</v>
      </c>
      <c r="M1773" s="21">
        <v>-120107.84757162038</v>
      </c>
    </row>
    <row r="1774" spans="12:13" x14ac:dyDescent="0.2">
      <c r="L1774" s="4">
        <v>1768</v>
      </c>
      <c r="M1774" s="21">
        <v>44828.587308062677</v>
      </c>
    </row>
    <row r="1775" spans="12:13" x14ac:dyDescent="0.2">
      <c r="L1775" s="4">
        <v>1769</v>
      </c>
      <c r="M1775" s="21">
        <v>141822.77561278114</v>
      </c>
    </row>
    <row r="1776" spans="12:13" x14ac:dyDescent="0.2">
      <c r="L1776" s="4">
        <v>1770</v>
      </c>
      <c r="M1776" s="21">
        <v>-136189.21995344589</v>
      </c>
    </row>
    <row r="1777" spans="12:13" x14ac:dyDescent="0.2">
      <c r="L1777" s="4">
        <v>1771</v>
      </c>
      <c r="M1777" s="21">
        <v>84417.119939033437</v>
      </c>
    </row>
    <row r="1778" spans="12:13" x14ac:dyDescent="0.2">
      <c r="L1778" s="4">
        <v>1772</v>
      </c>
      <c r="M1778" s="21">
        <v>-33552.36843332398</v>
      </c>
    </row>
    <row r="1779" spans="12:13" x14ac:dyDescent="0.2">
      <c r="L1779" s="4">
        <v>1773</v>
      </c>
      <c r="M1779" s="21">
        <v>-65986.208692791406</v>
      </c>
    </row>
    <row r="1780" spans="12:13" x14ac:dyDescent="0.2">
      <c r="L1780" s="4">
        <v>1774</v>
      </c>
      <c r="M1780" s="21">
        <v>-58756.761298081925</v>
      </c>
    </row>
    <row r="1781" spans="12:13" x14ac:dyDescent="0.2">
      <c r="L1781" s="4">
        <v>1775</v>
      </c>
      <c r="M1781" s="21">
        <v>-131563.73994513514</v>
      </c>
    </row>
    <row r="1782" spans="12:13" x14ac:dyDescent="0.2">
      <c r="L1782" s="4">
        <v>1776</v>
      </c>
      <c r="M1782" s="21">
        <v>173454.52717892412</v>
      </c>
    </row>
    <row r="1783" spans="12:13" x14ac:dyDescent="0.2">
      <c r="L1783" s="4">
        <v>1777</v>
      </c>
      <c r="M1783" s="21">
        <v>-81251.177132580444</v>
      </c>
    </row>
    <row r="1784" spans="12:13" x14ac:dyDescent="0.2">
      <c r="L1784" s="4">
        <v>1778</v>
      </c>
      <c r="M1784" s="21">
        <v>231920.98735222311</v>
      </c>
    </row>
    <row r="1785" spans="12:13" x14ac:dyDescent="0.2">
      <c r="L1785" s="4">
        <v>1779</v>
      </c>
      <c r="M1785" s="21">
        <v>81865.318912953371</v>
      </c>
    </row>
    <row r="1786" spans="12:13" x14ac:dyDescent="0.2">
      <c r="L1786" s="4">
        <v>1780</v>
      </c>
      <c r="M1786" s="21">
        <v>270519.48715392523</v>
      </c>
    </row>
    <row r="1787" spans="12:13" x14ac:dyDescent="0.2">
      <c r="L1787" s="4">
        <v>1781</v>
      </c>
      <c r="M1787" s="21">
        <v>-116106.53893499254</v>
      </c>
    </row>
    <row r="1788" spans="12:13" x14ac:dyDescent="0.2">
      <c r="L1788" s="4">
        <v>1782</v>
      </c>
      <c r="M1788" s="21">
        <v>-60743.875618184335</v>
      </c>
    </row>
    <row r="1789" spans="12:13" x14ac:dyDescent="0.2">
      <c r="L1789" s="4">
        <v>1783</v>
      </c>
      <c r="M1789" s="21">
        <v>-135461.84537596343</v>
      </c>
    </row>
    <row r="1790" spans="12:13" x14ac:dyDescent="0.2">
      <c r="L1790" s="4">
        <v>1784</v>
      </c>
      <c r="M1790" s="21">
        <v>-76029.321086042779</v>
      </c>
    </row>
    <row r="1791" spans="12:13" x14ac:dyDescent="0.2">
      <c r="L1791" s="4">
        <v>1785</v>
      </c>
      <c r="M1791" s="21">
        <v>50653.912417742744</v>
      </c>
    </row>
    <row r="1792" spans="12:13" x14ac:dyDescent="0.2">
      <c r="L1792" s="4">
        <v>1786</v>
      </c>
      <c r="M1792" s="21">
        <v>-112169.52099393541</v>
      </c>
    </row>
    <row r="1793" spans="12:13" x14ac:dyDescent="0.2">
      <c r="L1793" s="4">
        <v>1787</v>
      </c>
      <c r="M1793" s="21">
        <v>258041.18116117344</v>
      </c>
    </row>
    <row r="1794" spans="12:13" x14ac:dyDescent="0.2">
      <c r="L1794" s="4">
        <v>1788</v>
      </c>
      <c r="M1794" s="21">
        <v>-23655.94584693556</v>
      </c>
    </row>
    <row r="1795" spans="12:13" x14ac:dyDescent="0.2">
      <c r="L1795" s="4">
        <v>1789</v>
      </c>
      <c r="M1795" s="21">
        <v>166080.46935934457</v>
      </c>
    </row>
    <row r="1796" spans="12:13" x14ac:dyDescent="0.2">
      <c r="L1796" s="4">
        <v>1790</v>
      </c>
      <c r="M1796" s="21">
        <v>73917.261294688593</v>
      </c>
    </row>
    <row r="1797" spans="12:13" x14ac:dyDescent="0.2">
      <c r="L1797" s="4">
        <v>1791</v>
      </c>
      <c r="M1797" s="21">
        <v>-178687.02856700978</v>
      </c>
    </row>
    <row r="1798" spans="12:13" x14ac:dyDescent="0.2">
      <c r="L1798" s="4">
        <v>1792</v>
      </c>
      <c r="M1798" s="21">
        <v>140670.35612091387</v>
      </c>
    </row>
    <row r="1799" spans="12:13" x14ac:dyDescent="0.2">
      <c r="L1799" s="4">
        <v>1793</v>
      </c>
      <c r="M1799" s="21">
        <v>22962.075506959518</v>
      </c>
    </row>
    <row r="1800" spans="12:13" x14ac:dyDescent="0.2">
      <c r="L1800" s="4">
        <v>1794</v>
      </c>
      <c r="M1800" s="21">
        <v>217922.72501972748</v>
      </c>
    </row>
    <row r="1801" spans="12:13" x14ac:dyDescent="0.2">
      <c r="L1801" s="4">
        <v>1795</v>
      </c>
      <c r="M1801" s="21">
        <v>-85793.875309793177</v>
      </c>
    </row>
    <row r="1802" spans="12:13" x14ac:dyDescent="0.2">
      <c r="L1802" s="4">
        <v>1796</v>
      </c>
      <c r="M1802" s="21">
        <v>-59509.845333555189</v>
      </c>
    </row>
    <row r="1803" spans="12:13" x14ac:dyDescent="0.2">
      <c r="L1803" s="4">
        <v>1797</v>
      </c>
      <c r="M1803" s="21">
        <v>-68284.83124659305</v>
      </c>
    </row>
    <row r="1804" spans="12:13" x14ac:dyDescent="0.2">
      <c r="L1804" s="4">
        <v>1798</v>
      </c>
      <c r="M1804" s="21">
        <v>172757.10306902952</v>
      </c>
    </row>
    <row r="1805" spans="12:13" x14ac:dyDescent="0.2">
      <c r="L1805" s="4">
        <v>1799</v>
      </c>
      <c r="M1805" s="21">
        <v>-54175.186239660412</v>
      </c>
    </row>
    <row r="1806" spans="12:13" x14ac:dyDescent="0.2">
      <c r="L1806" s="4">
        <v>1800</v>
      </c>
      <c r="M1806" s="21">
        <v>132950.49977383629</v>
      </c>
    </row>
    <row r="1807" spans="12:13" x14ac:dyDescent="0.2">
      <c r="L1807" s="4">
        <v>1801</v>
      </c>
      <c r="M1807" s="21">
        <v>165248.80931910372</v>
      </c>
    </row>
    <row r="1808" spans="12:13" x14ac:dyDescent="0.2">
      <c r="L1808" s="4">
        <v>1802</v>
      </c>
      <c r="M1808" s="21">
        <v>-191600.16552739026</v>
      </c>
    </row>
    <row r="1809" spans="12:13" x14ac:dyDescent="0.2">
      <c r="L1809" s="4">
        <v>1803</v>
      </c>
      <c r="M1809" s="21">
        <v>-104130.53564264478</v>
      </c>
    </row>
    <row r="1810" spans="12:13" x14ac:dyDescent="0.2">
      <c r="L1810" s="4">
        <v>1804</v>
      </c>
      <c r="M1810" s="21">
        <v>235073.52323063207</v>
      </c>
    </row>
    <row r="1811" spans="12:13" x14ac:dyDescent="0.2">
      <c r="L1811" s="4">
        <v>1805</v>
      </c>
      <c r="M1811" s="21">
        <v>-374352.14571495273</v>
      </c>
    </row>
    <row r="1812" spans="12:13" x14ac:dyDescent="0.2">
      <c r="L1812" s="4">
        <v>1806</v>
      </c>
      <c r="M1812" s="21">
        <v>-65911.012518331961</v>
      </c>
    </row>
    <row r="1813" spans="12:13" x14ac:dyDescent="0.2">
      <c r="L1813" s="4">
        <v>1807</v>
      </c>
      <c r="M1813" s="21">
        <v>56880.969894362439</v>
      </c>
    </row>
    <row r="1814" spans="12:13" x14ac:dyDescent="0.2">
      <c r="L1814" s="4">
        <v>1808</v>
      </c>
      <c r="M1814" s="21">
        <v>-31477.02104214771</v>
      </c>
    </row>
    <row r="1815" spans="12:13" x14ac:dyDescent="0.2">
      <c r="L1815" s="4">
        <v>1809</v>
      </c>
      <c r="M1815" s="21">
        <v>-243146.52488226193</v>
      </c>
    </row>
    <row r="1816" spans="12:13" x14ac:dyDescent="0.2">
      <c r="L1816" s="4">
        <v>1810</v>
      </c>
      <c r="M1816" s="21">
        <v>145504.62446115675</v>
      </c>
    </row>
    <row r="1817" spans="12:13" x14ac:dyDescent="0.2">
      <c r="L1817" s="4">
        <v>1811</v>
      </c>
      <c r="M1817" s="21">
        <v>-231888.40249432912</v>
      </c>
    </row>
    <row r="1818" spans="12:13" x14ac:dyDescent="0.2">
      <c r="L1818" s="4">
        <v>1812</v>
      </c>
      <c r="M1818" s="21">
        <v>-181315.22775432994</v>
      </c>
    </row>
    <row r="1819" spans="12:13" x14ac:dyDescent="0.2">
      <c r="L1819" s="4">
        <v>1813</v>
      </c>
      <c r="M1819" s="21">
        <v>18366.629948483343</v>
      </c>
    </row>
    <row r="1820" spans="12:13" x14ac:dyDescent="0.2">
      <c r="L1820" s="4">
        <v>1814</v>
      </c>
      <c r="M1820" s="21">
        <v>-106229.31610860791</v>
      </c>
    </row>
    <row r="1821" spans="12:13" x14ac:dyDescent="0.2">
      <c r="L1821" s="4">
        <v>1815</v>
      </c>
      <c r="M1821" s="21">
        <v>-99804.935797852333</v>
      </c>
    </row>
    <row r="1822" spans="12:13" x14ac:dyDescent="0.2">
      <c r="L1822" s="4">
        <v>1816</v>
      </c>
      <c r="M1822" s="21">
        <v>-97768.303489461003</v>
      </c>
    </row>
    <row r="1823" spans="12:13" x14ac:dyDescent="0.2">
      <c r="L1823" s="4">
        <v>1817</v>
      </c>
      <c r="M1823" s="21">
        <v>-58540.448816018456</v>
      </c>
    </row>
    <row r="1824" spans="12:13" x14ac:dyDescent="0.2">
      <c r="L1824" s="4">
        <v>1818</v>
      </c>
      <c r="M1824" s="21">
        <v>-88041.395143811518</v>
      </c>
    </row>
    <row r="1825" spans="12:13" x14ac:dyDescent="0.2">
      <c r="L1825" s="4">
        <v>1819</v>
      </c>
      <c r="M1825" s="21">
        <v>-16603.012475192678</v>
      </c>
    </row>
    <row r="1826" spans="12:13" x14ac:dyDescent="0.2">
      <c r="L1826" s="4">
        <v>1820</v>
      </c>
      <c r="M1826" s="21">
        <v>-195481.5553155416</v>
      </c>
    </row>
    <row r="1827" spans="12:13" x14ac:dyDescent="0.2">
      <c r="L1827" s="4">
        <v>1821</v>
      </c>
      <c r="M1827" s="21">
        <v>43464.296574263746</v>
      </c>
    </row>
    <row r="1828" spans="12:13" x14ac:dyDescent="0.2">
      <c r="L1828" s="4">
        <v>1822</v>
      </c>
      <c r="M1828" s="21">
        <v>-85349.368580942115</v>
      </c>
    </row>
    <row r="1829" spans="12:13" x14ac:dyDescent="0.2">
      <c r="L1829" s="4">
        <v>1823</v>
      </c>
      <c r="M1829" s="21">
        <v>79467.813517122937</v>
      </c>
    </row>
    <row r="1830" spans="12:13" x14ac:dyDescent="0.2">
      <c r="L1830" s="4">
        <v>1824</v>
      </c>
      <c r="M1830" s="21">
        <v>27067.151388482249</v>
      </c>
    </row>
    <row r="1831" spans="12:13" x14ac:dyDescent="0.2">
      <c r="L1831" s="4">
        <v>1825</v>
      </c>
      <c r="M1831" s="21">
        <v>-35755.919033211729</v>
      </c>
    </row>
    <row r="1832" spans="12:13" x14ac:dyDescent="0.2">
      <c r="L1832" s="4">
        <v>1826</v>
      </c>
      <c r="M1832" s="21">
        <v>64129.017612662428</v>
      </c>
    </row>
    <row r="1833" spans="12:13" x14ac:dyDescent="0.2">
      <c r="L1833" s="4">
        <v>1827</v>
      </c>
      <c r="M1833" s="21">
        <v>93195.602182503761</v>
      </c>
    </row>
    <row r="1834" spans="12:13" x14ac:dyDescent="0.2">
      <c r="L1834" s="4">
        <v>1828</v>
      </c>
      <c r="M1834" s="21">
        <v>-53058.920617457363</v>
      </c>
    </row>
    <row r="1835" spans="12:13" x14ac:dyDescent="0.2">
      <c r="L1835" s="4">
        <v>1829</v>
      </c>
      <c r="M1835" s="21">
        <v>45682.216894779704</v>
      </c>
    </row>
    <row r="1836" spans="12:13" x14ac:dyDescent="0.2">
      <c r="L1836" s="4">
        <v>1830</v>
      </c>
      <c r="M1836" s="21">
        <v>381222.03179884702</v>
      </c>
    </row>
    <row r="1837" spans="12:13" x14ac:dyDescent="0.2">
      <c r="L1837" s="4">
        <v>1831</v>
      </c>
      <c r="M1837" s="21">
        <v>47354.977510094905</v>
      </c>
    </row>
    <row r="1838" spans="12:13" x14ac:dyDescent="0.2">
      <c r="L1838" s="4">
        <v>1832</v>
      </c>
      <c r="M1838" s="21">
        <v>107521.9135846197</v>
      </c>
    </row>
    <row r="1839" spans="12:13" x14ac:dyDescent="0.2">
      <c r="L1839" s="4">
        <v>1833</v>
      </c>
      <c r="M1839" s="21">
        <v>-123545.91059013885</v>
      </c>
    </row>
    <row r="1840" spans="12:13" x14ac:dyDescent="0.2">
      <c r="L1840" s="4">
        <v>1834</v>
      </c>
      <c r="M1840" s="21">
        <v>-49042.52052308312</v>
      </c>
    </row>
    <row r="1841" spans="12:13" x14ac:dyDescent="0.2">
      <c r="L1841" s="4">
        <v>1835</v>
      </c>
      <c r="M1841" s="21">
        <v>5100.9501453978592</v>
      </c>
    </row>
    <row r="1842" spans="12:13" x14ac:dyDescent="0.2">
      <c r="L1842" s="4">
        <v>1836</v>
      </c>
      <c r="M1842" s="21">
        <v>-76426.035030345025</v>
      </c>
    </row>
    <row r="1843" spans="12:13" x14ac:dyDescent="0.2">
      <c r="L1843" s="4">
        <v>1837</v>
      </c>
      <c r="M1843" s="21">
        <v>27772.430070771952</v>
      </c>
    </row>
    <row r="1844" spans="12:13" x14ac:dyDescent="0.2">
      <c r="L1844" s="4">
        <v>1838</v>
      </c>
      <c r="M1844" s="21">
        <v>-26641.31813845651</v>
      </c>
    </row>
    <row r="1845" spans="12:13" x14ac:dyDescent="0.2">
      <c r="L1845" s="4">
        <v>1839</v>
      </c>
      <c r="M1845" s="21">
        <v>-155051.20272062259</v>
      </c>
    </row>
    <row r="1846" spans="12:13" x14ac:dyDescent="0.2">
      <c r="L1846" s="4">
        <v>1840</v>
      </c>
      <c r="M1846" s="21">
        <v>166624.23247759469</v>
      </c>
    </row>
    <row r="1847" spans="12:13" x14ac:dyDescent="0.2">
      <c r="L1847" s="4">
        <v>1841</v>
      </c>
      <c r="M1847" s="21">
        <v>-101540.14574871727</v>
      </c>
    </row>
    <row r="1848" spans="12:13" x14ac:dyDescent="0.2">
      <c r="L1848" s="4">
        <v>1842</v>
      </c>
      <c r="M1848" s="21">
        <v>-15626.122600730989</v>
      </c>
    </row>
    <row r="1849" spans="12:13" x14ac:dyDescent="0.2">
      <c r="L1849" s="4">
        <v>1843</v>
      </c>
      <c r="M1849" s="21">
        <v>-91117.364155515461</v>
      </c>
    </row>
    <row r="1850" spans="12:13" x14ac:dyDescent="0.2">
      <c r="L1850" s="4">
        <v>1844</v>
      </c>
      <c r="M1850" s="21">
        <v>29994.680082533188</v>
      </c>
    </row>
    <row r="1851" spans="12:13" x14ac:dyDescent="0.2">
      <c r="L1851" s="4">
        <v>1845</v>
      </c>
      <c r="M1851" s="21">
        <v>-177231.85562478879</v>
      </c>
    </row>
    <row r="1852" spans="12:13" x14ac:dyDescent="0.2">
      <c r="L1852" s="4">
        <v>1846</v>
      </c>
      <c r="M1852" s="21">
        <v>-357147.20151788538</v>
      </c>
    </row>
    <row r="1853" spans="12:13" x14ac:dyDescent="0.2">
      <c r="L1853" s="4">
        <v>1847</v>
      </c>
      <c r="M1853" s="21">
        <v>95423.19970862451</v>
      </c>
    </row>
    <row r="1854" spans="12:13" x14ac:dyDescent="0.2">
      <c r="L1854" s="4">
        <v>1848</v>
      </c>
      <c r="M1854" s="21">
        <v>-141167.02406147236</v>
      </c>
    </row>
    <row r="1855" spans="12:13" x14ac:dyDescent="0.2">
      <c r="L1855" s="4">
        <v>1849</v>
      </c>
      <c r="M1855" s="21">
        <v>-27147.617064438775</v>
      </c>
    </row>
    <row r="1856" spans="12:13" x14ac:dyDescent="0.2">
      <c r="L1856" s="4">
        <v>1850</v>
      </c>
      <c r="M1856" s="21">
        <v>12174.090993100777</v>
      </c>
    </row>
    <row r="1857" spans="12:13" x14ac:dyDescent="0.2">
      <c r="L1857" s="4">
        <v>1851</v>
      </c>
      <c r="M1857" s="21">
        <v>-41272.538254393483</v>
      </c>
    </row>
    <row r="1858" spans="12:13" x14ac:dyDescent="0.2">
      <c r="L1858" s="4">
        <v>1852</v>
      </c>
      <c r="M1858" s="21">
        <v>33031.354795223888</v>
      </c>
    </row>
    <row r="1859" spans="12:13" x14ac:dyDescent="0.2">
      <c r="L1859" s="4">
        <v>1853</v>
      </c>
      <c r="M1859" s="21">
        <v>169372.81799859059</v>
      </c>
    </row>
    <row r="1860" spans="12:13" x14ac:dyDescent="0.2">
      <c r="L1860" s="4">
        <v>1854</v>
      </c>
      <c r="M1860" s="21">
        <v>78887.334980949992</v>
      </c>
    </row>
    <row r="1861" spans="12:13" x14ac:dyDescent="0.2">
      <c r="L1861" s="4">
        <v>1855</v>
      </c>
      <c r="M1861" s="21">
        <v>-89633.551279410458</v>
      </c>
    </row>
    <row r="1862" spans="12:13" x14ac:dyDescent="0.2">
      <c r="L1862" s="4">
        <v>1856</v>
      </c>
      <c r="M1862" s="21">
        <v>-65674.898174229995</v>
      </c>
    </row>
    <row r="1863" spans="12:13" x14ac:dyDescent="0.2">
      <c r="L1863" s="4">
        <v>1857</v>
      </c>
      <c r="M1863" s="21">
        <v>-15069.006647356655</v>
      </c>
    </row>
    <row r="1864" spans="12:13" x14ac:dyDescent="0.2">
      <c r="L1864" s="4">
        <v>1858</v>
      </c>
      <c r="M1864" s="21">
        <v>-91352.826938502505</v>
      </c>
    </row>
    <row r="1865" spans="12:13" x14ac:dyDescent="0.2">
      <c r="L1865" s="4">
        <v>1859</v>
      </c>
      <c r="M1865" s="21">
        <v>302936.76742864808</v>
      </c>
    </row>
    <row r="1866" spans="12:13" x14ac:dyDescent="0.2">
      <c r="L1866" s="4">
        <v>1860</v>
      </c>
      <c r="M1866" s="21">
        <v>-87849.549788499513</v>
      </c>
    </row>
    <row r="1867" spans="12:13" x14ac:dyDescent="0.2">
      <c r="L1867" s="4">
        <v>1861</v>
      </c>
      <c r="M1867" s="21">
        <v>-71031.639173520351</v>
      </c>
    </row>
    <row r="1868" spans="12:13" x14ac:dyDescent="0.2">
      <c r="L1868" s="4">
        <v>1862</v>
      </c>
      <c r="M1868" s="21">
        <v>-88991.101384141002</v>
      </c>
    </row>
    <row r="1869" spans="12:13" x14ac:dyDescent="0.2">
      <c r="L1869" s="4">
        <v>1863</v>
      </c>
      <c r="M1869" s="21">
        <v>-486084.63049290155</v>
      </c>
    </row>
    <row r="1870" spans="12:13" x14ac:dyDescent="0.2">
      <c r="L1870" s="4">
        <v>1864</v>
      </c>
      <c r="M1870" s="21">
        <v>-162793.38836471585</v>
      </c>
    </row>
    <row r="1871" spans="12:13" x14ac:dyDescent="0.2">
      <c r="L1871" s="4">
        <v>1865</v>
      </c>
      <c r="M1871" s="21">
        <v>239192.8124229809</v>
      </c>
    </row>
    <row r="1872" spans="12:13" x14ac:dyDescent="0.2">
      <c r="L1872" s="4">
        <v>1866</v>
      </c>
      <c r="M1872" s="21">
        <v>-165510.07391324383</v>
      </c>
    </row>
    <row r="1873" spans="12:13" x14ac:dyDescent="0.2">
      <c r="L1873" s="4">
        <v>1867</v>
      </c>
      <c r="M1873" s="21">
        <v>-69219.506698381956</v>
      </c>
    </row>
    <row r="1874" spans="12:13" x14ac:dyDescent="0.2">
      <c r="L1874" s="4">
        <v>1868</v>
      </c>
      <c r="M1874" s="21">
        <v>-263148.42161974544</v>
      </c>
    </row>
    <row r="1875" spans="12:13" x14ac:dyDescent="0.2">
      <c r="L1875" s="4">
        <v>1869</v>
      </c>
      <c r="M1875" s="21">
        <v>-101191.81664917893</v>
      </c>
    </row>
    <row r="1876" spans="12:13" x14ac:dyDescent="0.2">
      <c r="L1876" s="4">
        <v>1870</v>
      </c>
      <c r="M1876" s="21">
        <v>-77763.891360787937</v>
      </c>
    </row>
    <row r="1877" spans="12:13" x14ac:dyDescent="0.2">
      <c r="L1877" s="4">
        <v>1871</v>
      </c>
      <c r="M1877" s="21">
        <v>-114156.48844065706</v>
      </c>
    </row>
    <row r="1878" spans="12:13" x14ac:dyDescent="0.2">
      <c r="L1878" s="4">
        <v>1872</v>
      </c>
      <c r="M1878" s="21">
        <v>86865.842380597896</v>
      </c>
    </row>
    <row r="1879" spans="12:13" x14ac:dyDescent="0.2">
      <c r="L1879" s="4">
        <v>1873</v>
      </c>
      <c r="M1879" s="21">
        <v>9445.2743029791454</v>
      </c>
    </row>
    <row r="1880" spans="12:13" x14ac:dyDescent="0.2">
      <c r="L1880" s="4">
        <v>1874</v>
      </c>
      <c r="M1880" s="21">
        <v>-111579.27040404709</v>
      </c>
    </row>
    <row r="1881" spans="12:13" x14ac:dyDescent="0.2">
      <c r="L1881" s="4">
        <v>1875</v>
      </c>
      <c r="M1881" s="21">
        <v>113292.32272721705</v>
      </c>
    </row>
    <row r="1882" spans="12:13" x14ac:dyDescent="0.2">
      <c r="L1882" s="4">
        <v>1876</v>
      </c>
      <c r="M1882" s="21">
        <v>312241.36062846065</v>
      </c>
    </row>
    <row r="1883" spans="12:13" x14ac:dyDescent="0.2">
      <c r="L1883" s="4">
        <v>1877</v>
      </c>
      <c r="M1883" s="21">
        <v>-177369.11017351699</v>
      </c>
    </row>
    <row r="1884" spans="12:13" x14ac:dyDescent="0.2">
      <c r="L1884" s="4">
        <v>1878</v>
      </c>
      <c r="M1884" s="21">
        <v>-161171.92908781552</v>
      </c>
    </row>
    <row r="1885" spans="12:13" x14ac:dyDescent="0.2">
      <c r="L1885" s="4">
        <v>1879</v>
      </c>
      <c r="M1885" s="21">
        <v>112592.04286931476</v>
      </c>
    </row>
    <row r="1886" spans="12:13" x14ac:dyDescent="0.2">
      <c r="L1886" s="4">
        <v>1880</v>
      </c>
      <c r="M1886" s="21">
        <v>-181922.90040754294</v>
      </c>
    </row>
    <row r="1887" spans="12:13" x14ac:dyDescent="0.2">
      <c r="L1887" s="4">
        <v>1881</v>
      </c>
      <c r="M1887" s="21">
        <v>-26811.393364987161</v>
      </c>
    </row>
    <row r="1888" spans="12:13" x14ac:dyDescent="0.2">
      <c r="L1888" s="4">
        <v>1882</v>
      </c>
      <c r="M1888" s="21">
        <v>-178470.57706449032</v>
      </c>
    </row>
    <row r="1889" spans="12:13" x14ac:dyDescent="0.2">
      <c r="L1889" s="4">
        <v>1883</v>
      </c>
      <c r="M1889" s="21">
        <v>273278.28690036444</v>
      </c>
    </row>
    <row r="1890" spans="12:13" x14ac:dyDescent="0.2">
      <c r="L1890" s="4">
        <v>1884</v>
      </c>
      <c r="M1890" s="21">
        <v>27560.630500487983</v>
      </c>
    </row>
    <row r="1891" spans="12:13" x14ac:dyDescent="0.2">
      <c r="L1891" s="4">
        <v>1885</v>
      </c>
      <c r="M1891" s="21">
        <v>-55378.309365815294</v>
      </c>
    </row>
    <row r="1892" spans="12:13" x14ac:dyDescent="0.2">
      <c r="L1892" s="4">
        <v>1886</v>
      </c>
      <c r="M1892" s="21">
        <v>-15269.221279461126</v>
      </c>
    </row>
    <row r="1893" spans="12:13" x14ac:dyDescent="0.2">
      <c r="L1893" s="4">
        <v>1887</v>
      </c>
      <c r="M1893" s="21">
        <v>13010.87224177373</v>
      </c>
    </row>
    <row r="1894" spans="12:13" x14ac:dyDescent="0.2">
      <c r="L1894" s="4">
        <v>1888</v>
      </c>
      <c r="M1894" s="21">
        <v>94346.029087187577</v>
      </c>
    </row>
    <row r="1895" spans="12:13" x14ac:dyDescent="0.2">
      <c r="L1895" s="4">
        <v>1889</v>
      </c>
      <c r="M1895" s="21">
        <v>-221218.46506091353</v>
      </c>
    </row>
    <row r="1896" spans="12:13" x14ac:dyDescent="0.2">
      <c r="L1896" s="4">
        <v>1890</v>
      </c>
      <c r="M1896" s="21">
        <v>-189447.07198698318</v>
      </c>
    </row>
    <row r="1897" spans="12:13" x14ac:dyDescent="0.2">
      <c r="L1897" s="4">
        <v>1891</v>
      </c>
      <c r="M1897" s="21">
        <v>120465.47498065361</v>
      </c>
    </row>
    <row r="1898" spans="12:13" x14ac:dyDescent="0.2">
      <c r="L1898" s="4">
        <v>1892</v>
      </c>
      <c r="M1898" s="21">
        <v>-48579.896534910164</v>
      </c>
    </row>
    <row r="1899" spans="12:13" x14ac:dyDescent="0.2">
      <c r="L1899" s="4">
        <v>1893</v>
      </c>
      <c r="M1899" s="21">
        <v>-158153.45610476495</v>
      </c>
    </row>
    <row r="1900" spans="12:13" x14ac:dyDescent="0.2">
      <c r="L1900" s="4">
        <v>1894</v>
      </c>
      <c r="M1900" s="21">
        <v>-136764.49060448591</v>
      </c>
    </row>
    <row r="1901" spans="12:13" x14ac:dyDescent="0.2">
      <c r="L1901" s="4">
        <v>1895</v>
      </c>
      <c r="M1901" s="21">
        <v>-119119.78489119123</v>
      </c>
    </row>
    <row r="1902" spans="12:13" x14ac:dyDescent="0.2">
      <c r="L1902" s="4">
        <v>1896</v>
      </c>
      <c r="M1902" s="21">
        <v>86277.522000301076</v>
      </c>
    </row>
    <row r="1903" spans="12:13" x14ac:dyDescent="0.2">
      <c r="L1903" s="4">
        <v>1897</v>
      </c>
      <c r="M1903" s="21">
        <v>-201521.02977470326</v>
      </c>
    </row>
    <row r="1904" spans="12:13" x14ac:dyDescent="0.2">
      <c r="L1904" s="4">
        <v>1898</v>
      </c>
      <c r="M1904" s="21">
        <v>-61411.814578746664</v>
      </c>
    </row>
    <row r="1905" spans="12:13" x14ac:dyDescent="0.2">
      <c r="L1905" s="4">
        <v>1899</v>
      </c>
      <c r="M1905" s="21">
        <v>126503.86396128385</v>
      </c>
    </row>
    <row r="1906" spans="12:13" x14ac:dyDescent="0.2">
      <c r="L1906" s="4">
        <v>1900</v>
      </c>
      <c r="M1906" s="21">
        <v>-287884.46648879541</v>
      </c>
    </row>
    <row r="1907" spans="12:13" x14ac:dyDescent="0.2">
      <c r="L1907" s="4">
        <v>1901</v>
      </c>
      <c r="M1907" s="21">
        <v>76433.018886341888</v>
      </c>
    </row>
    <row r="1908" spans="12:13" x14ac:dyDescent="0.2">
      <c r="L1908" s="4">
        <v>1902</v>
      </c>
      <c r="M1908" s="21">
        <v>141759.07178021714</v>
      </c>
    </row>
    <row r="1909" spans="12:13" x14ac:dyDescent="0.2">
      <c r="L1909" s="4">
        <v>1903</v>
      </c>
      <c r="M1909" s="21">
        <v>-139799.17632405902</v>
      </c>
    </row>
    <row r="1910" spans="12:13" x14ac:dyDescent="0.2">
      <c r="L1910" s="4">
        <v>1904</v>
      </c>
      <c r="M1910" s="21">
        <v>-176412.30008609407</v>
      </c>
    </row>
    <row r="1911" spans="12:13" x14ac:dyDescent="0.2">
      <c r="L1911" s="4">
        <v>1905</v>
      </c>
      <c r="M1911" s="21">
        <v>57752.884243135632</v>
      </c>
    </row>
    <row r="1912" spans="12:13" x14ac:dyDescent="0.2">
      <c r="L1912" s="4">
        <v>1906</v>
      </c>
      <c r="M1912" s="21">
        <v>-160664.12591581186</v>
      </c>
    </row>
    <row r="1913" spans="12:13" x14ac:dyDescent="0.2">
      <c r="L1913" s="4">
        <v>1907</v>
      </c>
      <c r="M1913" s="21">
        <v>-127226.79813253143</v>
      </c>
    </row>
    <row r="1914" spans="12:13" x14ac:dyDescent="0.2">
      <c r="L1914" s="4">
        <v>1908</v>
      </c>
      <c r="M1914" s="21">
        <v>-96872.642216172375</v>
      </c>
    </row>
    <row r="1915" spans="12:13" x14ac:dyDescent="0.2">
      <c r="L1915" s="4">
        <v>1909</v>
      </c>
      <c r="M1915" s="21">
        <v>-115104.53846580014</v>
      </c>
    </row>
    <row r="1916" spans="12:13" x14ac:dyDescent="0.2">
      <c r="L1916" s="4">
        <v>1910</v>
      </c>
      <c r="M1916" s="21">
        <v>81474.765370448382</v>
      </c>
    </row>
    <row r="1917" spans="12:13" x14ac:dyDescent="0.2">
      <c r="L1917" s="4">
        <v>1911</v>
      </c>
      <c r="M1917" s="21">
        <v>-83775.237380854887</v>
      </c>
    </row>
    <row r="1918" spans="12:13" x14ac:dyDescent="0.2">
      <c r="L1918" s="4">
        <v>1912</v>
      </c>
      <c r="M1918" s="21">
        <v>-36765.875231567057</v>
      </c>
    </row>
    <row r="1919" spans="12:13" x14ac:dyDescent="0.2">
      <c r="L1919" s="4">
        <v>1913</v>
      </c>
      <c r="M1919" s="21">
        <v>40600.823843988823</v>
      </c>
    </row>
    <row r="1920" spans="12:13" x14ac:dyDescent="0.2">
      <c r="L1920" s="4">
        <v>1914</v>
      </c>
      <c r="M1920" s="21">
        <v>83607.480424210429</v>
      </c>
    </row>
    <row r="1921" spans="12:13" x14ac:dyDescent="0.2">
      <c r="L1921" s="4">
        <v>1915</v>
      </c>
      <c r="M1921" s="21">
        <v>33155.760426470719</v>
      </c>
    </row>
    <row r="1922" spans="12:13" x14ac:dyDescent="0.2">
      <c r="L1922" s="4">
        <v>1916</v>
      </c>
      <c r="M1922" s="21">
        <v>-324374.59409006359</v>
      </c>
    </row>
    <row r="1923" spans="12:13" x14ac:dyDescent="0.2">
      <c r="L1923" s="4">
        <v>1917</v>
      </c>
      <c r="M1923" s="21">
        <v>47856.460818885273</v>
      </c>
    </row>
    <row r="1924" spans="12:13" x14ac:dyDescent="0.2">
      <c r="L1924" s="4">
        <v>1918</v>
      </c>
      <c r="M1924" s="21">
        <v>164346.70179108437</v>
      </c>
    </row>
    <row r="1925" spans="12:13" x14ac:dyDescent="0.2">
      <c r="L1925" s="4">
        <v>1919</v>
      </c>
      <c r="M1925" s="21">
        <v>66778.080604656774</v>
      </c>
    </row>
    <row r="1926" spans="12:13" x14ac:dyDescent="0.2">
      <c r="L1926" s="4">
        <v>1920</v>
      </c>
      <c r="M1926" s="21">
        <v>210106.18287209084</v>
      </c>
    </row>
    <row r="1927" spans="12:13" x14ac:dyDescent="0.2">
      <c r="L1927" s="4">
        <v>1921</v>
      </c>
      <c r="M1927" s="21">
        <v>83281.134918789612</v>
      </c>
    </row>
    <row r="1928" spans="12:13" x14ac:dyDescent="0.2">
      <c r="L1928" s="4">
        <v>1922</v>
      </c>
      <c r="M1928" s="21">
        <v>-162501.23123528308</v>
      </c>
    </row>
    <row r="1929" spans="12:13" x14ac:dyDescent="0.2">
      <c r="L1929" s="4">
        <v>1923</v>
      </c>
      <c r="M1929" s="21">
        <v>-95322.565619005312</v>
      </c>
    </row>
    <row r="1930" spans="12:13" x14ac:dyDescent="0.2">
      <c r="L1930" s="4">
        <v>1924</v>
      </c>
      <c r="M1930" s="21">
        <v>399219.2784477825</v>
      </c>
    </row>
    <row r="1931" spans="12:13" x14ac:dyDescent="0.2">
      <c r="L1931" s="4">
        <v>1925</v>
      </c>
      <c r="M1931" s="21">
        <v>2064.8517894616525</v>
      </c>
    </row>
    <row r="1932" spans="12:13" x14ac:dyDescent="0.2">
      <c r="L1932" s="4">
        <v>1926</v>
      </c>
      <c r="M1932" s="21">
        <v>-214597.68977324563</v>
      </c>
    </row>
    <row r="1933" spans="12:13" x14ac:dyDescent="0.2">
      <c r="L1933" s="4">
        <v>1927</v>
      </c>
      <c r="M1933" s="21">
        <v>293095.12791286665</v>
      </c>
    </row>
    <row r="1934" spans="12:13" x14ac:dyDescent="0.2">
      <c r="L1934" s="4">
        <v>1928</v>
      </c>
      <c r="M1934" s="21">
        <v>-186958.70878082176</v>
      </c>
    </row>
    <row r="1935" spans="12:13" x14ac:dyDescent="0.2">
      <c r="L1935" s="4">
        <v>1929</v>
      </c>
      <c r="M1935" s="21">
        <v>-57647.936227316095</v>
      </c>
    </row>
    <row r="1936" spans="12:13" x14ac:dyDescent="0.2">
      <c r="L1936" s="4">
        <v>1930</v>
      </c>
      <c r="M1936" s="21">
        <v>-56943.40215371536</v>
      </c>
    </row>
    <row r="1937" spans="12:13" x14ac:dyDescent="0.2">
      <c r="L1937" s="4">
        <v>1931</v>
      </c>
      <c r="M1937" s="21">
        <v>-112205.12003867789</v>
      </c>
    </row>
    <row r="1938" spans="12:13" x14ac:dyDescent="0.2">
      <c r="L1938" s="4">
        <v>1932</v>
      </c>
      <c r="M1938" s="21">
        <v>-79704.934628757503</v>
      </c>
    </row>
    <row r="1939" spans="12:13" x14ac:dyDescent="0.2">
      <c r="L1939" s="4">
        <v>1933</v>
      </c>
      <c r="M1939" s="21">
        <v>-215128.62407739536</v>
      </c>
    </row>
    <row r="1940" spans="12:13" x14ac:dyDescent="0.2">
      <c r="L1940" s="4">
        <v>1934</v>
      </c>
      <c r="M1940" s="21">
        <v>73040.538893001532</v>
      </c>
    </row>
    <row r="1941" spans="12:13" x14ac:dyDescent="0.2">
      <c r="L1941" s="4">
        <v>1935</v>
      </c>
      <c r="M1941" s="21">
        <v>-60461.620451989671</v>
      </c>
    </row>
    <row r="1942" spans="12:13" x14ac:dyDescent="0.2">
      <c r="L1942" s="4">
        <v>1936</v>
      </c>
      <c r="M1942" s="21">
        <v>276049.00676667335</v>
      </c>
    </row>
    <row r="1943" spans="12:13" x14ac:dyDescent="0.2">
      <c r="L1943" s="4">
        <v>1937</v>
      </c>
      <c r="M1943" s="21">
        <v>-234694.44990758682</v>
      </c>
    </row>
    <row r="1944" spans="12:13" x14ac:dyDescent="0.2">
      <c r="L1944" s="4">
        <v>1938</v>
      </c>
      <c r="M1944" s="21">
        <v>-23268.336264323632</v>
      </c>
    </row>
    <row r="1945" spans="12:13" x14ac:dyDescent="0.2">
      <c r="L1945" s="4">
        <v>1939</v>
      </c>
      <c r="M1945" s="21">
        <v>-104116.98729810254</v>
      </c>
    </row>
    <row r="1946" spans="12:13" x14ac:dyDescent="0.2">
      <c r="L1946" s="4">
        <v>1940</v>
      </c>
      <c r="M1946" s="21">
        <v>199145.64206661875</v>
      </c>
    </row>
    <row r="1947" spans="12:13" x14ac:dyDescent="0.2">
      <c r="L1947" s="4">
        <v>1941</v>
      </c>
      <c r="M1947" s="21">
        <v>123605.6643517839</v>
      </c>
    </row>
    <row r="1948" spans="12:13" x14ac:dyDescent="0.2">
      <c r="L1948" s="4">
        <v>1942</v>
      </c>
      <c r="M1948" s="21">
        <v>215339.0869912981</v>
      </c>
    </row>
    <row r="1949" spans="12:13" x14ac:dyDescent="0.2">
      <c r="L1949" s="4">
        <v>1943</v>
      </c>
      <c r="M1949" s="21">
        <v>139984.47838439685</v>
      </c>
    </row>
    <row r="1950" spans="12:13" x14ac:dyDescent="0.2">
      <c r="L1950" s="4">
        <v>1944</v>
      </c>
      <c r="M1950" s="21">
        <v>-9346.6345534348802</v>
      </c>
    </row>
    <row r="1951" spans="12:13" x14ac:dyDescent="0.2">
      <c r="L1951" s="4">
        <v>1945</v>
      </c>
      <c r="M1951" s="21">
        <v>-56899.773543708012</v>
      </c>
    </row>
    <row r="1952" spans="12:13" x14ac:dyDescent="0.2">
      <c r="L1952" s="4">
        <v>1946</v>
      </c>
      <c r="M1952" s="21">
        <v>-225783.98547020403</v>
      </c>
    </row>
    <row r="1953" spans="12:13" x14ac:dyDescent="0.2">
      <c r="L1953" s="4">
        <v>1947</v>
      </c>
      <c r="M1953" s="21">
        <v>-130183.21032850776</v>
      </c>
    </row>
    <row r="1954" spans="12:13" x14ac:dyDescent="0.2">
      <c r="L1954" s="4">
        <v>1948</v>
      </c>
      <c r="M1954" s="21">
        <v>50556.962273459852</v>
      </c>
    </row>
    <row r="1955" spans="12:13" x14ac:dyDescent="0.2">
      <c r="L1955" s="4">
        <v>1949</v>
      </c>
      <c r="M1955" s="21">
        <v>-129934.67460864091</v>
      </c>
    </row>
    <row r="1956" spans="12:13" x14ac:dyDescent="0.2">
      <c r="L1956" s="4">
        <v>1950</v>
      </c>
      <c r="M1956" s="21">
        <v>136873.60877767089</v>
      </c>
    </row>
    <row r="1957" spans="12:13" x14ac:dyDescent="0.2">
      <c r="L1957" s="4">
        <v>1951</v>
      </c>
      <c r="M1957" s="21">
        <v>53981.583063882077</v>
      </c>
    </row>
    <row r="1958" spans="12:13" x14ac:dyDescent="0.2">
      <c r="L1958" s="4">
        <v>1952</v>
      </c>
      <c r="M1958" s="21">
        <v>149720.6405378895</v>
      </c>
    </row>
    <row r="1959" spans="12:13" x14ac:dyDescent="0.2">
      <c r="L1959" s="4">
        <v>1953</v>
      </c>
      <c r="M1959" s="21">
        <v>-89484.910864469624</v>
      </c>
    </row>
    <row r="1960" spans="12:13" x14ac:dyDescent="0.2">
      <c r="L1960" s="4">
        <v>1954</v>
      </c>
      <c r="M1960" s="21">
        <v>73421.40909291053</v>
      </c>
    </row>
    <row r="1961" spans="12:13" x14ac:dyDescent="0.2">
      <c r="L1961" s="4">
        <v>1955</v>
      </c>
      <c r="M1961" s="21">
        <v>60955.445128179679</v>
      </c>
    </row>
    <row r="1962" spans="12:13" x14ac:dyDescent="0.2">
      <c r="L1962" s="4">
        <v>1956</v>
      </c>
      <c r="M1962" s="21">
        <v>-274188.88296471513</v>
      </c>
    </row>
    <row r="1963" spans="12:13" x14ac:dyDescent="0.2">
      <c r="L1963" s="4">
        <v>1957</v>
      </c>
      <c r="M1963" s="21">
        <v>203428.64564712849</v>
      </c>
    </row>
    <row r="1964" spans="12:13" x14ac:dyDescent="0.2">
      <c r="L1964" s="4">
        <v>1958</v>
      </c>
      <c r="M1964" s="21">
        <v>-123253.91458080325</v>
      </c>
    </row>
    <row r="1965" spans="12:13" x14ac:dyDescent="0.2">
      <c r="L1965" s="4">
        <v>1959</v>
      </c>
      <c r="M1965" s="21">
        <v>13763.218588062446</v>
      </c>
    </row>
    <row r="1966" spans="12:13" x14ac:dyDescent="0.2">
      <c r="L1966" s="4">
        <v>1960</v>
      </c>
      <c r="M1966" s="21">
        <v>-60793.10574923594</v>
      </c>
    </row>
    <row r="1967" spans="12:13" x14ac:dyDescent="0.2">
      <c r="L1967" s="4">
        <v>1961</v>
      </c>
      <c r="M1967" s="21">
        <v>-261974.18874669209</v>
      </c>
    </row>
    <row r="1968" spans="12:13" x14ac:dyDescent="0.2">
      <c r="L1968" s="4">
        <v>1962</v>
      </c>
      <c r="M1968" s="21">
        <v>-120528.73224828768</v>
      </c>
    </row>
    <row r="1969" spans="12:13" x14ac:dyDescent="0.2">
      <c r="L1969" s="4">
        <v>1963</v>
      </c>
      <c r="M1969" s="21">
        <v>-67504.808107661753</v>
      </c>
    </row>
    <row r="1970" spans="12:13" x14ac:dyDescent="0.2">
      <c r="L1970" s="4">
        <v>1964</v>
      </c>
      <c r="M1970" s="21">
        <v>-174732.08145251375</v>
      </c>
    </row>
    <row r="1971" spans="12:13" x14ac:dyDescent="0.2">
      <c r="L1971" s="4">
        <v>1965</v>
      </c>
      <c r="M1971" s="21">
        <v>-187517.90425466563</v>
      </c>
    </row>
    <row r="1972" spans="12:13" x14ac:dyDescent="0.2">
      <c r="L1972" s="4">
        <v>1966</v>
      </c>
      <c r="M1972" s="21">
        <v>-143113.77146751108</v>
      </c>
    </row>
    <row r="1973" spans="12:13" x14ac:dyDescent="0.2">
      <c r="L1973" s="4">
        <v>1967</v>
      </c>
      <c r="M1973" s="21">
        <v>266408.61808539403</v>
      </c>
    </row>
    <row r="1974" spans="12:13" x14ac:dyDescent="0.2">
      <c r="L1974" s="4">
        <v>1968</v>
      </c>
      <c r="M1974" s="21">
        <v>-136607.60780208523</v>
      </c>
    </row>
    <row r="1975" spans="12:13" x14ac:dyDescent="0.2">
      <c r="L1975" s="4">
        <v>1969</v>
      </c>
      <c r="M1975" s="21">
        <v>-155794.31408076981</v>
      </c>
    </row>
    <row r="1976" spans="12:13" x14ac:dyDescent="0.2">
      <c r="L1976" s="4">
        <v>1970</v>
      </c>
      <c r="M1976" s="21">
        <v>-27533.601926805233</v>
      </c>
    </row>
    <row r="1977" spans="12:13" x14ac:dyDescent="0.2">
      <c r="L1977" s="4">
        <v>1971</v>
      </c>
      <c r="M1977" s="21">
        <v>-277098.42194267496</v>
      </c>
    </row>
    <row r="1978" spans="12:13" x14ac:dyDescent="0.2">
      <c r="L1978" s="4">
        <v>1972</v>
      </c>
      <c r="M1978" s="21">
        <v>-256554.94776974031</v>
      </c>
    </row>
    <row r="1979" spans="12:13" x14ac:dyDescent="0.2">
      <c r="L1979" s="4">
        <v>1973</v>
      </c>
      <c r="M1979" s="21">
        <v>-275152.62200087681</v>
      </c>
    </row>
    <row r="1980" spans="12:13" x14ac:dyDescent="0.2">
      <c r="L1980" s="4">
        <v>1974</v>
      </c>
      <c r="M1980" s="21">
        <v>29554.319295708672</v>
      </c>
    </row>
    <row r="1981" spans="12:13" x14ac:dyDescent="0.2">
      <c r="L1981" s="4">
        <v>1975</v>
      </c>
      <c r="M1981" s="21">
        <v>-38132.094758535517</v>
      </c>
    </row>
    <row r="1982" spans="12:13" x14ac:dyDescent="0.2">
      <c r="L1982" s="4">
        <v>1976</v>
      </c>
      <c r="M1982" s="21">
        <v>-15738.819801796402</v>
      </c>
    </row>
    <row r="1983" spans="12:13" x14ac:dyDescent="0.2">
      <c r="L1983" s="4">
        <v>1977</v>
      </c>
      <c r="M1983" s="21">
        <v>37639.122913106403</v>
      </c>
    </row>
    <row r="1984" spans="12:13" x14ac:dyDescent="0.2">
      <c r="L1984" s="4">
        <v>1978</v>
      </c>
      <c r="M1984" s="21">
        <v>-90610.998963587757</v>
      </c>
    </row>
    <row r="1985" spans="12:13" x14ac:dyDescent="0.2">
      <c r="L1985" s="4">
        <v>1979</v>
      </c>
      <c r="M1985" s="21">
        <v>113432.71170346282</v>
      </c>
    </row>
    <row r="1986" spans="12:13" x14ac:dyDescent="0.2">
      <c r="L1986" s="4">
        <v>1980</v>
      </c>
      <c r="M1986" s="21">
        <v>-56042.063203917409</v>
      </c>
    </row>
    <row r="1987" spans="12:13" x14ac:dyDescent="0.2">
      <c r="L1987" s="4">
        <v>1981</v>
      </c>
      <c r="M1987" s="21">
        <v>19934.925127400842</v>
      </c>
    </row>
    <row r="1988" spans="12:13" x14ac:dyDescent="0.2">
      <c r="L1988" s="4">
        <v>1982</v>
      </c>
      <c r="M1988" s="21">
        <v>190321.28585833564</v>
      </c>
    </row>
    <row r="1989" spans="12:13" x14ac:dyDescent="0.2">
      <c r="L1989" s="4">
        <v>1983</v>
      </c>
      <c r="M1989" s="21">
        <v>-325252.25260660314</v>
      </c>
    </row>
    <row r="1990" spans="12:13" x14ac:dyDescent="0.2">
      <c r="L1990" s="4">
        <v>1984</v>
      </c>
      <c r="M1990" s="21">
        <v>29162.176065713255</v>
      </c>
    </row>
    <row r="1991" spans="12:13" x14ac:dyDescent="0.2">
      <c r="L1991" s="4">
        <v>1985</v>
      </c>
      <c r="M1991" s="21">
        <v>-121125.02047077726</v>
      </c>
    </row>
    <row r="1992" spans="12:13" x14ac:dyDescent="0.2">
      <c r="L1992" s="4">
        <v>1986</v>
      </c>
      <c r="M1992" s="21">
        <v>-94991.945726619291</v>
      </c>
    </row>
    <row r="1993" spans="12:13" x14ac:dyDescent="0.2">
      <c r="L1993" s="4">
        <v>1987</v>
      </c>
      <c r="M1993" s="21">
        <v>-68862.311047682655</v>
      </c>
    </row>
    <row r="1994" spans="12:13" x14ac:dyDescent="0.2">
      <c r="L1994" s="4">
        <v>1988</v>
      </c>
      <c r="M1994" s="21">
        <v>-13933.103772379487</v>
      </c>
    </row>
    <row r="1995" spans="12:13" x14ac:dyDescent="0.2">
      <c r="L1995" s="4">
        <v>1989</v>
      </c>
      <c r="M1995" s="21">
        <v>-61147.480779126228</v>
      </c>
    </row>
    <row r="1996" spans="12:13" x14ac:dyDescent="0.2">
      <c r="L1996" s="4">
        <v>1990</v>
      </c>
      <c r="M1996" s="21">
        <v>-108519.57710561775</v>
      </c>
    </row>
    <row r="1997" spans="12:13" x14ac:dyDescent="0.2">
      <c r="L1997" s="4">
        <v>1991</v>
      </c>
      <c r="M1997" s="21">
        <v>103394.06954249649</v>
      </c>
    </row>
    <row r="1998" spans="12:13" x14ac:dyDescent="0.2">
      <c r="L1998" s="4">
        <v>1992</v>
      </c>
      <c r="M1998" s="21">
        <v>161901.31052892425</v>
      </c>
    </row>
    <row r="1999" spans="12:13" x14ac:dyDescent="0.2">
      <c r="L1999" s="4">
        <v>1993</v>
      </c>
      <c r="M1999" s="21">
        <v>13764.807925433823</v>
      </c>
    </row>
    <row r="2000" spans="12:13" x14ac:dyDescent="0.2">
      <c r="L2000" s="4">
        <v>1994</v>
      </c>
      <c r="M2000" s="21">
        <v>-170456.04560778919</v>
      </c>
    </row>
    <row r="2001" spans="12:13" x14ac:dyDescent="0.2">
      <c r="L2001" s="4">
        <v>1995</v>
      </c>
      <c r="M2001" s="21">
        <v>-126094.77919974465</v>
      </c>
    </row>
    <row r="2002" spans="12:13" x14ac:dyDescent="0.2">
      <c r="L2002" s="4">
        <v>1996</v>
      </c>
      <c r="M2002" s="21">
        <v>33425.998132623674</v>
      </c>
    </row>
    <row r="2003" spans="12:13" x14ac:dyDescent="0.2">
      <c r="L2003" s="4">
        <v>1997</v>
      </c>
      <c r="M2003" s="21">
        <v>-48062.266342253861</v>
      </c>
    </row>
    <row r="2004" spans="12:13" x14ac:dyDescent="0.2">
      <c r="L2004" s="4">
        <v>1998</v>
      </c>
      <c r="M2004" s="21">
        <v>47855.456969591411</v>
      </c>
    </row>
    <row r="2005" spans="12:13" x14ac:dyDescent="0.2">
      <c r="L2005" s="4">
        <v>1999</v>
      </c>
      <c r="M2005" s="21">
        <v>5252.0675292595697</v>
      </c>
    </row>
    <row r="2006" spans="12:13" x14ac:dyDescent="0.2">
      <c r="L2006" s="4">
        <v>2000</v>
      </c>
      <c r="M2006" s="21">
        <v>-101236.61202229293</v>
      </c>
    </row>
    <row r="2007" spans="12:13" x14ac:dyDescent="0.2">
      <c r="L2007" s="4">
        <v>2001</v>
      </c>
      <c r="M2007" s="21">
        <v>4309.0425388146832</v>
      </c>
    </row>
    <row r="2008" spans="12:13" x14ac:dyDescent="0.2">
      <c r="L2008" s="4">
        <v>2002</v>
      </c>
      <c r="M2008" s="21">
        <v>-29992.778371430235</v>
      </c>
    </row>
    <row r="2009" spans="12:13" x14ac:dyDescent="0.2">
      <c r="L2009" s="4">
        <v>2003</v>
      </c>
      <c r="M2009" s="21">
        <v>-88454.315385145528</v>
      </c>
    </row>
    <row r="2010" spans="12:13" x14ac:dyDescent="0.2">
      <c r="L2010" s="4">
        <v>2004</v>
      </c>
      <c r="M2010" s="21">
        <v>8351.6912436149432</v>
      </c>
    </row>
    <row r="2011" spans="12:13" x14ac:dyDescent="0.2">
      <c r="L2011" s="4">
        <v>2005</v>
      </c>
      <c r="M2011" s="21">
        <v>-47401.264087731979</v>
      </c>
    </row>
    <row r="2012" spans="12:13" x14ac:dyDescent="0.2">
      <c r="L2012" s="4">
        <v>2006</v>
      </c>
      <c r="M2012" s="21">
        <v>181085.16576427963</v>
      </c>
    </row>
    <row r="2013" spans="12:13" x14ac:dyDescent="0.2">
      <c r="L2013" s="4">
        <v>2007</v>
      </c>
      <c r="M2013" s="21">
        <v>43220.568192762817</v>
      </c>
    </row>
    <row r="2014" spans="12:13" x14ac:dyDescent="0.2">
      <c r="L2014" s="4">
        <v>2008</v>
      </c>
      <c r="M2014" s="21">
        <v>-7834.7025219700445</v>
      </c>
    </row>
    <row r="2015" spans="12:13" x14ac:dyDescent="0.2">
      <c r="L2015" s="4">
        <v>2009</v>
      </c>
      <c r="M2015" s="21">
        <v>57324.336011069972</v>
      </c>
    </row>
    <row r="2016" spans="12:13" x14ac:dyDescent="0.2">
      <c r="L2016" s="4">
        <v>2010</v>
      </c>
      <c r="M2016" s="21">
        <v>-37614.713585087797</v>
      </c>
    </row>
    <row r="2017" spans="12:13" x14ac:dyDescent="0.2">
      <c r="L2017" s="4">
        <v>2011</v>
      </c>
      <c r="M2017" s="21">
        <v>-107206.60228017782</v>
      </c>
    </row>
    <row r="2018" spans="12:13" x14ac:dyDescent="0.2">
      <c r="L2018" s="4">
        <v>2012</v>
      </c>
      <c r="M2018" s="21">
        <v>-75494.110022301422</v>
      </c>
    </row>
    <row r="2019" spans="12:13" x14ac:dyDescent="0.2">
      <c r="L2019" s="4">
        <v>2013</v>
      </c>
      <c r="M2019" s="21">
        <v>-5338.8135574011685</v>
      </c>
    </row>
    <row r="2020" spans="12:13" x14ac:dyDescent="0.2">
      <c r="L2020" s="4">
        <v>2014</v>
      </c>
      <c r="M2020" s="21">
        <v>163444.25216605986</v>
      </c>
    </row>
    <row r="2021" spans="12:13" x14ac:dyDescent="0.2">
      <c r="L2021" s="4">
        <v>2015</v>
      </c>
      <c r="M2021" s="21">
        <v>-95821.127505423181</v>
      </c>
    </row>
    <row r="2022" spans="12:13" x14ac:dyDescent="0.2">
      <c r="L2022" s="4">
        <v>2016</v>
      </c>
      <c r="M2022" s="21">
        <v>131103.47773378744</v>
      </c>
    </row>
    <row r="2023" spans="12:13" x14ac:dyDescent="0.2">
      <c r="L2023" s="4">
        <v>2017</v>
      </c>
      <c r="M2023" s="21">
        <v>64697.267602126376</v>
      </c>
    </row>
    <row r="2024" spans="12:13" x14ac:dyDescent="0.2">
      <c r="L2024" s="4">
        <v>2018</v>
      </c>
      <c r="M2024" s="21">
        <v>-250071.68257185287</v>
      </c>
    </row>
    <row r="2025" spans="12:13" x14ac:dyDescent="0.2">
      <c r="L2025" s="4">
        <v>2019</v>
      </c>
      <c r="M2025" s="21">
        <v>-42490.443648497676</v>
      </c>
    </row>
    <row r="2026" spans="12:13" x14ac:dyDescent="0.2">
      <c r="L2026" s="4">
        <v>2020</v>
      </c>
      <c r="M2026" s="21">
        <v>-43565.424098218748</v>
      </c>
    </row>
    <row r="2027" spans="12:13" x14ac:dyDescent="0.2">
      <c r="L2027" s="4">
        <v>2021</v>
      </c>
      <c r="M2027" s="21">
        <v>-142413.10427907584</v>
      </c>
    </row>
    <row r="2028" spans="12:13" x14ac:dyDescent="0.2">
      <c r="L2028" s="4">
        <v>2022</v>
      </c>
      <c r="M2028" s="21">
        <v>112333.02487178662</v>
      </c>
    </row>
    <row r="2029" spans="12:13" x14ac:dyDescent="0.2">
      <c r="L2029" s="4">
        <v>2023</v>
      </c>
      <c r="M2029" s="21">
        <v>196808.9084082444</v>
      </c>
    </row>
    <row r="2030" spans="12:13" x14ac:dyDescent="0.2">
      <c r="L2030" s="4">
        <v>2024</v>
      </c>
      <c r="M2030" s="21">
        <v>-35328.669997988865</v>
      </c>
    </row>
    <row r="2031" spans="12:13" x14ac:dyDescent="0.2">
      <c r="L2031" s="4">
        <v>2025</v>
      </c>
      <c r="M2031" s="21">
        <v>29119.943411060463</v>
      </c>
    </row>
    <row r="2032" spans="12:13" x14ac:dyDescent="0.2">
      <c r="L2032" s="4">
        <v>2026</v>
      </c>
      <c r="M2032" s="21">
        <v>258590.22612357046</v>
      </c>
    </row>
    <row r="2033" spans="12:13" x14ac:dyDescent="0.2">
      <c r="L2033" s="4">
        <v>2027</v>
      </c>
      <c r="M2033" s="21">
        <v>160962.41832896278</v>
      </c>
    </row>
    <row r="2034" spans="12:13" x14ac:dyDescent="0.2">
      <c r="L2034" s="4">
        <v>2028</v>
      </c>
      <c r="M2034" s="21">
        <v>67373.973143810028</v>
      </c>
    </row>
    <row r="2035" spans="12:13" x14ac:dyDescent="0.2">
      <c r="L2035" s="4">
        <v>2029</v>
      </c>
      <c r="M2035" s="21">
        <v>14659.512360750348</v>
      </c>
    </row>
    <row r="2036" spans="12:13" x14ac:dyDescent="0.2">
      <c r="L2036" s="4">
        <v>2030</v>
      </c>
      <c r="M2036" s="21">
        <v>-47778.600949970525</v>
      </c>
    </row>
    <row r="2037" spans="12:13" x14ac:dyDescent="0.2">
      <c r="L2037" s="4">
        <v>2031</v>
      </c>
      <c r="M2037" s="21">
        <v>124751.36522579149</v>
      </c>
    </row>
    <row r="2038" spans="12:13" x14ac:dyDescent="0.2">
      <c r="L2038" s="4">
        <v>2032</v>
      </c>
      <c r="M2038" s="21">
        <v>-127259.07351418356</v>
      </c>
    </row>
    <row r="2039" spans="12:13" x14ac:dyDescent="0.2">
      <c r="L2039" s="4">
        <v>2033</v>
      </c>
      <c r="M2039" s="21">
        <v>-296704.79786308273</v>
      </c>
    </row>
    <row r="2040" spans="12:13" x14ac:dyDescent="0.2">
      <c r="L2040" s="4">
        <v>2034</v>
      </c>
      <c r="M2040" s="21">
        <v>64303.1666814989</v>
      </c>
    </row>
    <row r="2041" spans="12:13" x14ac:dyDescent="0.2">
      <c r="L2041" s="4">
        <v>2035</v>
      </c>
      <c r="M2041" s="21">
        <v>-220932.81491245385</v>
      </c>
    </row>
    <row r="2042" spans="12:13" x14ac:dyDescent="0.2">
      <c r="L2042" s="4">
        <v>2036</v>
      </c>
      <c r="M2042" s="21">
        <v>-208999.0894934856</v>
      </c>
    </row>
    <row r="2043" spans="12:13" x14ac:dyDescent="0.2">
      <c r="L2043" s="4">
        <v>2037</v>
      </c>
      <c r="M2043" s="21">
        <v>-114651.44116211138</v>
      </c>
    </row>
    <row r="2044" spans="12:13" x14ac:dyDescent="0.2">
      <c r="L2044" s="4">
        <v>2038</v>
      </c>
      <c r="M2044" s="21">
        <v>-22461.372867536644</v>
      </c>
    </row>
    <row r="2045" spans="12:13" x14ac:dyDescent="0.2">
      <c r="L2045" s="4">
        <v>2039</v>
      </c>
      <c r="M2045" s="21">
        <v>-23480.970709686648</v>
      </c>
    </row>
    <row r="2046" spans="12:13" x14ac:dyDescent="0.2">
      <c r="L2046" s="4">
        <v>2040</v>
      </c>
      <c r="M2046" s="21">
        <v>-27402.742923567552</v>
      </c>
    </row>
    <row r="2047" spans="12:13" x14ac:dyDescent="0.2">
      <c r="L2047" s="4">
        <v>2041</v>
      </c>
      <c r="M2047" s="21">
        <v>107712.82290856211</v>
      </c>
    </row>
    <row r="2048" spans="12:13" x14ac:dyDescent="0.2">
      <c r="L2048" s="4">
        <v>2042</v>
      </c>
      <c r="M2048" s="21">
        <v>76596.649402718234</v>
      </c>
    </row>
    <row r="2049" spans="12:13" x14ac:dyDescent="0.2">
      <c r="L2049" s="4">
        <v>2043</v>
      </c>
      <c r="M2049" s="21">
        <v>-258635.19275640417</v>
      </c>
    </row>
    <row r="2050" spans="12:13" x14ac:dyDescent="0.2">
      <c r="L2050" s="4">
        <v>2044</v>
      </c>
      <c r="M2050" s="21">
        <v>245722.16925137627</v>
      </c>
    </row>
    <row r="2051" spans="12:13" x14ac:dyDescent="0.2">
      <c r="L2051" s="4">
        <v>2045</v>
      </c>
      <c r="M2051" s="21">
        <v>49252.982820650097</v>
      </c>
    </row>
    <row r="2052" spans="12:13" x14ac:dyDescent="0.2">
      <c r="L2052" s="4">
        <v>2046</v>
      </c>
      <c r="M2052" s="21">
        <v>-35598.890754311607</v>
      </c>
    </row>
    <row r="2053" spans="12:13" x14ac:dyDescent="0.2">
      <c r="L2053" s="4">
        <v>2047</v>
      </c>
      <c r="M2053" s="21">
        <v>-170128.26974426839</v>
      </c>
    </row>
    <row r="2054" spans="12:13" x14ac:dyDescent="0.2">
      <c r="L2054" s="4">
        <v>2048</v>
      </c>
      <c r="M2054" s="21">
        <v>124773.77931805351</v>
      </c>
    </row>
    <row r="2055" spans="12:13" x14ac:dyDescent="0.2">
      <c r="L2055" s="4">
        <v>2049</v>
      </c>
      <c r="M2055" s="21">
        <v>212983.25137014981</v>
      </c>
    </row>
    <row r="2056" spans="12:13" x14ac:dyDescent="0.2">
      <c r="L2056" s="4">
        <v>2050</v>
      </c>
      <c r="M2056" s="21">
        <v>-95447.966848548022</v>
      </c>
    </row>
    <row r="2057" spans="12:13" x14ac:dyDescent="0.2">
      <c r="L2057" s="4">
        <v>2051</v>
      </c>
      <c r="M2057" s="21">
        <v>-68826.270008428997</v>
      </c>
    </row>
    <row r="2058" spans="12:13" x14ac:dyDescent="0.2">
      <c r="L2058" s="4">
        <v>2052</v>
      </c>
      <c r="M2058" s="21">
        <v>-61916.976808482912</v>
      </c>
    </row>
    <row r="2059" spans="12:13" x14ac:dyDescent="0.2">
      <c r="L2059" s="4">
        <v>2053</v>
      </c>
      <c r="M2059" s="21">
        <v>20925.96124251734</v>
      </c>
    </row>
    <row r="2060" spans="12:13" x14ac:dyDescent="0.2">
      <c r="L2060" s="4">
        <v>2054</v>
      </c>
      <c r="M2060" s="21">
        <v>-76064.624246701133</v>
      </c>
    </row>
    <row r="2061" spans="12:13" x14ac:dyDescent="0.2">
      <c r="L2061" s="4">
        <v>2055</v>
      </c>
      <c r="M2061" s="21">
        <v>376606.29368574923</v>
      </c>
    </row>
    <row r="2062" spans="12:13" x14ac:dyDescent="0.2">
      <c r="L2062" s="4">
        <v>2056</v>
      </c>
      <c r="M2062" s="21">
        <v>-20802.968216869471</v>
      </c>
    </row>
    <row r="2063" spans="12:13" x14ac:dyDescent="0.2">
      <c r="L2063" s="4">
        <v>2057</v>
      </c>
      <c r="M2063" s="21">
        <v>-59059.101778079988</v>
      </c>
    </row>
    <row r="2064" spans="12:13" x14ac:dyDescent="0.2">
      <c r="L2064" s="4">
        <v>2058</v>
      </c>
      <c r="M2064" s="21">
        <v>-333772.21234014793</v>
      </c>
    </row>
    <row r="2065" spans="12:13" x14ac:dyDescent="0.2">
      <c r="L2065" s="4">
        <v>2059</v>
      </c>
      <c r="M2065" s="21">
        <v>-44901.912720988868</v>
      </c>
    </row>
    <row r="2066" spans="12:13" x14ac:dyDescent="0.2">
      <c r="L2066" s="4">
        <v>2060</v>
      </c>
      <c r="M2066" s="21">
        <v>7350.2649855266791</v>
      </c>
    </row>
    <row r="2067" spans="12:13" x14ac:dyDescent="0.2">
      <c r="L2067" s="4">
        <v>2061</v>
      </c>
      <c r="M2067" s="21">
        <v>-269542.65259135352</v>
      </c>
    </row>
    <row r="2068" spans="12:13" x14ac:dyDescent="0.2">
      <c r="L2068" s="4">
        <v>2062</v>
      </c>
      <c r="M2068" s="21">
        <v>226747.62771546739</v>
      </c>
    </row>
    <row r="2069" spans="12:13" x14ac:dyDescent="0.2">
      <c r="L2069" s="4">
        <v>2063</v>
      </c>
      <c r="M2069" s="21">
        <v>-240008.35218434696</v>
      </c>
    </row>
    <row r="2070" spans="12:13" x14ac:dyDescent="0.2">
      <c r="L2070" s="4">
        <v>2064</v>
      </c>
      <c r="M2070" s="21">
        <v>-269875.26356518263</v>
      </c>
    </row>
    <row r="2071" spans="12:13" x14ac:dyDescent="0.2">
      <c r="L2071" s="4">
        <v>2065</v>
      </c>
      <c r="M2071" s="21">
        <v>21096.297425558005</v>
      </c>
    </row>
    <row r="2072" spans="12:13" x14ac:dyDescent="0.2">
      <c r="L2072" s="4">
        <v>2066</v>
      </c>
      <c r="M2072" s="21">
        <v>17156.216263931943</v>
      </c>
    </row>
    <row r="2073" spans="12:13" x14ac:dyDescent="0.2">
      <c r="L2073" s="4">
        <v>2067</v>
      </c>
      <c r="M2073" s="21">
        <v>218214.385444666</v>
      </c>
    </row>
    <row r="2074" spans="12:13" x14ac:dyDescent="0.2">
      <c r="L2074" s="4">
        <v>2068</v>
      </c>
      <c r="M2074" s="21">
        <v>-139519.13486615475</v>
      </c>
    </row>
    <row r="2075" spans="12:13" x14ac:dyDescent="0.2">
      <c r="L2075" s="4">
        <v>2069</v>
      </c>
      <c r="M2075" s="21">
        <v>208821.27372222941</v>
      </c>
    </row>
    <row r="2076" spans="12:13" x14ac:dyDescent="0.2">
      <c r="L2076" s="4">
        <v>2070</v>
      </c>
      <c r="M2076" s="21">
        <v>-121140.72267346676</v>
      </c>
    </row>
    <row r="2077" spans="12:13" x14ac:dyDescent="0.2">
      <c r="L2077" s="4">
        <v>2071</v>
      </c>
      <c r="M2077" s="21">
        <v>36363.130931299442</v>
      </c>
    </row>
    <row r="2078" spans="12:13" x14ac:dyDescent="0.2">
      <c r="L2078" s="4">
        <v>2072</v>
      </c>
      <c r="M2078" s="21">
        <v>80576.151782421512</v>
      </c>
    </row>
    <row r="2079" spans="12:13" x14ac:dyDescent="0.2">
      <c r="L2079" s="4">
        <v>2073</v>
      </c>
      <c r="M2079" s="21">
        <v>-225226.26749542094</v>
      </c>
    </row>
    <row r="2080" spans="12:13" x14ac:dyDescent="0.2">
      <c r="L2080" s="4">
        <v>2074</v>
      </c>
      <c r="M2080" s="21">
        <v>-21851.833086663974</v>
      </c>
    </row>
    <row r="2081" spans="12:13" x14ac:dyDescent="0.2">
      <c r="L2081" s="4">
        <v>2075</v>
      </c>
      <c r="M2081" s="21">
        <v>-470.54116005342803</v>
      </c>
    </row>
    <row r="2082" spans="12:13" x14ac:dyDescent="0.2">
      <c r="L2082" s="4">
        <v>2076</v>
      </c>
      <c r="M2082" s="21">
        <v>39076.19016020649</v>
      </c>
    </row>
    <row r="2083" spans="12:13" x14ac:dyDescent="0.2">
      <c r="L2083" s="4">
        <v>2077</v>
      </c>
      <c r="M2083" s="21">
        <v>-228398.56603453861</v>
      </c>
    </row>
    <row r="2084" spans="12:13" x14ac:dyDescent="0.2">
      <c r="L2084" s="4">
        <v>2078</v>
      </c>
      <c r="M2084" s="21">
        <v>-3752.3205932150595</v>
      </c>
    </row>
    <row r="2085" spans="12:13" x14ac:dyDescent="0.2">
      <c r="L2085" s="4">
        <v>2079</v>
      </c>
      <c r="M2085" s="21">
        <v>-223765.25790298253</v>
      </c>
    </row>
    <row r="2086" spans="12:13" x14ac:dyDescent="0.2">
      <c r="L2086" s="4">
        <v>2080</v>
      </c>
      <c r="M2086" s="21">
        <v>-22014.508889966004</v>
      </c>
    </row>
    <row r="2087" spans="12:13" x14ac:dyDescent="0.2">
      <c r="L2087" s="4">
        <v>2081</v>
      </c>
      <c r="M2087" s="21">
        <v>-185714.75180207979</v>
      </c>
    </row>
    <row r="2088" spans="12:13" x14ac:dyDescent="0.2">
      <c r="L2088" s="4">
        <v>2082</v>
      </c>
      <c r="M2088" s="21">
        <v>216485.08622886281</v>
      </c>
    </row>
    <row r="2089" spans="12:13" x14ac:dyDescent="0.2">
      <c r="L2089" s="4">
        <v>2083</v>
      </c>
      <c r="M2089" s="21">
        <v>205641.23863000824</v>
      </c>
    </row>
    <row r="2090" spans="12:13" x14ac:dyDescent="0.2">
      <c r="L2090" s="4">
        <v>2084</v>
      </c>
      <c r="M2090" s="21">
        <v>-226089.18232796967</v>
      </c>
    </row>
    <row r="2091" spans="12:13" x14ac:dyDescent="0.2">
      <c r="L2091" s="4">
        <v>2085</v>
      </c>
      <c r="M2091" s="21">
        <v>-10612.052767334608</v>
      </c>
    </row>
    <row r="2092" spans="12:13" x14ac:dyDescent="0.2">
      <c r="L2092" s="4">
        <v>2086</v>
      </c>
      <c r="M2092" s="21">
        <v>148835.98584195066</v>
      </c>
    </row>
    <row r="2093" spans="12:13" x14ac:dyDescent="0.2">
      <c r="L2093" s="4">
        <v>2087</v>
      </c>
      <c r="M2093" s="21">
        <v>165914.89074698882</v>
      </c>
    </row>
    <row r="2094" spans="12:13" x14ac:dyDescent="0.2">
      <c r="L2094" s="4">
        <v>2088</v>
      </c>
      <c r="M2094" s="21">
        <v>-209669.00941949285</v>
      </c>
    </row>
    <row r="2095" spans="12:13" x14ac:dyDescent="0.2">
      <c r="L2095" s="4">
        <v>2089</v>
      </c>
      <c r="M2095" s="21">
        <v>-20566.685174837097</v>
      </c>
    </row>
    <row r="2096" spans="12:13" x14ac:dyDescent="0.2">
      <c r="L2096" s="4">
        <v>2090</v>
      </c>
      <c r="M2096" s="21">
        <v>92806.179937067471</v>
      </c>
    </row>
    <row r="2097" spans="12:13" x14ac:dyDescent="0.2">
      <c r="L2097" s="4">
        <v>2091</v>
      </c>
      <c r="M2097" s="21">
        <v>-159405.062067408</v>
      </c>
    </row>
    <row r="2098" spans="12:13" x14ac:dyDescent="0.2">
      <c r="L2098" s="4">
        <v>2092</v>
      </c>
      <c r="M2098" s="21">
        <v>9255.6963318565395</v>
      </c>
    </row>
    <row r="2099" spans="12:13" x14ac:dyDescent="0.2">
      <c r="L2099" s="4">
        <v>2093</v>
      </c>
      <c r="M2099" s="21">
        <v>-48474.77667709472</v>
      </c>
    </row>
    <row r="2100" spans="12:13" x14ac:dyDescent="0.2">
      <c r="L2100" s="4">
        <v>2094</v>
      </c>
      <c r="M2100" s="21">
        <v>-325426.56595077732</v>
      </c>
    </row>
    <row r="2101" spans="12:13" x14ac:dyDescent="0.2">
      <c r="L2101" s="4">
        <v>2095</v>
      </c>
      <c r="M2101" s="21">
        <v>-94888.783662104135</v>
      </c>
    </row>
    <row r="2102" spans="12:13" x14ac:dyDescent="0.2">
      <c r="L2102" s="4">
        <v>2096</v>
      </c>
      <c r="M2102" s="21">
        <v>96861.22634417293</v>
      </c>
    </row>
    <row r="2103" spans="12:13" x14ac:dyDescent="0.2">
      <c r="L2103" s="4">
        <v>2097</v>
      </c>
      <c r="M2103" s="21">
        <v>-63664.639219528282</v>
      </c>
    </row>
    <row r="2104" spans="12:13" x14ac:dyDescent="0.2">
      <c r="L2104" s="4">
        <v>2098</v>
      </c>
      <c r="M2104" s="21">
        <v>-64702.571899594521</v>
      </c>
    </row>
    <row r="2105" spans="12:13" x14ac:dyDescent="0.2">
      <c r="L2105" s="4">
        <v>2099</v>
      </c>
      <c r="M2105" s="21">
        <v>-56746.921183220402</v>
      </c>
    </row>
    <row r="2106" spans="12:13" x14ac:dyDescent="0.2">
      <c r="L2106" s="4">
        <v>2100</v>
      </c>
      <c r="M2106" s="21">
        <v>20694.679764643282</v>
      </c>
    </row>
    <row r="2107" spans="12:13" x14ac:dyDescent="0.2">
      <c r="L2107" s="4">
        <v>2101</v>
      </c>
      <c r="M2107" s="21">
        <v>35715.622843048535</v>
      </c>
    </row>
    <row r="2108" spans="12:13" x14ac:dyDescent="0.2">
      <c r="L2108" s="4">
        <v>2102</v>
      </c>
      <c r="M2108" s="21">
        <v>-200042.19174344293</v>
      </c>
    </row>
    <row r="2109" spans="12:13" x14ac:dyDescent="0.2">
      <c r="L2109" s="4">
        <v>2103</v>
      </c>
      <c r="M2109" s="21">
        <v>-87096.189269941082</v>
      </c>
    </row>
    <row r="2110" spans="12:13" x14ac:dyDescent="0.2">
      <c r="L2110" s="4">
        <v>2104</v>
      </c>
      <c r="M2110" s="21">
        <v>-82939.27249164581</v>
      </c>
    </row>
    <row r="2111" spans="12:13" x14ac:dyDescent="0.2">
      <c r="L2111" s="4">
        <v>2105</v>
      </c>
      <c r="M2111" s="21">
        <v>-249450.50216134923</v>
      </c>
    </row>
    <row r="2112" spans="12:13" x14ac:dyDescent="0.2">
      <c r="L2112" s="4">
        <v>2106</v>
      </c>
      <c r="M2112" s="21">
        <v>107439.07943915675</v>
      </c>
    </row>
    <row r="2113" spans="12:13" x14ac:dyDescent="0.2">
      <c r="L2113" s="4">
        <v>2107</v>
      </c>
      <c r="M2113" s="21">
        <v>108695.70068410612</v>
      </c>
    </row>
    <row r="2114" spans="12:13" x14ac:dyDescent="0.2">
      <c r="L2114" s="4">
        <v>2108</v>
      </c>
      <c r="M2114" s="21">
        <v>-71927.090600895841</v>
      </c>
    </row>
    <row r="2115" spans="12:13" x14ac:dyDescent="0.2">
      <c r="L2115" s="4">
        <v>2109</v>
      </c>
      <c r="M2115" s="21">
        <v>191265.9282437526</v>
      </c>
    </row>
    <row r="2116" spans="12:13" x14ac:dyDescent="0.2">
      <c r="L2116" s="4">
        <v>2110</v>
      </c>
      <c r="M2116" s="21">
        <v>-206144.22962543019</v>
      </c>
    </row>
    <row r="2117" spans="12:13" x14ac:dyDescent="0.2">
      <c r="L2117" s="4">
        <v>2111</v>
      </c>
      <c r="M2117" s="21">
        <v>-237126.22309136169</v>
      </c>
    </row>
    <row r="2118" spans="12:13" x14ac:dyDescent="0.2">
      <c r="L2118" s="4">
        <v>2112</v>
      </c>
      <c r="M2118" s="21">
        <v>-86685.680253190774</v>
      </c>
    </row>
    <row r="2119" spans="12:13" x14ac:dyDescent="0.2">
      <c r="L2119" s="4">
        <v>2113</v>
      </c>
      <c r="M2119" s="21">
        <v>1900.2015362008533</v>
      </c>
    </row>
    <row r="2120" spans="12:13" x14ac:dyDescent="0.2">
      <c r="L2120" s="4">
        <v>2114</v>
      </c>
      <c r="M2120" s="21">
        <v>43952.28592843574</v>
      </c>
    </row>
    <row r="2121" spans="12:13" x14ac:dyDescent="0.2">
      <c r="L2121" s="4">
        <v>2115</v>
      </c>
      <c r="M2121" s="21">
        <v>-26942.693716178852</v>
      </c>
    </row>
    <row r="2122" spans="12:13" x14ac:dyDescent="0.2">
      <c r="L2122" s="4">
        <v>2116</v>
      </c>
      <c r="M2122" s="21">
        <v>2936.4860409776447</v>
      </c>
    </row>
    <row r="2123" spans="12:13" x14ac:dyDescent="0.2">
      <c r="L2123" s="4">
        <v>2117</v>
      </c>
      <c r="M2123" s="21">
        <v>-85.796319926608703</v>
      </c>
    </row>
    <row r="2124" spans="12:13" x14ac:dyDescent="0.2">
      <c r="L2124" s="4">
        <v>2118</v>
      </c>
      <c r="M2124" s="21">
        <v>-146213.51716593595</v>
      </c>
    </row>
    <row r="2125" spans="12:13" x14ac:dyDescent="0.2">
      <c r="L2125" s="4">
        <v>2119</v>
      </c>
      <c r="M2125" s="21">
        <v>58405.254529339349</v>
      </c>
    </row>
    <row r="2126" spans="12:13" x14ac:dyDescent="0.2">
      <c r="L2126" s="4">
        <v>2120</v>
      </c>
      <c r="M2126" s="21">
        <v>-52462.19789193607</v>
      </c>
    </row>
    <row r="2127" spans="12:13" x14ac:dyDescent="0.2">
      <c r="L2127" s="4">
        <v>2121</v>
      </c>
      <c r="M2127" s="21">
        <v>-18252.387817543437</v>
      </c>
    </row>
    <row r="2128" spans="12:13" x14ac:dyDescent="0.2">
      <c r="L2128" s="4">
        <v>2122</v>
      </c>
      <c r="M2128" s="21">
        <v>-132751.09617051185</v>
      </c>
    </row>
    <row r="2129" spans="12:13" x14ac:dyDescent="0.2">
      <c r="L2129" s="4">
        <v>2123</v>
      </c>
      <c r="M2129" s="21">
        <v>-257180.07420882344</v>
      </c>
    </row>
    <row r="2130" spans="12:13" x14ac:dyDescent="0.2">
      <c r="L2130" s="4">
        <v>2124</v>
      </c>
      <c r="M2130" s="21">
        <v>103229.48932899057</v>
      </c>
    </row>
    <row r="2131" spans="12:13" x14ac:dyDescent="0.2">
      <c r="L2131" s="4">
        <v>2125</v>
      </c>
      <c r="M2131" s="21">
        <v>33463.454525460169</v>
      </c>
    </row>
    <row r="2132" spans="12:13" x14ac:dyDescent="0.2">
      <c r="L2132" s="4">
        <v>2126</v>
      </c>
      <c r="M2132" s="21">
        <v>-31834.643031795495</v>
      </c>
    </row>
    <row r="2133" spans="12:13" x14ac:dyDescent="0.2">
      <c r="L2133" s="4">
        <v>2127</v>
      </c>
      <c r="M2133" s="21">
        <v>-251222.38142697304</v>
      </c>
    </row>
    <row r="2134" spans="12:13" x14ac:dyDescent="0.2">
      <c r="L2134" s="4">
        <v>2128</v>
      </c>
      <c r="M2134" s="21">
        <v>212476.04116475652</v>
      </c>
    </row>
    <row r="2135" spans="12:13" x14ac:dyDescent="0.2">
      <c r="L2135" s="4">
        <v>2129</v>
      </c>
      <c r="M2135" s="21">
        <v>85860.283731020056</v>
      </c>
    </row>
    <row r="2136" spans="12:13" x14ac:dyDescent="0.2">
      <c r="L2136" s="4">
        <v>2130</v>
      </c>
      <c r="M2136" s="21">
        <v>137275.83028358739</v>
      </c>
    </row>
    <row r="2137" spans="12:13" x14ac:dyDescent="0.2">
      <c r="L2137" s="4">
        <v>2131</v>
      </c>
      <c r="M2137" s="21">
        <v>-122129.54959651842</v>
      </c>
    </row>
    <row r="2138" spans="12:13" x14ac:dyDescent="0.2">
      <c r="L2138" s="4">
        <v>2132</v>
      </c>
      <c r="M2138" s="21">
        <v>285036.63633026776</v>
      </c>
    </row>
    <row r="2139" spans="12:13" x14ac:dyDescent="0.2">
      <c r="L2139" s="4">
        <v>2133</v>
      </c>
      <c r="M2139" s="21">
        <v>196665.96226275637</v>
      </c>
    </row>
    <row r="2140" spans="12:13" x14ac:dyDescent="0.2">
      <c r="L2140" s="4">
        <v>2134</v>
      </c>
      <c r="M2140" s="21">
        <v>280935.28506310959</v>
      </c>
    </row>
    <row r="2141" spans="12:13" x14ac:dyDescent="0.2">
      <c r="L2141" s="4">
        <v>2135</v>
      </c>
      <c r="M2141" s="21">
        <v>-20699.988847611225</v>
      </c>
    </row>
    <row r="2142" spans="12:13" x14ac:dyDescent="0.2">
      <c r="L2142" s="4">
        <v>2136</v>
      </c>
      <c r="M2142" s="21">
        <v>136156.7529545768</v>
      </c>
    </row>
    <row r="2143" spans="12:13" x14ac:dyDescent="0.2">
      <c r="L2143" s="4">
        <v>2137</v>
      </c>
      <c r="M2143" s="21">
        <v>-128967.6918798103</v>
      </c>
    </row>
    <row r="2144" spans="12:13" x14ac:dyDescent="0.2">
      <c r="L2144" s="4">
        <v>2138</v>
      </c>
      <c r="M2144" s="21">
        <v>-109735.74990644262</v>
      </c>
    </row>
    <row r="2145" spans="12:13" x14ac:dyDescent="0.2">
      <c r="L2145" s="4">
        <v>2139</v>
      </c>
      <c r="M2145" s="21">
        <v>3901.9206664019439</v>
      </c>
    </row>
    <row r="2146" spans="12:13" x14ac:dyDescent="0.2">
      <c r="L2146" s="4">
        <v>2140</v>
      </c>
      <c r="M2146" s="21">
        <v>131068.37119016331</v>
      </c>
    </row>
    <row r="2147" spans="12:13" x14ac:dyDescent="0.2">
      <c r="L2147" s="4">
        <v>2141</v>
      </c>
      <c r="M2147" s="21">
        <v>-211747.02688595004</v>
      </c>
    </row>
    <row r="2148" spans="12:13" x14ac:dyDescent="0.2">
      <c r="L2148" s="4">
        <v>2142</v>
      </c>
      <c r="M2148" s="21">
        <v>144060.64266438506</v>
      </c>
    </row>
    <row r="2149" spans="12:13" x14ac:dyDescent="0.2">
      <c r="L2149" s="4">
        <v>2143</v>
      </c>
      <c r="M2149" s="21">
        <v>-65718.50736339092</v>
      </c>
    </row>
    <row r="2150" spans="12:13" x14ac:dyDescent="0.2">
      <c r="L2150" s="4">
        <v>2144</v>
      </c>
      <c r="M2150" s="21">
        <v>107452.93752419032</v>
      </c>
    </row>
    <row r="2151" spans="12:13" x14ac:dyDescent="0.2">
      <c r="L2151" s="4">
        <v>2145</v>
      </c>
      <c r="M2151" s="21">
        <v>86926.500075995602</v>
      </c>
    </row>
    <row r="2152" spans="12:13" x14ac:dyDescent="0.2">
      <c r="L2152" s="4">
        <v>2146</v>
      </c>
      <c r="M2152" s="21">
        <v>-209576.48950095585</v>
      </c>
    </row>
    <row r="2153" spans="12:13" x14ac:dyDescent="0.2">
      <c r="L2153" s="4">
        <v>2147</v>
      </c>
      <c r="M2153" s="21">
        <v>53084.480649795209</v>
      </c>
    </row>
    <row r="2154" spans="12:13" x14ac:dyDescent="0.2">
      <c r="L2154" s="4">
        <v>2148</v>
      </c>
      <c r="M2154" s="21">
        <v>-107313.60865384032</v>
      </c>
    </row>
    <row r="2155" spans="12:13" x14ac:dyDescent="0.2">
      <c r="L2155" s="4">
        <v>2149</v>
      </c>
      <c r="M2155" s="21">
        <v>128114.53580057522</v>
      </c>
    </row>
    <row r="2156" spans="12:13" x14ac:dyDescent="0.2">
      <c r="L2156" s="4">
        <v>2150</v>
      </c>
      <c r="M2156" s="21">
        <v>124657.81839311964</v>
      </c>
    </row>
    <row r="2157" spans="12:13" x14ac:dyDescent="0.2">
      <c r="L2157" s="4">
        <v>2151</v>
      </c>
      <c r="M2157" s="21">
        <v>-133500.71168416261</v>
      </c>
    </row>
    <row r="2158" spans="12:13" x14ac:dyDescent="0.2">
      <c r="L2158" s="4">
        <v>2152</v>
      </c>
      <c r="M2158" s="21">
        <v>-170030.31481365499</v>
      </c>
    </row>
    <row r="2159" spans="12:13" x14ac:dyDescent="0.2">
      <c r="L2159" s="4">
        <v>2153</v>
      </c>
      <c r="M2159" s="21">
        <v>57871.326313999074</v>
      </c>
    </row>
    <row r="2160" spans="12:13" x14ac:dyDescent="0.2">
      <c r="L2160" s="4">
        <v>2154</v>
      </c>
      <c r="M2160" s="21">
        <v>-68146.451954698743</v>
      </c>
    </row>
    <row r="2161" spans="12:13" x14ac:dyDescent="0.2">
      <c r="L2161" s="4">
        <v>2155</v>
      </c>
      <c r="M2161" s="21">
        <v>-82994.900918342071</v>
      </c>
    </row>
    <row r="2162" spans="12:13" x14ac:dyDescent="0.2">
      <c r="L2162" s="4">
        <v>2156</v>
      </c>
      <c r="M2162" s="21">
        <v>95706.846797649603</v>
      </c>
    </row>
    <row r="2163" spans="12:13" x14ac:dyDescent="0.2">
      <c r="L2163" s="4">
        <v>2157</v>
      </c>
      <c r="M2163" s="21">
        <v>-101259.26056743637</v>
      </c>
    </row>
    <row r="2164" spans="12:13" x14ac:dyDescent="0.2">
      <c r="L2164" s="4">
        <v>2158</v>
      </c>
      <c r="M2164" s="21">
        <v>-43572.254728908127</v>
      </c>
    </row>
    <row r="2165" spans="12:13" x14ac:dyDescent="0.2">
      <c r="L2165" s="4">
        <v>2159</v>
      </c>
      <c r="M2165" s="21">
        <v>-89354.309084396155</v>
      </c>
    </row>
    <row r="2166" spans="12:13" x14ac:dyDescent="0.2">
      <c r="L2166" s="4">
        <v>2160</v>
      </c>
      <c r="M2166" s="21">
        <v>81911.709586757555</v>
      </c>
    </row>
    <row r="2167" spans="12:13" x14ac:dyDescent="0.2">
      <c r="L2167" s="4">
        <v>2161</v>
      </c>
      <c r="M2167" s="21">
        <v>-42360.075491202806</v>
      </c>
    </row>
    <row r="2168" spans="12:13" x14ac:dyDescent="0.2">
      <c r="L2168" s="4">
        <v>2162</v>
      </c>
      <c r="M2168" s="21">
        <v>13649.169032576174</v>
      </c>
    </row>
    <row r="2169" spans="12:13" x14ac:dyDescent="0.2">
      <c r="L2169" s="4">
        <v>2163</v>
      </c>
      <c r="M2169" s="21">
        <v>-88341.267130566892</v>
      </c>
    </row>
    <row r="2170" spans="12:13" x14ac:dyDescent="0.2">
      <c r="L2170" s="4">
        <v>2164</v>
      </c>
      <c r="M2170" s="21">
        <v>28987.516629913531</v>
      </c>
    </row>
    <row r="2171" spans="12:13" x14ac:dyDescent="0.2">
      <c r="L2171" s="4">
        <v>2165</v>
      </c>
      <c r="M2171" s="21">
        <v>-96996.938176456766</v>
      </c>
    </row>
    <row r="2172" spans="12:13" x14ac:dyDescent="0.2">
      <c r="L2172" s="4">
        <v>2166</v>
      </c>
      <c r="M2172" s="21">
        <v>-41111.071914026994</v>
      </c>
    </row>
    <row r="2173" spans="12:13" x14ac:dyDescent="0.2">
      <c r="L2173" s="4">
        <v>2167</v>
      </c>
      <c r="M2173" s="21">
        <v>249638.50664071311</v>
      </c>
    </row>
    <row r="2174" spans="12:13" x14ac:dyDescent="0.2">
      <c r="L2174" s="4">
        <v>2168</v>
      </c>
      <c r="M2174" s="21">
        <v>144380.61080632298</v>
      </c>
    </row>
    <row r="2175" spans="12:13" x14ac:dyDescent="0.2">
      <c r="L2175" s="4">
        <v>2169</v>
      </c>
      <c r="M2175" s="21">
        <v>131868.97455018308</v>
      </c>
    </row>
    <row r="2176" spans="12:13" x14ac:dyDescent="0.2">
      <c r="L2176" s="4">
        <v>2170</v>
      </c>
      <c r="M2176" s="21">
        <v>-124298.82722393118</v>
      </c>
    </row>
    <row r="2177" spans="12:13" x14ac:dyDescent="0.2">
      <c r="L2177" s="4">
        <v>2171</v>
      </c>
      <c r="M2177" s="21">
        <v>-154527.27143494389</v>
      </c>
    </row>
    <row r="2178" spans="12:13" x14ac:dyDescent="0.2">
      <c r="L2178" s="4">
        <v>2172</v>
      </c>
      <c r="M2178" s="21">
        <v>266107.39314569806</v>
      </c>
    </row>
    <row r="2179" spans="12:13" x14ac:dyDescent="0.2">
      <c r="L2179" s="4">
        <v>2173</v>
      </c>
      <c r="M2179" s="21">
        <v>171221.69561036906</v>
      </c>
    </row>
    <row r="2180" spans="12:13" x14ac:dyDescent="0.2">
      <c r="L2180" s="4">
        <v>2174</v>
      </c>
      <c r="M2180" s="21">
        <v>120990.95303947708</v>
      </c>
    </row>
    <row r="2181" spans="12:13" x14ac:dyDescent="0.2">
      <c r="L2181" s="4">
        <v>2175</v>
      </c>
      <c r="M2181" s="21">
        <v>-186896.15414413146</v>
      </c>
    </row>
    <row r="2182" spans="12:13" x14ac:dyDescent="0.2">
      <c r="L2182" s="4">
        <v>2176</v>
      </c>
      <c r="M2182" s="21">
        <v>118252.47623721423</v>
      </c>
    </row>
    <row r="2183" spans="12:13" x14ac:dyDescent="0.2">
      <c r="L2183" s="4">
        <v>2177</v>
      </c>
      <c r="M2183" s="21">
        <v>-66189.321095650404</v>
      </c>
    </row>
    <row r="2184" spans="12:13" x14ac:dyDescent="0.2">
      <c r="L2184" s="4">
        <v>2178</v>
      </c>
      <c r="M2184" s="21">
        <v>-103164.77888685629</v>
      </c>
    </row>
    <row r="2185" spans="12:13" x14ac:dyDescent="0.2">
      <c r="L2185" s="4">
        <v>2179</v>
      </c>
      <c r="M2185" s="21">
        <v>-161621.6025390235</v>
      </c>
    </row>
    <row r="2186" spans="12:13" x14ac:dyDescent="0.2">
      <c r="L2186" s="4">
        <v>2180</v>
      </c>
      <c r="M2186" s="21">
        <v>216812.91685988271</v>
      </c>
    </row>
    <row r="2187" spans="12:13" x14ac:dyDescent="0.2">
      <c r="L2187" s="4">
        <v>2181</v>
      </c>
      <c r="M2187" s="21">
        <v>177646.77825557621</v>
      </c>
    </row>
    <row r="2188" spans="12:13" x14ac:dyDescent="0.2">
      <c r="L2188" s="4">
        <v>2182</v>
      </c>
      <c r="M2188" s="21">
        <v>310097.37297219667</v>
      </c>
    </row>
    <row r="2189" spans="12:13" x14ac:dyDescent="0.2">
      <c r="L2189" s="4">
        <v>2183</v>
      </c>
      <c r="M2189" s="21">
        <v>142162.50814864866</v>
      </c>
    </row>
    <row r="2190" spans="12:13" x14ac:dyDescent="0.2">
      <c r="L2190" s="4">
        <v>2184</v>
      </c>
      <c r="M2190" s="21">
        <v>-242555.78844656463</v>
      </c>
    </row>
    <row r="2191" spans="12:13" x14ac:dyDescent="0.2">
      <c r="L2191" s="4">
        <v>2185</v>
      </c>
      <c r="M2191" s="21">
        <v>30081.716316680337</v>
      </c>
    </row>
    <row r="2192" spans="12:13" x14ac:dyDescent="0.2">
      <c r="L2192" s="4">
        <v>2186</v>
      </c>
      <c r="M2192" s="21">
        <v>-91692.885345524803</v>
      </c>
    </row>
    <row r="2193" spans="12:13" x14ac:dyDescent="0.2">
      <c r="L2193" s="4">
        <v>2187</v>
      </c>
      <c r="M2193" s="21">
        <v>-72192.087284217545</v>
      </c>
    </row>
    <row r="2194" spans="12:13" x14ac:dyDescent="0.2">
      <c r="L2194" s="4">
        <v>2188</v>
      </c>
      <c r="M2194" s="21">
        <v>-13392.176650577807</v>
      </c>
    </row>
    <row r="2195" spans="12:13" x14ac:dyDescent="0.2">
      <c r="L2195" s="4">
        <v>2189</v>
      </c>
      <c r="M2195" s="21">
        <v>164883.81774048487</v>
      </c>
    </row>
    <row r="2196" spans="12:13" x14ac:dyDescent="0.2">
      <c r="L2196" s="4">
        <v>2190</v>
      </c>
      <c r="M2196" s="21">
        <v>-273061.15802775777</v>
      </c>
    </row>
    <row r="2197" spans="12:13" x14ac:dyDescent="0.2">
      <c r="L2197" s="4">
        <v>2191</v>
      </c>
      <c r="M2197" s="21">
        <v>176630.08149525244</v>
      </c>
    </row>
    <row r="2198" spans="12:13" x14ac:dyDescent="0.2">
      <c r="L2198" s="4">
        <v>2192</v>
      </c>
      <c r="M2198" s="21">
        <v>-31311.261965167869</v>
      </c>
    </row>
    <row r="2199" spans="12:13" x14ac:dyDescent="0.2">
      <c r="L2199" s="4">
        <v>2193</v>
      </c>
      <c r="M2199" s="21">
        <v>7426.1527630504861</v>
      </c>
    </row>
    <row r="2200" spans="12:13" x14ac:dyDescent="0.2">
      <c r="L2200" s="4">
        <v>2194</v>
      </c>
      <c r="M2200" s="21">
        <v>-20153.525130710375</v>
      </c>
    </row>
    <row r="2201" spans="12:13" x14ac:dyDescent="0.2">
      <c r="L2201" s="4">
        <v>2195</v>
      </c>
      <c r="M2201" s="21">
        <v>288715.74684770778</v>
      </c>
    </row>
    <row r="2202" spans="12:13" x14ac:dyDescent="0.2">
      <c r="L2202" s="4">
        <v>2196</v>
      </c>
      <c r="M2202" s="21">
        <v>142841.22520020022</v>
      </c>
    </row>
    <row r="2203" spans="12:13" x14ac:dyDescent="0.2">
      <c r="L2203" s="4">
        <v>2197</v>
      </c>
      <c r="M2203" s="21">
        <v>62511.107666030206</v>
      </c>
    </row>
    <row r="2204" spans="12:13" x14ac:dyDescent="0.2">
      <c r="L2204" s="4">
        <v>2198</v>
      </c>
      <c r="M2204" s="21">
        <v>140942.55042605888</v>
      </c>
    </row>
    <row r="2205" spans="12:13" x14ac:dyDescent="0.2">
      <c r="L2205" s="4">
        <v>2199</v>
      </c>
      <c r="M2205" s="21">
        <v>153652.82302648408</v>
      </c>
    </row>
    <row r="2206" spans="12:13" x14ac:dyDescent="0.2">
      <c r="L2206" s="4">
        <v>2200</v>
      </c>
      <c r="M2206" s="21">
        <v>28921.979460160714</v>
      </c>
    </row>
    <row r="2207" spans="12:13" x14ac:dyDescent="0.2">
      <c r="L2207" s="4">
        <v>2201</v>
      </c>
      <c r="M2207" s="21">
        <v>18381.296271174855</v>
      </c>
    </row>
    <row r="2208" spans="12:13" x14ac:dyDescent="0.2">
      <c r="L2208" s="4">
        <v>2202</v>
      </c>
      <c r="M2208" s="21">
        <v>29346.662226266839</v>
      </c>
    </row>
    <row r="2209" spans="12:13" x14ac:dyDescent="0.2">
      <c r="L2209" s="4">
        <v>2203</v>
      </c>
      <c r="M2209" s="21">
        <v>17838.151841886982</v>
      </c>
    </row>
    <row r="2210" spans="12:13" x14ac:dyDescent="0.2">
      <c r="L2210" s="4">
        <v>2204</v>
      </c>
      <c r="M2210" s="21">
        <v>302818.47275859944</v>
      </c>
    </row>
    <row r="2211" spans="12:13" x14ac:dyDescent="0.2">
      <c r="L2211" s="4">
        <v>2205</v>
      </c>
      <c r="M2211" s="21">
        <v>-260131.60619189334</v>
      </c>
    </row>
    <row r="2212" spans="12:13" x14ac:dyDescent="0.2">
      <c r="L2212" s="4">
        <v>2206</v>
      </c>
      <c r="M2212" s="21">
        <v>-225229.26664494158</v>
      </c>
    </row>
    <row r="2213" spans="12:13" x14ac:dyDescent="0.2">
      <c r="L2213" s="4">
        <v>2207</v>
      </c>
      <c r="M2213" s="21">
        <v>-43768.432999129029</v>
      </c>
    </row>
    <row r="2214" spans="12:13" x14ac:dyDescent="0.2">
      <c r="L2214" s="4">
        <v>2208</v>
      </c>
      <c r="M2214" s="21">
        <v>-209866.33667844257</v>
      </c>
    </row>
    <row r="2215" spans="12:13" x14ac:dyDescent="0.2">
      <c r="L2215" s="4">
        <v>2209</v>
      </c>
      <c r="M2215" s="21">
        <v>-138281.31419246783</v>
      </c>
    </row>
    <row r="2216" spans="12:13" x14ac:dyDescent="0.2">
      <c r="L2216" s="4">
        <v>2210</v>
      </c>
      <c r="M2216" s="21">
        <v>-171716.56457918283</v>
      </c>
    </row>
    <row r="2217" spans="12:13" x14ac:dyDescent="0.2">
      <c r="L2217" s="4">
        <v>2211</v>
      </c>
      <c r="M2217" s="21">
        <v>150925.84407406623</v>
      </c>
    </row>
    <row r="2218" spans="12:13" x14ac:dyDescent="0.2">
      <c r="L2218" s="4">
        <v>2212</v>
      </c>
      <c r="M2218" s="21">
        <v>-404295.60074071464</v>
      </c>
    </row>
    <row r="2219" spans="12:13" x14ac:dyDescent="0.2">
      <c r="L2219" s="4">
        <v>2213</v>
      </c>
      <c r="M2219" s="21">
        <v>162255.73045906538</v>
      </c>
    </row>
    <row r="2220" spans="12:13" x14ac:dyDescent="0.2">
      <c r="L2220" s="4">
        <v>2214</v>
      </c>
      <c r="M2220" s="21">
        <v>-8744.8999430404074</v>
      </c>
    </row>
    <row r="2221" spans="12:13" x14ac:dyDescent="0.2">
      <c r="L2221" s="4">
        <v>2215</v>
      </c>
      <c r="M2221" s="21">
        <v>-8096.0462369494926</v>
      </c>
    </row>
    <row r="2222" spans="12:13" x14ac:dyDescent="0.2">
      <c r="L2222" s="4">
        <v>2216</v>
      </c>
      <c r="M2222" s="21">
        <v>-18387.989329344331</v>
      </c>
    </row>
    <row r="2223" spans="12:13" x14ac:dyDescent="0.2">
      <c r="L2223" s="4">
        <v>2217</v>
      </c>
      <c r="M2223" s="21">
        <v>-128210.414306513</v>
      </c>
    </row>
    <row r="2224" spans="12:13" x14ac:dyDescent="0.2">
      <c r="L2224" s="4">
        <v>2218</v>
      </c>
      <c r="M2224" s="21">
        <v>35334.388933098788</v>
      </c>
    </row>
    <row r="2225" spans="12:13" x14ac:dyDescent="0.2">
      <c r="L2225" s="4">
        <v>2219</v>
      </c>
      <c r="M2225" s="21">
        <v>-197066.73518834321</v>
      </c>
    </row>
    <row r="2226" spans="12:13" x14ac:dyDescent="0.2">
      <c r="L2226" s="4">
        <v>2220</v>
      </c>
      <c r="M2226" s="21">
        <v>-246685.02408914754</v>
      </c>
    </row>
    <row r="2227" spans="12:13" x14ac:dyDescent="0.2">
      <c r="L2227" s="4">
        <v>2221</v>
      </c>
      <c r="M2227" s="21">
        <v>-7988.5325297091331</v>
      </c>
    </row>
    <row r="2228" spans="12:13" x14ac:dyDescent="0.2">
      <c r="L2228" s="4">
        <v>2222</v>
      </c>
      <c r="M2228" s="21">
        <v>-87610.776833160999</v>
      </c>
    </row>
    <row r="2229" spans="12:13" x14ac:dyDescent="0.2">
      <c r="L2229" s="4">
        <v>2223</v>
      </c>
      <c r="M2229" s="21">
        <v>-155821.56508533683</v>
      </c>
    </row>
    <row r="2230" spans="12:13" x14ac:dyDescent="0.2">
      <c r="L2230" s="4">
        <v>2224</v>
      </c>
      <c r="M2230" s="21">
        <v>175536.84653706805</v>
      </c>
    </row>
    <row r="2231" spans="12:13" x14ac:dyDescent="0.2">
      <c r="L2231" s="4">
        <v>2225</v>
      </c>
      <c r="M2231" s="21">
        <v>100107.40356429468</v>
      </c>
    </row>
    <row r="2232" spans="12:13" x14ac:dyDescent="0.2">
      <c r="L2232" s="4">
        <v>2226</v>
      </c>
      <c r="M2232" s="21">
        <v>-213621.38962158313</v>
      </c>
    </row>
    <row r="2233" spans="12:13" x14ac:dyDescent="0.2">
      <c r="L2233" s="4">
        <v>2227</v>
      </c>
      <c r="M2233" s="21">
        <v>124027.02890555971</v>
      </c>
    </row>
    <row r="2234" spans="12:13" x14ac:dyDescent="0.2">
      <c r="L2234" s="4">
        <v>2228</v>
      </c>
      <c r="M2234" s="21">
        <v>-68916.769083786305</v>
      </c>
    </row>
    <row r="2235" spans="12:13" x14ac:dyDescent="0.2">
      <c r="L2235" s="4">
        <v>2229</v>
      </c>
      <c r="M2235" s="21">
        <v>113096.60416573597</v>
      </c>
    </row>
    <row r="2236" spans="12:13" x14ac:dyDescent="0.2">
      <c r="L2236" s="4">
        <v>2230</v>
      </c>
      <c r="M2236" s="21">
        <v>-232568.19474401951</v>
      </c>
    </row>
    <row r="2237" spans="12:13" x14ac:dyDescent="0.2">
      <c r="L2237" s="4">
        <v>2231</v>
      </c>
      <c r="M2237" s="21">
        <v>242810.52073747347</v>
      </c>
    </row>
    <row r="2238" spans="12:13" x14ac:dyDescent="0.2">
      <c r="L2238" s="4">
        <v>2232</v>
      </c>
      <c r="M2238" s="21">
        <v>27234.357866785198</v>
      </c>
    </row>
    <row r="2239" spans="12:13" x14ac:dyDescent="0.2">
      <c r="L2239" s="4">
        <v>2233</v>
      </c>
      <c r="M2239" s="21">
        <v>95902.291264226573</v>
      </c>
    </row>
    <row r="2240" spans="12:13" x14ac:dyDescent="0.2">
      <c r="L2240" s="4">
        <v>2234</v>
      </c>
      <c r="M2240" s="21">
        <v>110957.85318940919</v>
      </c>
    </row>
    <row r="2241" spans="12:13" x14ac:dyDescent="0.2">
      <c r="L2241" s="4">
        <v>2235</v>
      </c>
      <c r="M2241" s="21">
        <v>-63465.983270466444</v>
      </c>
    </row>
    <row r="2242" spans="12:13" x14ac:dyDescent="0.2">
      <c r="L2242" s="4">
        <v>2236</v>
      </c>
      <c r="M2242" s="21">
        <v>-23272.878472946439</v>
      </c>
    </row>
    <row r="2243" spans="12:13" x14ac:dyDescent="0.2">
      <c r="L2243" s="4">
        <v>2237</v>
      </c>
      <c r="M2243" s="21">
        <v>29020.84872896914</v>
      </c>
    </row>
    <row r="2244" spans="12:13" x14ac:dyDescent="0.2">
      <c r="L2244" s="4">
        <v>2238</v>
      </c>
      <c r="M2244" s="21">
        <v>-216631.12982685212</v>
      </c>
    </row>
    <row r="2245" spans="12:13" x14ac:dyDescent="0.2">
      <c r="L2245" s="4">
        <v>2239</v>
      </c>
      <c r="M2245" s="21">
        <v>-42366.15007248742</v>
      </c>
    </row>
    <row r="2246" spans="12:13" x14ac:dyDescent="0.2">
      <c r="L2246" s="4">
        <v>2240</v>
      </c>
      <c r="M2246" s="21">
        <v>-136235.0339070764</v>
      </c>
    </row>
    <row r="2247" spans="12:13" x14ac:dyDescent="0.2">
      <c r="L2247" s="4">
        <v>2241</v>
      </c>
      <c r="M2247" s="21">
        <v>-303375.5526446905</v>
      </c>
    </row>
    <row r="2248" spans="12:13" x14ac:dyDescent="0.2">
      <c r="L2248" s="4">
        <v>2242</v>
      </c>
      <c r="M2248" s="21">
        <v>96962.50282731792</v>
      </c>
    </row>
    <row r="2249" spans="12:13" x14ac:dyDescent="0.2">
      <c r="L2249" s="4">
        <v>2243</v>
      </c>
      <c r="M2249" s="21">
        <v>-6494.6354376635427</v>
      </c>
    </row>
    <row r="2250" spans="12:13" x14ac:dyDescent="0.2">
      <c r="L2250" s="4">
        <v>2244</v>
      </c>
      <c r="M2250" s="21">
        <v>-157120.54251922737</v>
      </c>
    </row>
    <row r="2251" spans="12:13" x14ac:dyDescent="0.2">
      <c r="L2251" s="4">
        <v>2245</v>
      </c>
      <c r="M2251" s="21">
        <v>154503.80011125046</v>
      </c>
    </row>
    <row r="2252" spans="12:13" x14ac:dyDescent="0.2">
      <c r="L2252" s="4">
        <v>2246</v>
      </c>
      <c r="M2252" s="21">
        <v>-70755.884139364411</v>
      </c>
    </row>
    <row r="2253" spans="12:13" x14ac:dyDescent="0.2">
      <c r="L2253" s="4">
        <v>2247</v>
      </c>
      <c r="M2253" s="21">
        <v>-55670.308961290255</v>
      </c>
    </row>
    <row r="2254" spans="12:13" x14ac:dyDescent="0.2">
      <c r="L2254" s="4">
        <v>2248</v>
      </c>
      <c r="M2254" s="21">
        <v>-86284.909087836859</v>
      </c>
    </row>
    <row r="2255" spans="12:13" x14ac:dyDescent="0.2">
      <c r="L2255" s="4">
        <v>2249</v>
      </c>
      <c r="M2255" s="21">
        <v>130086.98232568221</v>
      </c>
    </row>
    <row r="2256" spans="12:13" x14ac:dyDescent="0.2">
      <c r="L2256" s="4">
        <v>2250</v>
      </c>
      <c r="M2256" s="21">
        <v>-79353.403648538355</v>
      </c>
    </row>
    <row r="2257" spans="12:13" x14ac:dyDescent="0.2">
      <c r="L2257" s="4">
        <v>2251</v>
      </c>
      <c r="M2257" s="21">
        <v>9177.4388874255528</v>
      </c>
    </row>
    <row r="2258" spans="12:13" x14ac:dyDescent="0.2">
      <c r="L2258" s="4">
        <v>2252</v>
      </c>
      <c r="M2258" s="21">
        <v>167300.56387761296</v>
      </c>
    </row>
    <row r="2259" spans="12:13" x14ac:dyDescent="0.2">
      <c r="L2259" s="4">
        <v>2253</v>
      </c>
      <c r="M2259" s="21">
        <v>98977.933559753961</v>
      </c>
    </row>
    <row r="2260" spans="12:13" x14ac:dyDescent="0.2">
      <c r="L2260" s="4">
        <v>2254</v>
      </c>
      <c r="M2260" s="21">
        <v>-93157.137358518768</v>
      </c>
    </row>
    <row r="2261" spans="12:13" x14ac:dyDescent="0.2">
      <c r="L2261" s="4">
        <v>2255</v>
      </c>
      <c r="M2261" s="21">
        <v>-133190.6913821919</v>
      </c>
    </row>
    <row r="2262" spans="12:13" x14ac:dyDescent="0.2">
      <c r="L2262" s="4">
        <v>2256</v>
      </c>
      <c r="M2262" s="21">
        <v>37204.954223066539</v>
      </c>
    </row>
    <row r="2263" spans="12:13" x14ac:dyDescent="0.2">
      <c r="L2263" s="4">
        <v>2257</v>
      </c>
      <c r="M2263" s="21">
        <v>-77744.413535323401</v>
      </c>
    </row>
    <row r="2264" spans="12:13" x14ac:dyDescent="0.2">
      <c r="L2264" s="4">
        <v>2258</v>
      </c>
      <c r="M2264" s="21">
        <v>175358.93862050868</v>
      </c>
    </row>
    <row r="2265" spans="12:13" x14ac:dyDescent="0.2">
      <c r="L2265" s="4">
        <v>2259</v>
      </c>
      <c r="M2265" s="21">
        <v>-44041.426736754889</v>
      </c>
    </row>
    <row r="2266" spans="12:13" x14ac:dyDescent="0.2">
      <c r="L2266" s="4">
        <v>2260</v>
      </c>
      <c r="M2266" s="21">
        <v>307560.79707798973</v>
      </c>
    </row>
    <row r="2267" spans="12:13" x14ac:dyDescent="0.2">
      <c r="L2267" s="4">
        <v>2261</v>
      </c>
      <c r="M2267" s="21">
        <v>-164223.89829103526</v>
      </c>
    </row>
    <row r="2268" spans="12:13" x14ac:dyDescent="0.2">
      <c r="L2268" s="4">
        <v>2262</v>
      </c>
      <c r="M2268" s="21">
        <v>90145.184066375223</v>
      </c>
    </row>
    <row r="2269" spans="12:13" x14ac:dyDescent="0.2">
      <c r="L2269" s="4">
        <v>2263</v>
      </c>
      <c r="M2269" s="21">
        <v>119388.5208586973</v>
      </c>
    </row>
    <row r="2270" spans="12:13" x14ac:dyDescent="0.2">
      <c r="L2270" s="4">
        <v>2264</v>
      </c>
      <c r="M2270" s="21">
        <v>-111653.80076463881</v>
      </c>
    </row>
    <row r="2271" spans="12:13" x14ac:dyDescent="0.2">
      <c r="L2271" s="4">
        <v>2265</v>
      </c>
      <c r="M2271" s="21">
        <v>103414.53106633545</v>
      </c>
    </row>
    <row r="2272" spans="12:13" x14ac:dyDescent="0.2">
      <c r="L2272" s="4">
        <v>2266</v>
      </c>
      <c r="M2272" s="21">
        <v>78170.657201870607</v>
      </c>
    </row>
    <row r="2273" spans="12:13" x14ac:dyDescent="0.2">
      <c r="L2273" s="4">
        <v>2267</v>
      </c>
      <c r="M2273" s="21">
        <v>-4803.3770872338646</v>
      </c>
    </row>
    <row r="2274" spans="12:13" x14ac:dyDescent="0.2">
      <c r="L2274" s="4">
        <v>2268</v>
      </c>
      <c r="M2274" s="21">
        <v>-114910.25106864134</v>
      </c>
    </row>
    <row r="2275" spans="12:13" x14ac:dyDescent="0.2">
      <c r="L2275" s="4">
        <v>2269</v>
      </c>
      <c r="M2275" s="21">
        <v>143494.52974235406</v>
      </c>
    </row>
    <row r="2276" spans="12:13" x14ac:dyDescent="0.2">
      <c r="L2276" s="4">
        <v>2270</v>
      </c>
      <c r="M2276" s="21">
        <v>162463.64972850264</v>
      </c>
    </row>
    <row r="2277" spans="12:13" x14ac:dyDescent="0.2">
      <c r="L2277" s="4">
        <v>2271</v>
      </c>
      <c r="M2277" s="21">
        <v>221240.07265444097</v>
      </c>
    </row>
    <row r="2278" spans="12:13" x14ac:dyDescent="0.2">
      <c r="L2278" s="4">
        <v>2272</v>
      </c>
      <c r="M2278" s="21">
        <v>-30178.207130268594</v>
      </c>
    </row>
    <row r="2279" spans="12:13" x14ac:dyDescent="0.2">
      <c r="L2279" s="4">
        <v>2273</v>
      </c>
      <c r="M2279" s="21">
        <v>-11083.545196089239</v>
      </c>
    </row>
    <row r="2280" spans="12:13" x14ac:dyDescent="0.2">
      <c r="L2280" s="4">
        <v>2274</v>
      </c>
      <c r="M2280" s="21">
        <v>275225.08076751529</v>
      </c>
    </row>
    <row r="2281" spans="12:13" x14ac:dyDescent="0.2">
      <c r="L2281" s="4">
        <v>2275</v>
      </c>
      <c r="M2281" s="21">
        <v>-22110.117362723773</v>
      </c>
    </row>
    <row r="2282" spans="12:13" x14ac:dyDescent="0.2">
      <c r="L2282" s="4">
        <v>2276</v>
      </c>
      <c r="M2282" s="21">
        <v>-81330.89939125294</v>
      </c>
    </row>
    <row r="2283" spans="12:13" x14ac:dyDescent="0.2">
      <c r="L2283" s="4">
        <v>2277</v>
      </c>
      <c r="M2283" s="21">
        <v>-8255.548041474467</v>
      </c>
    </row>
    <row r="2284" spans="12:13" x14ac:dyDescent="0.2">
      <c r="L2284" s="4">
        <v>2278</v>
      </c>
      <c r="M2284" s="21">
        <v>111443.60138586571</v>
      </c>
    </row>
    <row r="2285" spans="12:13" x14ac:dyDescent="0.2">
      <c r="L2285" s="4">
        <v>2279</v>
      </c>
      <c r="M2285" s="21">
        <v>-66763.896456387549</v>
      </c>
    </row>
    <row r="2286" spans="12:13" x14ac:dyDescent="0.2">
      <c r="L2286" s="4">
        <v>2280</v>
      </c>
      <c r="M2286" s="21">
        <v>-70169.342201746738</v>
      </c>
    </row>
    <row r="2287" spans="12:13" x14ac:dyDescent="0.2">
      <c r="L2287" s="4">
        <v>2281</v>
      </c>
      <c r="M2287" s="21">
        <v>316117.81010262948</v>
      </c>
    </row>
    <row r="2288" spans="12:13" x14ac:dyDescent="0.2">
      <c r="L2288" s="4">
        <v>2282</v>
      </c>
      <c r="M2288" s="21">
        <v>-45660.616417581172</v>
      </c>
    </row>
    <row r="2289" spans="12:13" x14ac:dyDescent="0.2">
      <c r="L2289" s="4">
        <v>2283</v>
      </c>
      <c r="M2289" s="21">
        <v>-200973.21956869436</v>
      </c>
    </row>
    <row r="2290" spans="12:13" x14ac:dyDescent="0.2">
      <c r="L2290" s="4">
        <v>2284</v>
      </c>
      <c r="M2290" s="21">
        <v>-125591.49486674387</v>
      </c>
    </row>
    <row r="2291" spans="12:13" x14ac:dyDescent="0.2">
      <c r="L2291" s="4">
        <v>2285</v>
      </c>
      <c r="M2291" s="21">
        <v>-89292.835485918069</v>
      </c>
    </row>
    <row r="2292" spans="12:13" x14ac:dyDescent="0.2">
      <c r="L2292" s="4">
        <v>2286</v>
      </c>
      <c r="M2292" s="21">
        <v>159641.14695670956</v>
      </c>
    </row>
    <row r="2293" spans="12:13" x14ac:dyDescent="0.2">
      <c r="L2293" s="4">
        <v>2287</v>
      </c>
      <c r="M2293" s="21">
        <v>-112327.17174034899</v>
      </c>
    </row>
    <row r="2294" spans="12:13" x14ac:dyDescent="0.2">
      <c r="L2294" s="4">
        <v>2288</v>
      </c>
      <c r="M2294" s="21">
        <v>72540.443725320685</v>
      </c>
    </row>
    <row r="2295" spans="12:13" x14ac:dyDescent="0.2">
      <c r="L2295" s="4">
        <v>2289</v>
      </c>
      <c r="M2295" s="21">
        <v>-4033.8655925867497</v>
      </c>
    </row>
    <row r="2296" spans="12:13" x14ac:dyDescent="0.2">
      <c r="L2296" s="4">
        <v>2290</v>
      </c>
      <c r="M2296" s="21">
        <v>-186390.83739364825</v>
      </c>
    </row>
    <row r="2297" spans="12:13" x14ac:dyDescent="0.2">
      <c r="L2297" s="4">
        <v>2291</v>
      </c>
      <c r="M2297" s="21">
        <v>-105784.84801549639</v>
      </c>
    </row>
    <row r="2298" spans="12:13" x14ac:dyDescent="0.2">
      <c r="L2298" s="4">
        <v>2292</v>
      </c>
      <c r="M2298" s="21">
        <v>-178169.61429080373</v>
      </c>
    </row>
    <row r="2299" spans="12:13" x14ac:dyDescent="0.2">
      <c r="L2299" s="4">
        <v>2293</v>
      </c>
      <c r="M2299" s="21">
        <v>40234.731976672949</v>
      </c>
    </row>
    <row r="2300" spans="12:13" x14ac:dyDescent="0.2">
      <c r="L2300" s="4">
        <v>2294</v>
      </c>
      <c r="M2300" s="21">
        <v>219996.95592132933</v>
      </c>
    </row>
    <row r="2301" spans="12:13" x14ac:dyDescent="0.2">
      <c r="L2301" s="4">
        <v>2295</v>
      </c>
      <c r="M2301" s="21">
        <v>208579.42047902639</v>
      </c>
    </row>
    <row r="2302" spans="12:13" x14ac:dyDescent="0.2">
      <c r="L2302" s="4">
        <v>2296</v>
      </c>
      <c r="M2302" s="21">
        <v>30633.495890227758</v>
      </c>
    </row>
    <row r="2303" spans="12:13" x14ac:dyDescent="0.2">
      <c r="L2303" s="4">
        <v>2297</v>
      </c>
      <c r="M2303" s="21">
        <v>-71878.706189318007</v>
      </c>
    </row>
    <row r="2304" spans="12:13" x14ac:dyDescent="0.2">
      <c r="L2304" s="4">
        <v>2298</v>
      </c>
      <c r="M2304" s="21">
        <v>81597.590766641108</v>
      </c>
    </row>
    <row r="2305" spans="12:13" x14ac:dyDescent="0.2">
      <c r="L2305" s="4">
        <v>2299</v>
      </c>
      <c r="M2305" s="21">
        <v>154311.17806804989</v>
      </c>
    </row>
    <row r="2306" spans="12:13" x14ac:dyDescent="0.2">
      <c r="L2306" s="4">
        <v>2300</v>
      </c>
      <c r="M2306" s="21">
        <v>116695.61914291343</v>
      </c>
    </row>
    <row r="2307" spans="12:13" x14ac:dyDescent="0.2">
      <c r="L2307" s="4">
        <v>2301</v>
      </c>
      <c r="M2307" s="21">
        <v>66533.426996376191</v>
      </c>
    </row>
    <row r="2308" spans="12:13" x14ac:dyDescent="0.2">
      <c r="L2308" s="4">
        <v>2302</v>
      </c>
      <c r="M2308" s="21">
        <v>58377.884105771605</v>
      </c>
    </row>
    <row r="2309" spans="12:13" x14ac:dyDescent="0.2">
      <c r="L2309" s="4">
        <v>2303</v>
      </c>
      <c r="M2309" s="21">
        <v>167671.13769564158</v>
      </c>
    </row>
    <row r="2310" spans="12:13" x14ac:dyDescent="0.2">
      <c r="L2310" s="4">
        <v>2304</v>
      </c>
      <c r="M2310" s="21">
        <v>-71365.415266973097</v>
      </c>
    </row>
    <row r="2311" spans="12:13" x14ac:dyDescent="0.2">
      <c r="L2311" s="4">
        <v>2305</v>
      </c>
      <c r="M2311" s="21">
        <v>30202.738370090869</v>
      </c>
    </row>
    <row r="2312" spans="12:13" x14ac:dyDescent="0.2">
      <c r="L2312" s="4">
        <v>2306</v>
      </c>
      <c r="M2312" s="21">
        <v>-203722.8949765072</v>
      </c>
    </row>
    <row r="2313" spans="12:13" x14ac:dyDescent="0.2">
      <c r="L2313" s="4">
        <v>2307</v>
      </c>
      <c r="M2313" s="21">
        <v>75371.289782882523</v>
      </c>
    </row>
    <row r="2314" spans="12:13" x14ac:dyDescent="0.2">
      <c r="L2314" s="4">
        <v>2308</v>
      </c>
      <c r="M2314" s="21">
        <v>130116.99916251551</v>
      </c>
    </row>
    <row r="2315" spans="12:13" x14ac:dyDescent="0.2">
      <c r="L2315" s="4">
        <v>2309</v>
      </c>
      <c r="M2315" s="21">
        <v>-89402.137498173906</v>
      </c>
    </row>
    <row r="2316" spans="12:13" x14ac:dyDescent="0.2">
      <c r="L2316" s="4">
        <v>2310</v>
      </c>
      <c r="M2316" s="21">
        <v>-64898.886477784967</v>
      </c>
    </row>
    <row r="2317" spans="12:13" x14ac:dyDescent="0.2">
      <c r="L2317" s="4">
        <v>2311</v>
      </c>
      <c r="M2317" s="21">
        <v>-220851.48210679725</v>
      </c>
    </row>
    <row r="2318" spans="12:13" x14ac:dyDescent="0.2">
      <c r="L2318" s="4">
        <v>2312</v>
      </c>
      <c r="M2318" s="21">
        <v>85624.679380779125</v>
      </c>
    </row>
    <row r="2319" spans="12:13" x14ac:dyDescent="0.2">
      <c r="L2319" s="4">
        <v>2313</v>
      </c>
      <c r="M2319" s="21">
        <v>-20053.839342844818</v>
      </c>
    </row>
    <row r="2320" spans="12:13" x14ac:dyDescent="0.2">
      <c r="L2320" s="4">
        <v>2314</v>
      </c>
      <c r="M2320" s="21">
        <v>-53992.227777857421</v>
      </c>
    </row>
    <row r="2321" spans="12:13" x14ac:dyDescent="0.2">
      <c r="L2321" s="4">
        <v>2315</v>
      </c>
      <c r="M2321" s="21">
        <v>-20234.13537930671</v>
      </c>
    </row>
    <row r="2322" spans="12:13" x14ac:dyDescent="0.2">
      <c r="L2322" s="4">
        <v>2316</v>
      </c>
      <c r="M2322" s="21">
        <v>-114356.93509896583</v>
      </c>
    </row>
    <row r="2323" spans="12:13" x14ac:dyDescent="0.2">
      <c r="L2323" s="4">
        <v>2317</v>
      </c>
      <c r="M2323" s="21">
        <v>-6212.5177863720601</v>
      </c>
    </row>
    <row r="2324" spans="12:13" x14ac:dyDescent="0.2">
      <c r="L2324" s="4">
        <v>2318</v>
      </c>
      <c r="M2324" s="21">
        <v>-168595.09653807999</v>
      </c>
    </row>
    <row r="2325" spans="12:13" x14ac:dyDescent="0.2">
      <c r="L2325" s="4">
        <v>2319</v>
      </c>
      <c r="M2325" s="21">
        <v>-26906.721256515841</v>
      </c>
    </row>
    <row r="2326" spans="12:13" x14ac:dyDescent="0.2">
      <c r="L2326" s="4">
        <v>2320</v>
      </c>
      <c r="M2326" s="21">
        <v>112055.70584294619</v>
      </c>
    </row>
    <row r="2327" spans="12:13" x14ac:dyDescent="0.2">
      <c r="L2327" s="4">
        <v>2321</v>
      </c>
      <c r="M2327" s="21">
        <v>31498.440220063116</v>
      </c>
    </row>
    <row r="2328" spans="12:13" x14ac:dyDescent="0.2">
      <c r="L2328" s="4">
        <v>2322</v>
      </c>
      <c r="M2328" s="21">
        <v>-44620.856246617099</v>
      </c>
    </row>
    <row r="2329" spans="12:13" x14ac:dyDescent="0.2">
      <c r="L2329" s="4">
        <v>2323</v>
      </c>
      <c r="M2329" s="21">
        <v>-101223.11105519935</v>
      </c>
    </row>
    <row r="2330" spans="12:13" x14ac:dyDescent="0.2">
      <c r="L2330" s="4">
        <v>2324</v>
      </c>
      <c r="M2330" s="21">
        <v>137415.65403595747</v>
      </c>
    </row>
    <row r="2331" spans="12:13" x14ac:dyDescent="0.2">
      <c r="L2331" s="4">
        <v>2325</v>
      </c>
      <c r="M2331" s="21">
        <v>-359890.84934631392</v>
      </c>
    </row>
    <row r="2332" spans="12:13" x14ac:dyDescent="0.2">
      <c r="L2332" s="4">
        <v>2326</v>
      </c>
      <c r="M2332" s="21">
        <v>-203625.71618580344</v>
      </c>
    </row>
    <row r="2333" spans="12:13" x14ac:dyDescent="0.2">
      <c r="L2333" s="4">
        <v>2327</v>
      </c>
      <c r="M2333" s="21">
        <v>234156.71011581845</v>
      </c>
    </row>
    <row r="2334" spans="12:13" x14ac:dyDescent="0.2">
      <c r="L2334" s="4">
        <v>2328</v>
      </c>
      <c r="M2334" s="21">
        <v>33772.146432861628</v>
      </c>
    </row>
    <row r="2335" spans="12:13" x14ac:dyDescent="0.2">
      <c r="L2335" s="4">
        <v>2329</v>
      </c>
      <c r="M2335" s="21">
        <v>158289.83625052022</v>
      </c>
    </row>
    <row r="2336" spans="12:13" x14ac:dyDescent="0.2">
      <c r="L2336" s="4">
        <v>2330</v>
      </c>
      <c r="M2336" s="21">
        <v>337140.19725553575</v>
      </c>
    </row>
    <row r="2337" spans="12:13" x14ac:dyDescent="0.2">
      <c r="L2337" s="4">
        <v>2331</v>
      </c>
      <c r="M2337" s="21">
        <v>-115423.16627885913</v>
      </c>
    </row>
    <row r="2338" spans="12:13" x14ac:dyDescent="0.2">
      <c r="L2338" s="4">
        <v>2332</v>
      </c>
      <c r="M2338" s="21">
        <v>-142169.92709672265</v>
      </c>
    </row>
    <row r="2339" spans="12:13" x14ac:dyDescent="0.2">
      <c r="L2339" s="4">
        <v>2333</v>
      </c>
      <c r="M2339" s="21">
        <v>-98165.377778079128</v>
      </c>
    </row>
    <row r="2340" spans="12:13" x14ac:dyDescent="0.2">
      <c r="L2340" s="4">
        <v>2334</v>
      </c>
      <c r="M2340" s="21">
        <v>-115666.72431536701</v>
      </c>
    </row>
    <row r="2341" spans="12:13" x14ac:dyDescent="0.2">
      <c r="L2341" s="4">
        <v>2335</v>
      </c>
      <c r="M2341" s="21">
        <v>154047.91086374977</v>
      </c>
    </row>
    <row r="2342" spans="12:13" x14ac:dyDescent="0.2">
      <c r="L2342" s="4">
        <v>2336</v>
      </c>
      <c r="M2342" s="21">
        <v>214756.96354803036</v>
      </c>
    </row>
    <row r="2343" spans="12:13" x14ac:dyDescent="0.2">
      <c r="L2343" s="4">
        <v>2337</v>
      </c>
      <c r="M2343" s="21">
        <v>-94.209604678835603</v>
      </c>
    </row>
    <row r="2344" spans="12:13" x14ac:dyDescent="0.2">
      <c r="L2344" s="4">
        <v>2338</v>
      </c>
      <c r="M2344" s="21">
        <v>186970.57604856166</v>
      </c>
    </row>
    <row r="2345" spans="12:13" x14ac:dyDescent="0.2">
      <c r="L2345" s="4">
        <v>2339</v>
      </c>
      <c r="M2345" s="21">
        <v>67225.545905289211</v>
      </c>
    </row>
    <row r="2346" spans="12:13" x14ac:dyDescent="0.2">
      <c r="L2346" s="4">
        <v>2340</v>
      </c>
      <c r="M2346" s="21">
        <v>246481.1721710694</v>
      </c>
    </row>
    <row r="2347" spans="12:13" x14ac:dyDescent="0.2">
      <c r="L2347" s="4">
        <v>2341</v>
      </c>
      <c r="M2347" s="21">
        <v>131740.35919732269</v>
      </c>
    </row>
    <row r="2348" spans="12:13" x14ac:dyDescent="0.2">
      <c r="L2348" s="4">
        <v>2342</v>
      </c>
      <c r="M2348" s="21">
        <v>-210399.05590034829</v>
      </c>
    </row>
    <row r="2349" spans="12:13" x14ac:dyDescent="0.2">
      <c r="L2349" s="4">
        <v>2343</v>
      </c>
      <c r="M2349" s="21">
        <v>243173.06585048602</v>
      </c>
    </row>
    <row r="2350" spans="12:13" x14ac:dyDescent="0.2">
      <c r="L2350" s="4">
        <v>2344</v>
      </c>
      <c r="M2350" s="21">
        <v>108224.60351988181</v>
      </c>
    </row>
    <row r="2351" spans="12:13" x14ac:dyDescent="0.2">
      <c r="L2351" s="4">
        <v>2345</v>
      </c>
      <c r="M2351" s="21">
        <v>-263683.41205389635</v>
      </c>
    </row>
    <row r="2352" spans="12:13" x14ac:dyDescent="0.2">
      <c r="L2352" s="4">
        <v>2346</v>
      </c>
      <c r="M2352" s="21">
        <v>140888.3582093805</v>
      </c>
    </row>
    <row r="2353" spans="12:13" x14ac:dyDescent="0.2">
      <c r="L2353" s="4">
        <v>2347</v>
      </c>
      <c r="M2353" s="21">
        <v>156532.98578360284</v>
      </c>
    </row>
    <row r="2354" spans="12:13" x14ac:dyDescent="0.2">
      <c r="L2354" s="4">
        <v>2348</v>
      </c>
      <c r="M2354" s="21">
        <v>9314.8416064282064</v>
      </c>
    </row>
    <row r="2355" spans="12:13" x14ac:dyDescent="0.2">
      <c r="L2355" s="4">
        <v>2349</v>
      </c>
      <c r="M2355" s="21">
        <v>32388.606207538833</v>
      </c>
    </row>
    <row r="2356" spans="12:13" x14ac:dyDescent="0.2">
      <c r="L2356" s="4">
        <v>2350</v>
      </c>
      <c r="M2356" s="21">
        <v>-292614.11735498649</v>
      </c>
    </row>
    <row r="2357" spans="12:13" x14ac:dyDescent="0.2">
      <c r="L2357" s="4">
        <v>2351</v>
      </c>
      <c r="M2357" s="21">
        <v>145625.34901192851</v>
      </c>
    </row>
    <row r="2358" spans="12:13" x14ac:dyDescent="0.2">
      <c r="L2358" s="4">
        <v>2352</v>
      </c>
      <c r="M2358" s="21">
        <v>-117828.62768096279</v>
      </c>
    </row>
    <row r="2359" spans="12:13" x14ac:dyDescent="0.2">
      <c r="L2359" s="4">
        <v>2353</v>
      </c>
      <c r="M2359" s="21">
        <v>75532.285005393758</v>
      </c>
    </row>
    <row r="2360" spans="12:13" x14ac:dyDescent="0.2">
      <c r="L2360" s="4">
        <v>2354</v>
      </c>
      <c r="M2360" s="21">
        <v>-155830.15494591009</v>
      </c>
    </row>
    <row r="2361" spans="12:13" x14ac:dyDescent="0.2">
      <c r="L2361" s="4">
        <v>2355</v>
      </c>
      <c r="M2361" s="21">
        <v>48599.27086292344</v>
      </c>
    </row>
    <row r="2362" spans="12:13" x14ac:dyDescent="0.2">
      <c r="L2362" s="4">
        <v>2356</v>
      </c>
      <c r="M2362" s="21">
        <v>-4132.6225636987947</v>
      </c>
    </row>
    <row r="2363" spans="12:13" x14ac:dyDescent="0.2">
      <c r="L2363" s="4">
        <v>2357</v>
      </c>
      <c r="M2363" s="21">
        <v>426.04270124286995</v>
      </c>
    </row>
    <row r="2364" spans="12:13" x14ac:dyDescent="0.2">
      <c r="L2364" s="4">
        <v>2358</v>
      </c>
      <c r="M2364" s="21">
        <v>-21767.789929027946</v>
      </c>
    </row>
    <row r="2365" spans="12:13" x14ac:dyDescent="0.2">
      <c r="L2365" s="4">
        <v>2359</v>
      </c>
      <c r="M2365" s="21">
        <v>13783.585870420124</v>
      </c>
    </row>
    <row r="2366" spans="12:13" x14ac:dyDescent="0.2">
      <c r="L2366" s="4">
        <v>2360</v>
      </c>
      <c r="M2366" s="21">
        <v>39988.544309999386</v>
      </c>
    </row>
    <row r="2367" spans="12:13" x14ac:dyDescent="0.2">
      <c r="L2367" s="4">
        <v>2361</v>
      </c>
      <c r="M2367" s="21">
        <v>-35784.732074496555</v>
      </c>
    </row>
    <row r="2368" spans="12:13" x14ac:dyDescent="0.2">
      <c r="L2368" s="4">
        <v>2362</v>
      </c>
      <c r="M2368" s="21">
        <v>12187.029163103784</v>
      </c>
    </row>
    <row r="2369" spans="12:13" x14ac:dyDescent="0.2">
      <c r="L2369" s="4">
        <v>2363</v>
      </c>
      <c r="M2369" s="21">
        <v>7987.052543659549</v>
      </c>
    </row>
    <row r="2370" spans="12:13" x14ac:dyDescent="0.2">
      <c r="L2370" s="4">
        <v>2364</v>
      </c>
      <c r="M2370" s="21">
        <v>-42626.205961288186</v>
      </c>
    </row>
    <row r="2371" spans="12:13" x14ac:dyDescent="0.2">
      <c r="L2371" s="4">
        <v>2365</v>
      </c>
      <c r="M2371" s="21">
        <v>26091.249745953537</v>
      </c>
    </row>
    <row r="2372" spans="12:13" x14ac:dyDescent="0.2">
      <c r="L2372" s="4">
        <v>2366</v>
      </c>
      <c r="M2372" s="21">
        <v>105068.80834100419</v>
      </c>
    </row>
    <row r="2373" spans="12:13" x14ac:dyDescent="0.2">
      <c r="L2373" s="4">
        <v>2367</v>
      </c>
      <c r="M2373" s="21">
        <v>-680.01907354115974</v>
      </c>
    </row>
    <row r="2374" spans="12:13" x14ac:dyDescent="0.2">
      <c r="L2374" s="4">
        <v>2368</v>
      </c>
      <c r="M2374" s="21">
        <v>-329980.4262147852</v>
      </c>
    </row>
    <row r="2375" spans="12:13" x14ac:dyDescent="0.2">
      <c r="L2375" s="4">
        <v>2369</v>
      </c>
      <c r="M2375" s="21">
        <v>-170054.60884594009</v>
      </c>
    </row>
    <row r="2376" spans="12:13" x14ac:dyDescent="0.2">
      <c r="L2376" s="4">
        <v>2370</v>
      </c>
      <c r="M2376" s="21">
        <v>-106849.60441284998</v>
      </c>
    </row>
    <row r="2377" spans="12:13" x14ac:dyDescent="0.2">
      <c r="L2377" s="4">
        <v>2371</v>
      </c>
      <c r="M2377" s="21">
        <v>89899.112484024634</v>
      </c>
    </row>
    <row r="2378" spans="12:13" x14ac:dyDescent="0.2">
      <c r="L2378" s="4">
        <v>2372</v>
      </c>
      <c r="M2378" s="21">
        <v>17993.596374714049</v>
      </c>
    </row>
    <row r="2379" spans="12:13" x14ac:dyDescent="0.2">
      <c r="L2379" s="4">
        <v>2373</v>
      </c>
      <c r="M2379" s="21">
        <v>106681.03735257665</v>
      </c>
    </row>
    <row r="2380" spans="12:13" x14ac:dyDescent="0.2">
      <c r="L2380" s="4">
        <v>2374</v>
      </c>
      <c r="M2380" s="21">
        <v>104346.90018660144</v>
      </c>
    </row>
    <row r="2381" spans="12:13" x14ac:dyDescent="0.2">
      <c r="L2381" s="4">
        <v>2375</v>
      </c>
      <c r="M2381" s="21">
        <v>-156866.21243779938</v>
      </c>
    </row>
    <row r="2382" spans="12:13" x14ac:dyDescent="0.2">
      <c r="L2382" s="4">
        <v>2376</v>
      </c>
      <c r="M2382" s="21">
        <v>-73005.716256989981</v>
      </c>
    </row>
    <row r="2383" spans="12:13" x14ac:dyDescent="0.2">
      <c r="L2383" s="4">
        <v>2377</v>
      </c>
      <c r="M2383" s="21">
        <v>-248403.420563914</v>
      </c>
    </row>
    <row r="2384" spans="12:13" x14ac:dyDescent="0.2">
      <c r="L2384" s="4">
        <v>2378</v>
      </c>
      <c r="M2384" s="21">
        <v>-96224.613122009352</v>
      </c>
    </row>
    <row r="2385" spans="12:13" x14ac:dyDescent="0.2">
      <c r="L2385" s="4">
        <v>2379</v>
      </c>
      <c r="M2385" s="21">
        <v>113795.98459404949</v>
      </c>
    </row>
    <row r="2386" spans="12:13" x14ac:dyDescent="0.2">
      <c r="L2386" s="4">
        <v>2380</v>
      </c>
      <c r="M2386" s="21">
        <v>-31891.199024736561</v>
      </c>
    </row>
    <row r="2387" spans="12:13" x14ac:dyDescent="0.2">
      <c r="L2387" s="4">
        <v>2381</v>
      </c>
      <c r="M2387" s="21">
        <v>-15976.491979327868</v>
      </c>
    </row>
    <row r="2388" spans="12:13" x14ac:dyDescent="0.2">
      <c r="L2388" s="4">
        <v>2382</v>
      </c>
      <c r="M2388" s="21">
        <v>117139.39668251586</v>
      </c>
    </row>
    <row r="2389" spans="12:13" x14ac:dyDescent="0.2">
      <c r="L2389" s="4">
        <v>2383</v>
      </c>
      <c r="M2389" s="21">
        <v>-207646.56094109622</v>
      </c>
    </row>
    <row r="2390" spans="12:13" x14ac:dyDescent="0.2">
      <c r="L2390" s="4">
        <v>2384</v>
      </c>
      <c r="M2390" s="21">
        <v>-74826.913513100153</v>
      </c>
    </row>
    <row r="2391" spans="12:13" x14ac:dyDescent="0.2">
      <c r="L2391" s="4">
        <v>2385</v>
      </c>
      <c r="M2391" s="21">
        <v>296028.0346730937</v>
      </c>
    </row>
    <row r="2392" spans="12:13" x14ac:dyDescent="0.2">
      <c r="L2392" s="4">
        <v>2386</v>
      </c>
      <c r="M2392" s="21">
        <v>-129672.78068882419</v>
      </c>
    </row>
    <row r="2393" spans="12:13" x14ac:dyDescent="0.2">
      <c r="L2393" s="4">
        <v>2387</v>
      </c>
      <c r="M2393" s="21">
        <v>-49162.40660047892</v>
      </c>
    </row>
    <row r="2394" spans="12:13" x14ac:dyDescent="0.2">
      <c r="L2394" s="4">
        <v>2388</v>
      </c>
      <c r="M2394" s="21">
        <v>-59379.633390510688</v>
      </c>
    </row>
    <row r="2395" spans="12:13" x14ac:dyDescent="0.2">
      <c r="L2395" s="4">
        <v>2389</v>
      </c>
      <c r="M2395" s="21">
        <v>-117729.63014870627</v>
      </c>
    </row>
    <row r="2396" spans="12:13" x14ac:dyDescent="0.2">
      <c r="L2396" s="4">
        <v>2390</v>
      </c>
      <c r="M2396" s="21">
        <v>-119402.92225488523</v>
      </c>
    </row>
    <row r="2397" spans="12:13" x14ac:dyDescent="0.2">
      <c r="L2397" s="4">
        <v>2391</v>
      </c>
      <c r="M2397" s="21">
        <v>66385.931661502487</v>
      </c>
    </row>
    <row r="2398" spans="12:13" x14ac:dyDescent="0.2">
      <c r="L2398" s="4">
        <v>2392</v>
      </c>
      <c r="M2398" s="21">
        <v>130423.55827993626</v>
      </c>
    </row>
    <row r="2399" spans="12:13" x14ac:dyDescent="0.2">
      <c r="L2399" s="4">
        <v>2393</v>
      </c>
      <c r="M2399" s="21">
        <v>231752.67131509286</v>
      </c>
    </row>
    <row r="2400" spans="12:13" x14ac:dyDescent="0.2">
      <c r="L2400" s="4">
        <v>2394</v>
      </c>
      <c r="M2400" s="21">
        <v>-9774.6142959085846</v>
      </c>
    </row>
    <row r="2401" spans="12:13" x14ac:dyDescent="0.2">
      <c r="L2401" s="4">
        <v>2395</v>
      </c>
      <c r="M2401" s="21">
        <v>-53215.754690802423</v>
      </c>
    </row>
    <row r="2402" spans="12:13" x14ac:dyDescent="0.2">
      <c r="L2402" s="4">
        <v>2396</v>
      </c>
      <c r="M2402" s="21">
        <v>-115089.01949627772</v>
      </c>
    </row>
    <row r="2403" spans="12:13" x14ac:dyDescent="0.2">
      <c r="L2403" s="4">
        <v>2397</v>
      </c>
      <c r="M2403" s="21">
        <v>-50540.484241590617</v>
      </c>
    </row>
    <row r="2404" spans="12:13" x14ac:dyDescent="0.2">
      <c r="L2404" s="4">
        <v>2398</v>
      </c>
      <c r="M2404" s="21">
        <v>95771.997489691334</v>
      </c>
    </row>
    <row r="2405" spans="12:13" x14ac:dyDescent="0.2">
      <c r="L2405" s="4">
        <v>2399</v>
      </c>
      <c r="M2405" s="21">
        <v>-7839.3910741205036</v>
      </c>
    </row>
    <row r="2406" spans="12:13" x14ac:dyDescent="0.2">
      <c r="L2406" s="4">
        <v>2400</v>
      </c>
      <c r="M2406" s="21">
        <v>194795.97249028165</v>
      </c>
    </row>
    <row r="2407" spans="12:13" x14ac:dyDescent="0.2">
      <c r="L2407" s="4">
        <v>2401</v>
      </c>
      <c r="M2407" s="21">
        <v>171507.67991127199</v>
      </c>
    </row>
    <row r="2408" spans="12:13" x14ac:dyDescent="0.2">
      <c r="L2408" s="4">
        <v>2402</v>
      </c>
      <c r="M2408" s="21">
        <v>-2271.8817320282978</v>
      </c>
    </row>
    <row r="2409" spans="12:13" x14ac:dyDescent="0.2">
      <c r="L2409" s="4">
        <v>2403</v>
      </c>
      <c r="M2409" s="21">
        <v>-107791.88626653566</v>
      </c>
    </row>
    <row r="2410" spans="12:13" x14ac:dyDescent="0.2">
      <c r="L2410" s="4">
        <v>2404</v>
      </c>
      <c r="M2410" s="21">
        <v>-183313.59664767276</v>
      </c>
    </row>
    <row r="2411" spans="12:13" x14ac:dyDescent="0.2">
      <c r="L2411" s="4">
        <v>2405</v>
      </c>
      <c r="M2411" s="21">
        <v>-72345.887507360108</v>
      </c>
    </row>
    <row r="2412" spans="12:13" x14ac:dyDescent="0.2">
      <c r="L2412" s="4">
        <v>2406</v>
      </c>
      <c r="M2412" s="21">
        <v>-50557.749006402999</v>
      </c>
    </row>
    <row r="2413" spans="12:13" x14ac:dyDescent="0.2">
      <c r="L2413" s="4">
        <v>2407</v>
      </c>
      <c r="M2413" s="21">
        <v>-44703.087042207306</v>
      </c>
    </row>
    <row r="2414" spans="12:13" x14ac:dyDescent="0.2">
      <c r="L2414" s="4">
        <v>2408</v>
      </c>
      <c r="M2414" s="21">
        <v>210214.56733852453</v>
      </c>
    </row>
    <row r="2415" spans="12:13" x14ac:dyDescent="0.2">
      <c r="L2415" s="4">
        <v>2409</v>
      </c>
      <c r="M2415" s="21">
        <v>-54693.699122646576</v>
      </c>
    </row>
    <row r="2416" spans="12:13" x14ac:dyDescent="0.2">
      <c r="L2416" s="4">
        <v>2410</v>
      </c>
      <c r="M2416" s="21">
        <v>226411.8034062754</v>
      </c>
    </row>
    <row r="2417" spans="12:13" x14ac:dyDescent="0.2">
      <c r="L2417" s="4">
        <v>2411</v>
      </c>
      <c r="M2417" s="21">
        <v>-134063.77291864244</v>
      </c>
    </row>
    <row r="2418" spans="12:13" x14ac:dyDescent="0.2">
      <c r="L2418" s="4">
        <v>2412</v>
      </c>
      <c r="M2418" s="21">
        <v>-39159.042710138718</v>
      </c>
    </row>
    <row r="2419" spans="12:13" x14ac:dyDescent="0.2">
      <c r="L2419" s="4">
        <v>2413</v>
      </c>
      <c r="M2419" s="21">
        <v>-78830.809770309032</v>
      </c>
    </row>
    <row r="2420" spans="12:13" x14ac:dyDescent="0.2">
      <c r="L2420" s="4">
        <v>2414</v>
      </c>
      <c r="M2420" s="21">
        <v>81618.798445350665</v>
      </c>
    </row>
    <row r="2421" spans="12:13" x14ac:dyDescent="0.2">
      <c r="L2421" s="4">
        <v>2415</v>
      </c>
      <c r="M2421" s="21">
        <v>86345.885335378087</v>
      </c>
    </row>
    <row r="2422" spans="12:13" x14ac:dyDescent="0.2">
      <c r="L2422" s="4">
        <v>2416</v>
      </c>
      <c r="M2422" s="21">
        <v>306872.41842686269</v>
      </c>
    </row>
    <row r="2423" spans="12:13" x14ac:dyDescent="0.2">
      <c r="L2423" s="4">
        <v>2417</v>
      </c>
      <c r="M2423" s="21">
        <v>-8818.2919624440692</v>
      </c>
    </row>
    <row r="2424" spans="12:13" x14ac:dyDescent="0.2">
      <c r="L2424" s="4">
        <v>2418</v>
      </c>
      <c r="M2424" s="21">
        <v>155543.61737211715</v>
      </c>
    </row>
    <row r="2425" spans="12:13" x14ac:dyDescent="0.2">
      <c r="L2425" s="4">
        <v>2419</v>
      </c>
      <c r="M2425" s="21">
        <v>209642.64276945428</v>
      </c>
    </row>
    <row r="2426" spans="12:13" x14ac:dyDescent="0.2">
      <c r="L2426" s="4">
        <v>2420</v>
      </c>
      <c r="M2426" s="21">
        <v>155941.64183934615</v>
      </c>
    </row>
    <row r="2427" spans="12:13" x14ac:dyDescent="0.2">
      <c r="L2427" s="4">
        <v>2421</v>
      </c>
      <c r="M2427" s="21">
        <v>-42858.510114095916</v>
      </c>
    </row>
    <row r="2428" spans="12:13" x14ac:dyDescent="0.2">
      <c r="L2428" s="4">
        <v>2422</v>
      </c>
      <c r="M2428" s="21">
        <v>-39046.777549234612</v>
      </c>
    </row>
    <row r="2429" spans="12:13" x14ac:dyDescent="0.2">
      <c r="L2429" s="4">
        <v>2423</v>
      </c>
      <c r="M2429" s="21">
        <v>-57592.343781974239</v>
      </c>
    </row>
    <row r="2430" spans="12:13" x14ac:dyDescent="0.2">
      <c r="L2430" s="4">
        <v>2424</v>
      </c>
      <c r="M2430" s="21">
        <v>-2564.8219893913629</v>
      </c>
    </row>
    <row r="2431" spans="12:13" x14ac:dyDescent="0.2">
      <c r="L2431" s="4">
        <v>2425</v>
      </c>
      <c r="M2431" s="21">
        <v>-189044.30705838118</v>
      </c>
    </row>
    <row r="2432" spans="12:13" x14ac:dyDescent="0.2">
      <c r="L2432" s="4">
        <v>2426</v>
      </c>
      <c r="M2432" s="21">
        <v>-219624.29362012405</v>
      </c>
    </row>
    <row r="2433" spans="12:13" x14ac:dyDescent="0.2">
      <c r="L2433" s="4">
        <v>2427</v>
      </c>
      <c r="M2433" s="21">
        <v>135878.91678758818</v>
      </c>
    </row>
    <row r="2434" spans="12:13" x14ac:dyDescent="0.2">
      <c r="L2434" s="4">
        <v>2428</v>
      </c>
      <c r="M2434" s="21">
        <v>108008.92023051073</v>
      </c>
    </row>
    <row r="2435" spans="12:13" x14ac:dyDescent="0.2">
      <c r="L2435" s="4">
        <v>2429</v>
      </c>
      <c r="M2435" s="21">
        <v>-64497.340545885119</v>
      </c>
    </row>
    <row r="2436" spans="12:13" x14ac:dyDescent="0.2">
      <c r="L2436" s="4">
        <v>2430</v>
      </c>
      <c r="M2436" s="21">
        <v>-222869.023313471</v>
      </c>
    </row>
    <row r="2437" spans="12:13" x14ac:dyDescent="0.2">
      <c r="L2437" s="4">
        <v>2431</v>
      </c>
      <c r="M2437" s="21">
        <v>-305720.3351126808</v>
      </c>
    </row>
    <row r="2438" spans="12:13" x14ac:dyDescent="0.2">
      <c r="L2438" s="4">
        <v>2432</v>
      </c>
      <c r="M2438" s="21">
        <v>-27609.771370851799</v>
      </c>
    </row>
    <row r="2439" spans="12:13" x14ac:dyDescent="0.2">
      <c r="L2439" s="4">
        <v>2433</v>
      </c>
      <c r="M2439" s="21">
        <v>-92170.939882686551</v>
      </c>
    </row>
    <row r="2440" spans="12:13" x14ac:dyDescent="0.2">
      <c r="L2440" s="4">
        <v>2434</v>
      </c>
      <c r="M2440" s="21">
        <v>141854.4620631719</v>
      </c>
    </row>
    <row r="2441" spans="12:13" x14ac:dyDescent="0.2">
      <c r="L2441" s="4">
        <v>2435</v>
      </c>
      <c r="M2441" s="21">
        <v>-50391.836778456898</v>
      </c>
    </row>
    <row r="2442" spans="12:13" x14ac:dyDescent="0.2">
      <c r="L2442" s="4">
        <v>2436</v>
      </c>
      <c r="M2442" s="21">
        <v>-232988.86559564044</v>
      </c>
    </row>
    <row r="2443" spans="12:13" x14ac:dyDescent="0.2">
      <c r="L2443" s="4">
        <v>2437</v>
      </c>
      <c r="M2443" s="21">
        <v>-71669.195177548914</v>
      </c>
    </row>
    <row r="2444" spans="12:13" x14ac:dyDescent="0.2">
      <c r="L2444" s="4">
        <v>2438</v>
      </c>
      <c r="M2444" s="21">
        <v>87877.717644722143</v>
      </c>
    </row>
    <row r="2445" spans="12:13" x14ac:dyDescent="0.2">
      <c r="L2445" s="4">
        <v>2439</v>
      </c>
      <c r="M2445" s="21">
        <v>349875.32084578415</v>
      </c>
    </row>
    <row r="2446" spans="12:13" x14ac:dyDescent="0.2">
      <c r="L2446" s="4">
        <v>2440</v>
      </c>
      <c r="M2446" s="21">
        <v>-348549.37900176807</v>
      </c>
    </row>
    <row r="2447" spans="12:13" x14ac:dyDescent="0.2">
      <c r="L2447" s="4">
        <v>2441</v>
      </c>
      <c r="M2447" s="21">
        <v>-155932.72489923617</v>
      </c>
    </row>
    <row r="2448" spans="12:13" x14ac:dyDescent="0.2">
      <c r="L2448" s="4">
        <v>2442</v>
      </c>
      <c r="M2448" s="21">
        <v>78536.971131388418</v>
      </c>
    </row>
    <row r="2449" spans="12:13" x14ac:dyDescent="0.2">
      <c r="L2449" s="4">
        <v>2443</v>
      </c>
      <c r="M2449" s="21">
        <v>6272.0794103619992</v>
      </c>
    </row>
    <row r="2450" spans="12:13" x14ac:dyDescent="0.2">
      <c r="L2450" s="4">
        <v>2444</v>
      </c>
      <c r="M2450" s="21">
        <v>-159819.02311834687</v>
      </c>
    </row>
    <row r="2451" spans="12:13" x14ac:dyDescent="0.2">
      <c r="L2451" s="4">
        <v>2445</v>
      </c>
      <c r="M2451" s="21">
        <v>136790.15570681734</v>
      </c>
    </row>
    <row r="2452" spans="12:13" x14ac:dyDescent="0.2">
      <c r="L2452" s="4">
        <v>2446</v>
      </c>
      <c r="M2452" s="21">
        <v>121547.43199206656</v>
      </c>
    </row>
    <row r="2453" spans="12:13" x14ac:dyDescent="0.2">
      <c r="L2453" s="4">
        <v>2447</v>
      </c>
      <c r="M2453" s="21">
        <v>-119569.72211640338</v>
      </c>
    </row>
    <row r="2454" spans="12:13" x14ac:dyDescent="0.2">
      <c r="L2454" s="4">
        <v>2448</v>
      </c>
      <c r="M2454" s="21">
        <v>-47824.410119429929</v>
      </c>
    </row>
    <row r="2455" spans="12:13" x14ac:dyDescent="0.2">
      <c r="L2455" s="4">
        <v>2449</v>
      </c>
      <c r="M2455" s="21">
        <v>76145.087360537116</v>
      </c>
    </row>
    <row r="2456" spans="12:13" x14ac:dyDescent="0.2">
      <c r="L2456" s="4">
        <v>2450</v>
      </c>
      <c r="M2456" s="21">
        <v>-166520.37788510363</v>
      </c>
    </row>
    <row r="2457" spans="12:13" x14ac:dyDescent="0.2">
      <c r="L2457" s="4">
        <v>2451</v>
      </c>
      <c r="M2457" s="21">
        <v>122594.26487357807</v>
      </c>
    </row>
    <row r="2458" spans="12:13" x14ac:dyDescent="0.2">
      <c r="L2458" s="4">
        <v>2452</v>
      </c>
      <c r="M2458" s="21">
        <v>291136.78409221844</v>
      </c>
    </row>
    <row r="2459" spans="12:13" x14ac:dyDescent="0.2">
      <c r="L2459" s="4">
        <v>2453</v>
      </c>
      <c r="M2459" s="21">
        <v>-72209.812548381597</v>
      </c>
    </row>
    <row r="2460" spans="12:13" x14ac:dyDescent="0.2">
      <c r="L2460" s="4">
        <v>2454</v>
      </c>
      <c r="M2460" s="21">
        <v>-198790.68931313555</v>
      </c>
    </row>
    <row r="2461" spans="12:13" x14ac:dyDescent="0.2">
      <c r="L2461" s="4">
        <v>2455</v>
      </c>
      <c r="M2461" s="21">
        <v>62170.701370861003</v>
      </c>
    </row>
    <row r="2462" spans="12:13" x14ac:dyDescent="0.2">
      <c r="L2462" s="4">
        <v>2456</v>
      </c>
      <c r="M2462" s="21">
        <v>164444.70245580727</v>
      </c>
    </row>
    <row r="2463" spans="12:13" x14ac:dyDescent="0.2">
      <c r="L2463" s="4">
        <v>2457</v>
      </c>
      <c r="M2463" s="21">
        <v>-214917.75215639453</v>
      </c>
    </row>
    <row r="2464" spans="12:13" x14ac:dyDescent="0.2">
      <c r="L2464" s="4">
        <v>2458</v>
      </c>
      <c r="M2464" s="21">
        <v>65776.860692254792</v>
      </c>
    </row>
    <row r="2465" spans="12:13" x14ac:dyDescent="0.2">
      <c r="L2465" s="4">
        <v>2459</v>
      </c>
      <c r="M2465" s="21">
        <v>-45357.879917955783</v>
      </c>
    </row>
    <row r="2466" spans="12:13" x14ac:dyDescent="0.2">
      <c r="L2466" s="4">
        <v>2460</v>
      </c>
      <c r="M2466" s="21">
        <v>128522.37450746042</v>
      </c>
    </row>
    <row r="2467" spans="12:13" x14ac:dyDescent="0.2">
      <c r="L2467" s="4">
        <v>2461</v>
      </c>
      <c r="M2467" s="21">
        <v>-40667.768091814796</v>
      </c>
    </row>
    <row r="2468" spans="12:13" x14ac:dyDescent="0.2">
      <c r="L2468" s="4">
        <v>2462</v>
      </c>
      <c r="M2468" s="21">
        <v>-108585.51074230504</v>
      </c>
    </row>
    <row r="2469" spans="12:13" x14ac:dyDescent="0.2">
      <c r="L2469" s="4">
        <v>2463</v>
      </c>
      <c r="M2469" s="21">
        <v>20485.143390072102</v>
      </c>
    </row>
    <row r="2470" spans="12:13" x14ac:dyDescent="0.2">
      <c r="L2470" s="4">
        <v>2464</v>
      </c>
      <c r="M2470" s="21">
        <v>-53645.761703097523</v>
      </c>
    </row>
    <row r="2471" spans="12:13" x14ac:dyDescent="0.2">
      <c r="L2471" s="4">
        <v>2465</v>
      </c>
      <c r="M2471" s="21">
        <v>-60492.104491382532</v>
      </c>
    </row>
    <row r="2472" spans="12:13" x14ac:dyDescent="0.2">
      <c r="L2472" s="4">
        <v>2466</v>
      </c>
      <c r="M2472" s="21">
        <v>49380.717751187767</v>
      </c>
    </row>
    <row r="2473" spans="12:13" x14ac:dyDescent="0.2">
      <c r="L2473" s="4">
        <v>2467</v>
      </c>
      <c r="M2473" s="21">
        <v>70227.318722619355</v>
      </c>
    </row>
    <row r="2474" spans="12:13" x14ac:dyDescent="0.2">
      <c r="L2474" s="4">
        <v>2468</v>
      </c>
      <c r="M2474" s="21">
        <v>-136515.62304058424</v>
      </c>
    </row>
    <row r="2475" spans="12:13" x14ac:dyDescent="0.2">
      <c r="L2475" s="4">
        <v>2469</v>
      </c>
      <c r="M2475" s="21">
        <v>152370.05681469699</v>
      </c>
    </row>
    <row r="2476" spans="12:13" x14ac:dyDescent="0.2">
      <c r="L2476" s="4">
        <v>2470</v>
      </c>
      <c r="M2476" s="21">
        <v>-95168.515029529517</v>
      </c>
    </row>
    <row r="2477" spans="12:13" x14ac:dyDescent="0.2">
      <c r="L2477" s="4">
        <v>2471</v>
      </c>
      <c r="M2477" s="21">
        <v>-66542.432042052926</v>
      </c>
    </row>
    <row r="2478" spans="12:13" x14ac:dyDescent="0.2">
      <c r="L2478" s="4">
        <v>2472</v>
      </c>
      <c r="M2478" s="21">
        <v>-209989.42122818431</v>
      </c>
    </row>
    <row r="2479" spans="12:13" x14ac:dyDescent="0.2">
      <c r="L2479" s="4">
        <v>2473</v>
      </c>
      <c r="M2479" s="21">
        <v>227897.45570642367</v>
      </c>
    </row>
    <row r="2480" spans="12:13" x14ac:dyDescent="0.2">
      <c r="L2480" s="4">
        <v>2474</v>
      </c>
      <c r="M2480" s="21">
        <v>235494.87204730502</v>
      </c>
    </row>
    <row r="2481" spans="12:13" x14ac:dyDescent="0.2">
      <c r="L2481" s="4">
        <v>2475</v>
      </c>
      <c r="M2481" s="21">
        <v>-267035.39870792779</v>
      </c>
    </row>
    <row r="2482" spans="12:13" x14ac:dyDescent="0.2">
      <c r="L2482" s="4">
        <v>2476</v>
      </c>
      <c r="M2482" s="21">
        <v>159445.3513129036</v>
      </c>
    </row>
    <row r="2483" spans="12:13" x14ac:dyDescent="0.2">
      <c r="L2483" s="4">
        <v>2477</v>
      </c>
      <c r="M2483" s="21">
        <v>118745.78651852478</v>
      </c>
    </row>
    <row r="2484" spans="12:13" x14ac:dyDescent="0.2">
      <c r="L2484" s="4">
        <v>2478</v>
      </c>
      <c r="M2484" s="21">
        <v>10409.879691061855</v>
      </c>
    </row>
    <row r="2485" spans="12:13" x14ac:dyDescent="0.2">
      <c r="L2485" s="4">
        <v>2479</v>
      </c>
      <c r="M2485" s="21">
        <v>17099.34223967258</v>
      </c>
    </row>
    <row r="2486" spans="12:13" x14ac:dyDescent="0.2">
      <c r="L2486" s="4">
        <v>2480</v>
      </c>
      <c r="M2486" s="21">
        <v>212578.97090490558</v>
      </c>
    </row>
    <row r="2487" spans="12:13" x14ac:dyDescent="0.2">
      <c r="L2487" s="4">
        <v>2481</v>
      </c>
      <c r="M2487" s="21">
        <v>50884.742543131288</v>
      </c>
    </row>
    <row r="2488" spans="12:13" x14ac:dyDescent="0.2">
      <c r="L2488" s="4">
        <v>2482</v>
      </c>
      <c r="M2488" s="21">
        <v>-205704.86852725025</v>
      </c>
    </row>
    <row r="2489" spans="12:13" x14ac:dyDescent="0.2">
      <c r="L2489" s="4">
        <v>2483</v>
      </c>
      <c r="M2489" s="21">
        <v>21291.554460028128</v>
      </c>
    </row>
    <row r="2490" spans="12:13" x14ac:dyDescent="0.2">
      <c r="L2490" s="4">
        <v>2484</v>
      </c>
      <c r="M2490" s="21">
        <v>-97666.238828146859</v>
      </c>
    </row>
    <row r="2491" spans="12:13" x14ac:dyDescent="0.2">
      <c r="L2491" s="4">
        <v>2485</v>
      </c>
      <c r="M2491" s="21">
        <v>-124359.01597032779</v>
      </c>
    </row>
    <row r="2492" spans="12:13" x14ac:dyDescent="0.2">
      <c r="L2492" s="4">
        <v>2486</v>
      </c>
      <c r="M2492" s="21">
        <v>129467.50464592996</v>
      </c>
    </row>
    <row r="2493" spans="12:13" x14ac:dyDescent="0.2">
      <c r="L2493" s="4">
        <v>2487</v>
      </c>
      <c r="M2493" s="21">
        <v>-189263.08727446757</v>
      </c>
    </row>
    <row r="2494" spans="12:13" x14ac:dyDescent="0.2">
      <c r="L2494" s="4">
        <v>2488</v>
      </c>
      <c r="M2494" s="21">
        <v>103563.49465889524</v>
      </c>
    </row>
    <row r="2495" spans="12:13" x14ac:dyDescent="0.2">
      <c r="L2495" s="4">
        <v>2489</v>
      </c>
      <c r="M2495" s="21">
        <v>-117505.16213724183</v>
      </c>
    </row>
    <row r="2496" spans="12:13" x14ac:dyDescent="0.2">
      <c r="L2496" s="4">
        <v>2490</v>
      </c>
      <c r="M2496" s="21">
        <v>-58373.189981989111</v>
      </c>
    </row>
    <row r="2497" spans="12:13" x14ac:dyDescent="0.2">
      <c r="L2497" s="4">
        <v>2491</v>
      </c>
      <c r="M2497" s="21">
        <v>200032.2099439287</v>
      </c>
    </row>
    <row r="2498" spans="12:13" x14ac:dyDescent="0.2">
      <c r="L2498" s="4">
        <v>2492</v>
      </c>
      <c r="M2498" s="21">
        <v>-161315.71998005285</v>
      </c>
    </row>
    <row r="2499" spans="12:13" x14ac:dyDescent="0.2">
      <c r="L2499" s="4">
        <v>2493</v>
      </c>
      <c r="M2499" s="21">
        <v>96427.246349980211</v>
      </c>
    </row>
    <row r="2500" spans="12:13" x14ac:dyDescent="0.2">
      <c r="L2500" s="4">
        <v>2494</v>
      </c>
      <c r="M2500" s="21">
        <v>-265013.63687413768</v>
      </c>
    </row>
    <row r="2501" spans="12:13" x14ac:dyDescent="0.2">
      <c r="L2501" s="4">
        <v>2495</v>
      </c>
      <c r="M2501" s="21">
        <v>-47645.180184023207</v>
      </c>
    </row>
    <row r="2502" spans="12:13" x14ac:dyDescent="0.2">
      <c r="L2502" s="4">
        <v>2496</v>
      </c>
      <c r="M2502" s="21">
        <v>-70039.323072032712</v>
      </c>
    </row>
    <row r="2503" spans="12:13" x14ac:dyDescent="0.2">
      <c r="L2503" s="4">
        <v>2497</v>
      </c>
      <c r="M2503" s="21">
        <v>-164861.72921289821</v>
      </c>
    </row>
    <row r="2504" spans="12:13" x14ac:dyDescent="0.2">
      <c r="L2504" s="4">
        <v>2498</v>
      </c>
      <c r="M2504" s="21">
        <v>-213327.61090500699</v>
      </c>
    </row>
    <row r="2505" spans="12:13" x14ac:dyDescent="0.2">
      <c r="L2505" s="4">
        <v>2499</v>
      </c>
      <c r="M2505" s="21">
        <v>139052.43907868874</v>
      </c>
    </row>
    <row r="2506" spans="12:13" x14ac:dyDescent="0.2">
      <c r="L2506" s="4">
        <v>2500</v>
      </c>
      <c r="M2506" s="21">
        <v>-210540.48236597341</v>
      </c>
    </row>
    <row r="2507" spans="12:13" x14ac:dyDescent="0.2">
      <c r="L2507" s="4">
        <v>2501</v>
      </c>
      <c r="M2507" s="21">
        <v>-106879.72512871043</v>
      </c>
    </row>
    <row r="2508" spans="12:13" x14ac:dyDescent="0.2">
      <c r="L2508" s="4">
        <v>2502</v>
      </c>
      <c r="M2508" s="21">
        <v>98245.624185854103</v>
      </c>
    </row>
    <row r="2509" spans="12:13" x14ac:dyDescent="0.2">
      <c r="L2509" s="4">
        <v>2503</v>
      </c>
      <c r="M2509" s="21">
        <v>-100701.68370668903</v>
      </c>
    </row>
    <row r="2510" spans="12:13" x14ac:dyDescent="0.2">
      <c r="L2510" s="4">
        <v>2504</v>
      </c>
      <c r="M2510" s="21">
        <v>-313837.74330054701</v>
      </c>
    </row>
    <row r="2511" spans="12:13" x14ac:dyDescent="0.2">
      <c r="L2511" s="4">
        <v>2505</v>
      </c>
      <c r="M2511" s="21">
        <v>-150939.45313250154</v>
      </c>
    </row>
    <row r="2512" spans="12:13" x14ac:dyDescent="0.2">
      <c r="L2512" s="4">
        <v>2506</v>
      </c>
      <c r="M2512" s="21">
        <v>162874.6410095024</v>
      </c>
    </row>
    <row r="2513" spans="12:13" x14ac:dyDescent="0.2">
      <c r="L2513" s="4">
        <v>2507</v>
      </c>
      <c r="M2513" s="21">
        <v>63253.037843923754</v>
      </c>
    </row>
    <row r="2514" spans="12:13" x14ac:dyDescent="0.2">
      <c r="L2514" s="4">
        <v>2508</v>
      </c>
      <c r="M2514" s="21">
        <v>-46728.886131239211</v>
      </c>
    </row>
    <row r="2515" spans="12:13" x14ac:dyDescent="0.2">
      <c r="L2515" s="4">
        <v>2509</v>
      </c>
      <c r="M2515" s="21">
        <v>-54049.789684948453</v>
      </c>
    </row>
    <row r="2516" spans="12:13" x14ac:dyDescent="0.2">
      <c r="L2516" s="4">
        <v>2510</v>
      </c>
      <c r="M2516" s="21">
        <v>536.98900268037687</v>
      </c>
    </row>
    <row r="2517" spans="12:13" x14ac:dyDescent="0.2">
      <c r="L2517" s="4">
        <v>2511</v>
      </c>
      <c r="M2517" s="21">
        <v>-91923.786732736669</v>
      </c>
    </row>
    <row r="2518" spans="12:13" x14ac:dyDescent="0.2">
      <c r="L2518" s="4">
        <v>2512</v>
      </c>
      <c r="M2518" s="21">
        <v>-17254.816636423056</v>
      </c>
    </row>
    <row r="2519" spans="12:13" x14ac:dyDescent="0.2">
      <c r="L2519" s="4">
        <v>2513</v>
      </c>
      <c r="M2519" s="21">
        <v>-44252.983500860661</v>
      </c>
    </row>
    <row r="2520" spans="12:13" x14ac:dyDescent="0.2">
      <c r="L2520" s="4">
        <v>2514</v>
      </c>
      <c r="M2520" s="21">
        <v>-28257.923402149434</v>
      </c>
    </row>
    <row r="2521" spans="12:13" x14ac:dyDescent="0.2">
      <c r="L2521" s="4">
        <v>2515</v>
      </c>
      <c r="M2521" s="21">
        <v>17220.40090960206</v>
      </c>
    </row>
    <row r="2522" spans="12:13" x14ac:dyDescent="0.2">
      <c r="L2522" s="4">
        <v>2516</v>
      </c>
      <c r="M2522" s="21">
        <v>-23021.391438543957</v>
      </c>
    </row>
    <row r="2523" spans="12:13" x14ac:dyDescent="0.2">
      <c r="L2523" s="4">
        <v>2517</v>
      </c>
      <c r="M2523" s="21">
        <v>42815.212167972233</v>
      </c>
    </row>
    <row r="2524" spans="12:13" x14ac:dyDescent="0.2">
      <c r="L2524" s="4">
        <v>2518</v>
      </c>
      <c r="M2524" s="21">
        <v>122881.92248800461</v>
      </c>
    </row>
    <row r="2525" spans="12:13" x14ac:dyDescent="0.2">
      <c r="L2525" s="4">
        <v>2519</v>
      </c>
      <c r="M2525" s="21">
        <v>314306.0386430223</v>
      </c>
    </row>
    <row r="2526" spans="12:13" x14ac:dyDescent="0.2">
      <c r="L2526" s="4">
        <v>2520</v>
      </c>
      <c r="M2526" s="21">
        <v>196416.0684108063</v>
      </c>
    </row>
    <row r="2527" spans="12:13" x14ac:dyDescent="0.2">
      <c r="L2527" s="4">
        <v>2521</v>
      </c>
      <c r="M2527" s="21">
        <v>-72969.682550518948</v>
      </c>
    </row>
    <row r="2528" spans="12:13" x14ac:dyDescent="0.2">
      <c r="L2528" s="4">
        <v>2522</v>
      </c>
      <c r="M2528" s="21">
        <v>-170562.30424003574</v>
      </c>
    </row>
    <row r="2529" spans="12:13" x14ac:dyDescent="0.2">
      <c r="L2529" s="4">
        <v>2523</v>
      </c>
      <c r="M2529" s="21">
        <v>-195369.50291925666</v>
      </c>
    </row>
    <row r="2530" spans="12:13" x14ac:dyDescent="0.2">
      <c r="L2530" s="4">
        <v>2524</v>
      </c>
      <c r="M2530" s="21">
        <v>-338189.15000456921</v>
      </c>
    </row>
    <row r="2531" spans="12:13" x14ac:dyDescent="0.2">
      <c r="L2531" s="4">
        <v>2525</v>
      </c>
      <c r="M2531" s="21">
        <v>-348917.31004556827</v>
      </c>
    </row>
    <row r="2532" spans="12:13" x14ac:dyDescent="0.2">
      <c r="L2532" s="4">
        <v>2526</v>
      </c>
      <c r="M2532" s="21">
        <v>-200751.95579425443</v>
      </c>
    </row>
    <row r="2533" spans="12:13" x14ac:dyDescent="0.2">
      <c r="L2533" s="4">
        <v>2527</v>
      </c>
      <c r="M2533" s="21">
        <v>-191185.22543246709</v>
      </c>
    </row>
    <row r="2534" spans="12:13" x14ac:dyDescent="0.2">
      <c r="L2534" s="4">
        <v>2528</v>
      </c>
      <c r="M2534" s="21">
        <v>134986.42750697056</v>
      </c>
    </row>
    <row r="2535" spans="12:13" x14ac:dyDescent="0.2">
      <c r="L2535" s="4">
        <v>2529</v>
      </c>
      <c r="M2535" s="21">
        <v>110464.89869954583</v>
      </c>
    </row>
    <row r="2536" spans="12:13" x14ac:dyDescent="0.2">
      <c r="L2536" s="4">
        <v>2530</v>
      </c>
      <c r="M2536" s="21">
        <v>-38062.206202168323</v>
      </c>
    </row>
    <row r="2537" spans="12:13" x14ac:dyDescent="0.2">
      <c r="L2537" s="4">
        <v>2531</v>
      </c>
      <c r="M2537" s="21">
        <v>-174678.02825369485</v>
      </c>
    </row>
    <row r="2538" spans="12:13" x14ac:dyDescent="0.2">
      <c r="L2538" s="4">
        <v>2532</v>
      </c>
      <c r="M2538" s="21">
        <v>-175274.28372675739</v>
      </c>
    </row>
    <row r="2539" spans="12:13" x14ac:dyDescent="0.2">
      <c r="L2539" s="4">
        <v>2533</v>
      </c>
      <c r="M2539" s="21">
        <v>140263.43854241297</v>
      </c>
    </row>
    <row r="2540" spans="12:13" x14ac:dyDescent="0.2">
      <c r="L2540" s="4">
        <v>2534</v>
      </c>
      <c r="M2540" s="21">
        <v>35285.932391929819</v>
      </c>
    </row>
    <row r="2541" spans="12:13" x14ac:dyDescent="0.2">
      <c r="L2541" s="4">
        <v>2535</v>
      </c>
      <c r="M2541" s="21">
        <v>-61344.848953966895</v>
      </c>
    </row>
    <row r="2542" spans="12:13" x14ac:dyDescent="0.2">
      <c r="L2542" s="4">
        <v>2536</v>
      </c>
      <c r="M2542" s="21">
        <v>-169075.43319138221</v>
      </c>
    </row>
    <row r="2543" spans="12:13" x14ac:dyDescent="0.2">
      <c r="L2543" s="4">
        <v>2537</v>
      </c>
      <c r="M2543" s="21">
        <v>-108268.9042597798</v>
      </c>
    </row>
    <row r="2544" spans="12:13" x14ac:dyDescent="0.2">
      <c r="L2544" s="4">
        <v>2538</v>
      </c>
      <c r="M2544" s="21">
        <v>-74945.929448643161</v>
      </c>
    </row>
    <row r="2545" spans="12:13" x14ac:dyDescent="0.2">
      <c r="L2545" s="4">
        <v>2539</v>
      </c>
      <c r="M2545" s="21">
        <v>15533.620350114361</v>
      </c>
    </row>
    <row r="2546" spans="12:13" x14ac:dyDescent="0.2">
      <c r="L2546" s="4">
        <v>2540</v>
      </c>
      <c r="M2546" s="21">
        <v>-165040.75799164368</v>
      </c>
    </row>
    <row r="2547" spans="12:13" x14ac:dyDescent="0.2">
      <c r="L2547" s="4">
        <v>2541</v>
      </c>
      <c r="M2547" s="21">
        <v>-115837.81094917491</v>
      </c>
    </row>
    <row r="2548" spans="12:13" x14ac:dyDescent="0.2">
      <c r="L2548" s="4">
        <v>2542</v>
      </c>
      <c r="M2548" s="21">
        <v>-19456.298348144526</v>
      </c>
    </row>
    <row r="2549" spans="12:13" x14ac:dyDescent="0.2">
      <c r="L2549" s="4">
        <v>2543</v>
      </c>
      <c r="M2549" s="21">
        <v>-289045.36491604877</v>
      </c>
    </row>
    <row r="2550" spans="12:13" x14ac:dyDescent="0.2">
      <c r="L2550" s="4">
        <v>2544</v>
      </c>
      <c r="M2550" s="21">
        <v>242728.61704367216</v>
      </c>
    </row>
    <row r="2551" spans="12:13" x14ac:dyDescent="0.2">
      <c r="L2551" s="4">
        <v>2545</v>
      </c>
      <c r="M2551" s="21">
        <v>16093.679693299899</v>
      </c>
    </row>
    <row r="2552" spans="12:13" x14ac:dyDescent="0.2">
      <c r="L2552" s="4">
        <v>2546</v>
      </c>
      <c r="M2552" s="21">
        <v>74119.328332307021</v>
      </c>
    </row>
    <row r="2553" spans="12:13" x14ac:dyDescent="0.2">
      <c r="L2553" s="4">
        <v>2547</v>
      </c>
      <c r="M2553" s="21">
        <v>-96053.908494539952</v>
      </c>
    </row>
    <row r="2554" spans="12:13" x14ac:dyDescent="0.2">
      <c r="L2554" s="4">
        <v>2548</v>
      </c>
      <c r="M2554" s="21">
        <v>-101206.86498219766</v>
      </c>
    </row>
    <row r="2555" spans="12:13" x14ac:dyDescent="0.2">
      <c r="L2555" s="4">
        <v>2549</v>
      </c>
      <c r="M2555" s="21">
        <v>-170140.71858582864</v>
      </c>
    </row>
    <row r="2556" spans="12:13" x14ac:dyDescent="0.2">
      <c r="L2556" s="4">
        <v>2550</v>
      </c>
      <c r="M2556" s="21">
        <v>367223.34757361922</v>
      </c>
    </row>
    <row r="2557" spans="12:13" x14ac:dyDescent="0.2">
      <c r="L2557" s="4">
        <v>2551</v>
      </c>
      <c r="M2557" s="21">
        <v>23963.373360432422</v>
      </c>
    </row>
    <row r="2558" spans="12:13" x14ac:dyDescent="0.2">
      <c r="L2558" s="4">
        <v>2552</v>
      </c>
      <c r="M2558" s="21">
        <v>-40008.359384991141</v>
      </c>
    </row>
    <row r="2559" spans="12:13" x14ac:dyDescent="0.2">
      <c r="L2559" s="4">
        <v>2553</v>
      </c>
      <c r="M2559" s="21">
        <v>-134185.22108165815</v>
      </c>
    </row>
    <row r="2560" spans="12:13" x14ac:dyDescent="0.2">
      <c r="L2560" s="4">
        <v>2554</v>
      </c>
      <c r="M2560" s="21">
        <v>-63107.017854991587</v>
      </c>
    </row>
    <row r="2561" spans="12:13" x14ac:dyDescent="0.2">
      <c r="L2561" s="4">
        <v>2555</v>
      </c>
      <c r="M2561" s="21">
        <v>-15123.918171252386</v>
      </c>
    </row>
    <row r="2562" spans="12:13" x14ac:dyDescent="0.2">
      <c r="L2562" s="4">
        <v>2556</v>
      </c>
      <c r="M2562" s="21">
        <v>11867.562247393333</v>
      </c>
    </row>
    <row r="2563" spans="12:13" x14ac:dyDescent="0.2">
      <c r="L2563" s="4">
        <v>2557</v>
      </c>
      <c r="M2563" s="21">
        <v>-209394.58494506654</v>
      </c>
    </row>
    <row r="2564" spans="12:13" x14ac:dyDescent="0.2">
      <c r="L2564" s="4">
        <v>2558</v>
      </c>
      <c r="M2564" s="21">
        <v>-91503.983599170664</v>
      </c>
    </row>
    <row r="2565" spans="12:13" x14ac:dyDescent="0.2">
      <c r="L2565" s="4">
        <v>2559</v>
      </c>
      <c r="M2565" s="21">
        <v>-162331.26882968063</v>
      </c>
    </row>
    <row r="2566" spans="12:13" x14ac:dyDescent="0.2">
      <c r="L2566" s="4">
        <v>2560</v>
      </c>
      <c r="M2566" s="21">
        <v>-173809.97129771361</v>
      </c>
    </row>
    <row r="2567" spans="12:13" x14ac:dyDescent="0.2">
      <c r="L2567" s="4">
        <v>2561</v>
      </c>
      <c r="M2567" s="21">
        <v>-120360.62893916924</v>
      </c>
    </row>
    <row r="2568" spans="12:13" x14ac:dyDescent="0.2">
      <c r="L2568" s="4">
        <v>2562</v>
      </c>
      <c r="M2568" s="21">
        <v>45308.507536965219</v>
      </c>
    </row>
    <row r="2569" spans="12:13" x14ac:dyDescent="0.2">
      <c r="L2569" s="4">
        <v>2563</v>
      </c>
      <c r="M2569" s="21">
        <v>240598.28322212893</v>
      </c>
    </row>
    <row r="2570" spans="12:13" x14ac:dyDescent="0.2">
      <c r="L2570" s="4">
        <v>2564</v>
      </c>
      <c r="M2570" s="21">
        <v>-27699.287616448375</v>
      </c>
    </row>
    <row r="2571" spans="12:13" x14ac:dyDescent="0.2">
      <c r="L2571" s="4">
        <v>2565</v>
      </c>
      <c r="M2571" s="21">
        <v>82678.977348449553</v>
      </c>
    </row>
    <row r="2572" spans="12:13" x14ac:dyDescent="0.2">
      <c r="L2572" s="4">
        <v>2566</v>
      </c>
      <c r="M2572" s="21">
        <v>66830.117199903383</v>
      </c>
    </row>
    <row r="2573" spans="12:13" x14ac:dyDescent="0.2">
      <c r="L2573" s="4">
        <v>2567</v>
      </c>
      <c r="M2573" s="21">
        <v>21768.219166987488</v>
      </c>
    </row>
    <row r="2574" spans="12:13" x14ac:dyDescent="0.2">
      <c r="L2574" s="4">
        <v>2568</v>
      </c>
      <c r="M2574" s="21">
        <v>-34331.719832122675</v>
      </c>
    </row>
    <row r="2575" spans="12:13" x14ac:dyDescent="0.2">
      <c r="L2575" s="4">
        <v>2569</v>
      </c>
      <c r="M2575" s="21">
        <v>221914.8091891373</v>
      </c>
    </row>
    <row r="2576" spans="12:13" x14ac:dyDescent="0.2">
      <c r="L2576" s="4">
        <v>2570</v>
      </c>
      <c r="M2576" s="21">
        <v>111444.3830850542</v>
      </c>
    </row>
    <row r="2577" spans="12:13" x14ac:dyDescent="0.2">
      <c r="L2577" s="4">
        <v>2571</v>
      </c>
      <c r="M2577" s="21">
        <v>-138450.31456009217</v>
      </c>
    </row>
    <row r="2578" spans="12:13" x14ac:dyDescent="0.2">
      <c r="L2578" s="4">
        <v>2572</v>
      </c>
      <c r="M2578" s="21">
        <v>113094.67542250978</v>
      </c>
    </row>
    <row r="2579" spans="12:13" x14ac:dyDescent="0.2">
      <c r="L2579" s="4">
        <v>2573</v>
      </c>
      <c r="M2579" s="21">
        <v>126970.23053197039</v>
      </c>
    </row>
    <row r="2580" spans="12:13" x14ac:dyDescent="0.2">
      <c r="L2580" s="4">
        <v>2574</v>
      </c>
      <c r="M2580" s="21">
        <v>81300.726893510466</v>
      </c>
    </row>
    <row r="2581" spans="12:13" x14ac:dyDescent="0.2">
      <c r="L2581" s="4">
        <v>2575</v>
      </c>
      <c r="M2581" s="21">
        <v>186463.86400156526</v>
      </c>
    </row>
    <row r="2582" spans="12:13" x14ac:dyDescent="0.2">
      <c r="L2582" s="4">
        <v>2576</v>
      </c>
      <c r="M2582" s="21">
        <v>-70853.648496111608</v>
      </c>
    </row>
    <row r="2583" spans="12:13" x14ac:dyDescent="0.2">
      <c r="L2583" s="4">
        <v>2577</v>
      </c>
      <c r="M2583" s="21">
        <v>136516.06709320811</v>
      </c>
    </row>
    <row r="2584" spans="12:13" x14ac:dyDescent="0.2">
      <c r="L2584" s="4">
        <v>2578</v>
      </c>
      <c r="M2584" s="21">
        <v>-177383.28665970254</v>
      </c>
    </row>
    <row r="2585" spans="12:13" x14ac:dyDescent="0.2">
      <c r="L2585" s="4">
        <v>2579</v>
      </c>
      <c r="M2585" s="21">
        <v>197191.08377394665</v>
      </c>
    </row>
    <row r="2586" spans="12:13" x14ac:dyDescent="0.2">
      <c r="L2586" s="4">
        <v>2580</v>
      </c>
      <c r="M2586" s="21">
        <v>-20991.25512314064</v>
      </c>
    </row>
    <row r="2587" spans="12:13" x14ac:dyDescent="0.2">
      <c r="L2587" s="4">
        <v>2581</v>
      </c>
      <c r="M2587" s="21">
        <v>-111082.52461208279</v>
      </c>
    </row>
    <row r="2588" spans="12:13" x14ac:dyDescent="0.2">
      <c r="L2588" s="4">
        <v>2582</v>
      </c>
      <c r="M2588" s="21">
        <v>-24869.120758858393</v>
      </c>
    </row>
    <row r="2589" spans="12:13" x14ac:dyDescent="0.2">
      <c r="L2589" s="4">
        <v>2583</v>
      </c>
      <c r="M2589" s="21">
        <v>127426.60482336258</v>
      </c>
    </row>
    <row r="2590" spans="12:13" x14ac:dyDescent="0.2">
      <c r="L2590" s="4">
        <v>2584</v>
      </c>
      <c r="M2590" s="21">
        <v>-125300.20444718898</v>
      </c>
    </row>
    <row r="2591" spans="12:13" x14ac:dyDescent="0.2">
      <c r="L2591" s="4">
        <v>2585</v>
      </c>
      <c r="M2591" s="21">
        <v>-160561.70569713227</v>
      </c>
    </row>
    <row r="2592" spans="12:13" x14ac:dyDescent="0.2">
      <c r="L2592" s="4">
        <v>2586</v>
      </c>
      <c r="M2592" s="21">
        <v>11253.276510165655</v>
      </c>
    </row>
    <row r="2593" spans="12:13" x14ac:dyDescent="0.2">
      <c r="L2593" s="4">
        <v>2587</v>
      </c>
      <c r="M2593" s="21">
        <v>166874.80268302996</v>
      </c>
    </row>
    <row r="2594" spans="12:13" x14ac:dyDescent="0.2">
      <c r="L2594" s="4">
        <v>2588</v>
      </c>
      <c r="M2594" s="21">
        <v>-124198.26849651175</v>
      </c>
    </row>
    <row r="2595" spans="12:13" x14ac:dyDescent="0.2">
      <c r="L2595" s="4">
        <v>2589</v>
      </c>
      <c r="M2595" s="21">
        <v>-159322.93318255365</v>
      </c>
    </row>
    <row r="2596" spans="12:13" x14ac:dyDescent="0.2">
      <c r="L2596" s="4">
        <v>2590</v>
      </c>
      <c r="M2596" s="21">
        <v>-79479.860402759747</v>
      </c>
    </row>
    <row r="2597" spans="12:13" x14ac:dyDescent="0.2">
      <c r="L2597" s="4">
        <v>2591</v>
      </c>
      <c r="M2597" s="21">
        <v>133321.98238498729</v>
      </c>
    </row>
    <row r="2598" spans="12:13" x14ac:dyDescent="0.2">
      <c r="L2598" s="4">
        <v>2592</v>
      </c>
      <c r="M2598" s="21">
        <v>55961.788536491891</v>
      </c>
    </row>
    <row r="2599" spans="12:13" x14ac:dyDescent="0.2">
      <c r="L2599" s="4">
        <v>2593</v>
      </c>
      <c r="M2599" s="21">
        <v>-64387.472783459554</v>
      </c>
    </row>
    <row r="2600" spans="12:13" x14ac:dyDescent="0.2">
      <c r="L2600" s="4">
        <v>2594</v>
      </c>
      <c r="M2600" s="21">
        <v>-107832.11197298976</v>
      </c>
    </row>
    <row r="2601" spans="12:13" x14ac:dyDescent="0.2">
      <c r="L2601" s="4">
        <v>2595</v>
      </c>
      <c r="M2601" s="21">
        <v>-40783.88218422608</v>
      </c>
    </row>
    <row r="2602" spans="12:13" x14ac:dyDescent="0.2">
      <c r="L2602" s="4">
        <v>2596</v>
      </c>
      <c r="M2602" s="21">
        <v>-358.83023714115552</v>
      </c>
    </row>
    <row r="2603" spans="12:13" x14ac:dyDescent="0.2">
      <c r="L2603" s="4">
        <v>2597</v>
      </c>
      <c r="M2603" s="21">
        <v>13819.158638899506</v>
      </c>
    </row>
    <row r="2604" spans="12:13" x14ac:dyDescent="0.2">
      <c r="L2604" s="4">
        <v>2598</v>
      </c>
      <c r="M2604" s="21">
        <v>-228887.88787751092</v>
      </c>
    </row>
    <row r="2605" spans="12:13" x14ac:dyDescent="0.2">
      <c r="L2605" s="4">
        <v>2599</v>
      </c>
      <c r="M2605" s="21">
        <v>-93447.124139607826</v>
      </c>
    </row>
    <row r="2606" spans="12:13" x14ac:dyDescent="0.2">
      <c r="L2606" s="4">
        <v>2600</v>
      </c>
      <c r="M2606" s="21">
        <v>226460.90976834149</v>
      </c>
    </row>
    <row r="2607" spans="12:13" x14ac:dyDescent="0.2">
      <c r="L2607" s="4">
        <v>2601</v>
      </c>
      <c r="M2607" s="21">
        <v>-243294.80481791729</v>
      </c>
    </row>
    <row r="2608" spans="12:13" x14ac:dyDescent="0.2">
      <c r="L2608" s="4">
        <v>2602</v>
      </c>
      <c r="M2608" s="21">
        <v>19213.207145001361</v>
      </c>
    </row>
    <row r="2609" spans="12:13" x14ac:dyDescent="0.2">
      <c r="L2609" s="4">
        <v>2603</v>
      </c>
      <c r="M2609" s="21">
        <v>99174.728123139445</v>
      </c>
    </row>
    <row r="2610" spans="12:13" x14ac:dyDescent="0.2">
      <c r="L2610" s="4">
        <v>2604</v>
      </c>
      <c r="M2610" s="21">
        <v>149587.68801327437</v>
      </c>
    </row>
    <row r="2611" spans="12:13" x14ac:dyDescent="0.2">
      <c r="L2611" s="4">
        <v>2605</v>
      </c>
      <c r="M2611" s="21">
        <v>-50429.872019464543</v>
      </c>
    </row>
    <row r="2612" spans="12:13" x14ac:dyDescent="0.2">
      <c r="L2612" s="4">
        <v>2606</v>
      </c>
      <c r="M2612" s="21">
        <v>-56185.574024495771</v>
      </c>
    </row>
    <row r="2613" spans="12:13" x14ac:dyDescent="0.2">
      <c r="L2613" s="4">
        <v>2607</v>
      </c>
      <c r="M2613" s="21">
        <v>-12248.755157287902</v>
      </c>
    </row>
    <row r="2614" spans="12:13" x14ac:dyDescent="0.2">
      <c r="L2614" s="4">
        <v>2608</v>
      </c>
      <c r="M2614" s="21">
        <v>10702.400946759415</v>
      </c>
    </row>
    <row r="2615" spans="12:13" x14ac:dyDescent="0.2">
      <c r="L2615" s="4">
        <v>2609</v>
      </c>
      <c r="M2615" s="21">
        <v>-70556.141539185017</v>
      </c>
    </row>
    <row r="2616" spans="12:13" x14ac:dyDescent="0.2">
      <c r="L2616" s="4">
        <v>2610</v>
      </c>
      <c r="M2616" s="21">
        <v>-156834.88832303789</v>
      </c>
    </row>
    <row r="2617" spans="12:13" x14ac:dyDescent="0.2">
      <c r="L2617" s="4">
        <v>2611</v>
      </c>
      <c r="M2617" s="21">
        <v>127014.16700078727</v>
      </c>
    </row>
    <row r="2618" spans="12:13" x14ac:dyDescent="0.2">
      <c r="L2618" s="4">
        <v>2612</v>
      </c>
      <c r="M2618" s="21">
        <v>131319.46976449044</v>
      </c>
    </row>
    <row r="2619" spans="12:13" x14ac:dyDescent="0.2">
      <c r="L2619" s="4">
        <v>2613</v>
      </c>
      <c r="M2619" s="21">
        <v>117972.68006454315</v>
      </c>
    </row>
    <row r="2620" spans="12:13" x14ac:dyDescent="0.2">
      <c r="L2620" s="4">
        <v>2614</v>
      </c>
      <c r="M2620" s="21">
        <v>110594.30192791362</v>
      </c>
    </row>
    <row r="2621" spans="12:13" x14ac:dyDescent="0.2">
      <c r="L2621" s="4">
        <v>2615</v>
      </c>
      <c r="M2621" s="21">
        <v>-296431.72961312748</v>
      </c>
    </row>
    <row r="2622" spans="12:13" x14ac:dyDescent="0.2">
      <c r="L2622" s="4">
        <v>2616</v>
      </c>
      <c r="M2622" s="21">
        <v>125880.28994782318</v>
      </c>
    </row>
    <row r="2623" spans="12:13" x14ac:dyDescent="0.2">
      <c r="L2623" s="4">
        <v>2617</v>
      </c>
      <c r="M2623" s="21">
        <v>92782.984463586792</v>
      </c>
    </row>
    <row r="2624" spans="12:13" x14ac:dyDescent="0.2">
      <c r="L2624" s="4">
        <v>2618</v>
      </c>
      <c r="M2624" s="21">
        <v>9393.3847025207651</v>
      </c>
    </row>
    <row r="2625" spans="12:13" x14ac:dyDescent="0.2">
      <c r="L2625" s="4">
        <v>2619</v>
      </c>
      <c r="M2625" s="21">
        <v>-40773.891121218345</v>
      </c>
    </row>
    <row r="2626" spans="12:13" x14ac:dyDescent="0.2">
      <c r="L2626" s="4">
        <v>2620</v>
      </c>
      <c r="M2626" s="21">
        <v>-304393.53854121373</v>
      </c>
    </row>
    <row r="2627" spans="12:13" x14ac:dyDescent="0.2">
      <c r="L2627" s="4">
        <v>2621</v>
      </c>
      <c r="M2627" s="21">
        <v>-191498.57199792977</v>
      </c>
    </row>
    <row r="2628" spans="12:13" x14ac:dyDescent="0.2">
      <c r="L2628" s="4">
        <v>2622</v>
      </c>
      <c r="M2628" s="21">
        <v>-87979.135112479897</v>
      </c>
    </row>
    <row r="2629" spans="12:13" x14ac:dyDescent="0.2">
      <c r="L2629" s="4">
        <v>2623</v>
      </c>
      <c r="M2629" s="21">
        <v>101129.0307040865</v>
      </c>
    </row>
    <row r="2630" spans="12:13" x14ac:dyDescent="0.2">
      <c r="L2630" s="4">
        <v>2624</v>
      </c>
      <c r="M2630" s="21">
        <v>35145.67554182469</v>
      </c>
    </row>
    <row r="2631" spans="12:13" x14ac:dyDescent="0.2">
      <c r="L2631" s="4">
        <v>2625</v>
      </c>
      <c r="M2631" s="21">
        <v>-69206.230665640949</v>
      </c>
    </row>
    <row r="2632" spans="12:13" x14ac:dyDescent="0.2">
      <c r="L2632" s="4">
        <v>2626</v>
      </c>
      <c r="M2632" s="21">
        <v>-206810.95224067208</v>
      </c>
    </row>
    <row r="2633" spans="12:13" x14ac:dyDescent="0.2">
      <c r="L2633" s="4">
        <v>2627</v>
      </c>
      <c r="M2633" s="21">
        <v>96071.551389276981</v>
      </c>
    </row>
    <row r="2634" spans="12:13" x14ac:dyDescent="0.2">
      <c r="L2634" s="4">
        <v>2628</v>
      </c>
      <c r="M2634" s="21">
        <v>-53757.629487689366</v>
      </c>
    </row>
    <row r="2635" spans="12:13" x14ac:dyDescent="0.2">
      <c r="L2635" s="4">
        <v>2629</v>
      </c>
      <c r="M2635" s="21">
        <v>39602.698885685415</v>
      </c>
    </row>
    <row r="2636" spans="12:13" x14ac:dyDescent="0.2">
      <c r="L2636" s="4">
        <v>2630</v>
      </c>
      <c r="M2636" s="21">
        <v>69757.934919122141</v>
      </c>
    </row>
    <row r="2637" spans="12:13" x14ac:dyDescent="0.2">
      <c r="L2637" s="4">
        <v>2631</v>
      </c>
      <c r="M2637" s="21">
        <v>74191.531390220945</v>
      </c>
    </row>
    <row r="2638" spans="12:13" x14ac:dyDescent="0.2">
      <c r="L2638" s="4">
        <v>2632</v>
      </c>
      <c r="M2638" s="21">
        <v>179090.58001308172</v>
      </c>
    </row>
    <row r="2639" spans="12:13" x14ac:dyDescent="0.2">
      <c r="L2639" s="4">
        <v>2633</v>
      </c>
      <c r="M2639" s="21">
        <v>82126.272963410302</v>
      </c>
    </row>
    <row r="2640" spans="12:13" x14ac:dyDescent="0.2">
      <c r="L2640" s="4">
        <v>2634</v>
      </c>
      <c r="M2640" s="21">
        <v>340797.61952887545</v>
      </c>
    </row>
    <row r="2641" spans="12:13" x14ac:dyDescent="0.2">
      <c r="L2641" s="4">
        <v>2635</v>
      </c>
      <c r="M2641" s="21">
        <v>-9719.279859241462</v>
      </c>
    </row>
    <row r="2642" spans="12:13" x14ac:dyDescent="0.2">
      <c r="L2642" s="4">
        <v>2636</v>
      </c>
      <c r="M2642" s="21">
        <v>-251269.1949796704</v>
      </c>
    </row>
    <row r="2643" spans="12:13" x14ac:dyDescent="0.2">
      <c r="L2643" s="4">
        <v>2637</v>
      </c>
      <c r="M2643" s="21">
        <v>-249548.45400730782</v>
      </c>
    </row>
    <row r="2644" spans="12:13" x14ac:dyDescent="0.2">
      <c r="L2644" s="4">
        <v>2638</v>
      </c>
      <c r="M2644" s="21">
        <v>-152081.60138119286</v>
      </c>
    </row>
    <row r="2645" spans="12:13" x14ac:dyDescent="0.2">
      <c r="L2645" s="4">
        <v>2639</v>
      </c>
      <c r="M2645" s="21">
        <v>-205792.91669689436</v>
      </c>
    </row>
    <row r="2646" spans="12:13" x14ac:dyDescent="0.2">
      <c r="L2646" s="4">
        <v>2640</v>
      </c>
      <c r="M2646" s="21">
        <v>110060.91281637223</v>
      </c>
    </row>
    <row r="2647" spans="12:13" x14ac:dyDescent="0.2">
      <c r="L2647" s="4">
        <v>2641</v>
      </c>
      <c r="M2647" s="21">
        <v>-291282.89276761352</v>
      </c>
    </row>
    <row r="2648" spans="12:13" x14ac:dyDescent="0.2">
      <c r="L2648" s="4">
        <v>2642</v>
      </c>
      <c r="M2648" s="21">
        <v>75248.99058167648</v>
      </c>
    </row>
    <row r="2649" spans="12:13" x14ac:dyDescent="0.2">
      <c r="L2649" s="4">
        <v>2643</v>
      </c>
      <c r="M2649" s="21">
        <v>20965.517359208432</v>
      </c>
    </row>
    <row r="2650" spans="12:13" x14ac:dyDescent="0.2">
      <c r="L2650" s="4">
        <v>2644</v>
      </c>
      <c r="M2650" s="21">
        <v>-191965.65019733313</v>
      </c>
    </row>
    <row r="2651" spans="12:13" x14ac:dyDescent="0.2">
      <c r="L2651" s="4">
        <v>2645</v>
      </c>
      <c r="M2651" s="21">
        <v>51883.043242058833</v>
      </c>
    </row>
    <row r="2652" spans="12:13" x14ac:dyDescent="0.2">
      <c r="L2652" s="4">
        <v>2646</v>
      </c>
      <c r="M2652" s="21">
        <v>121473.56215091739</v>
      </c>
    </row>
    <row r="2653" spans="12:13" x14ac:dyDescent="0.2">
      <c r="L2653" s="4">
        <v>2647</v>
      </c>
      <c r="M2653" s="21">
        <v>221161.23931935834</v>
      </c>
    </row>
    <row r="2654" spans="12:13" x14ac:dyDescent="0.2">
      <c r="L2654" s="4">
        <v>2648</v>
      </c>
      <c r="M2654" s="21">
        <v>43644.842838056677</v>
      </c>
    </row>
    <row r="2655" spans="12:13" x14ac:dyDescent="0.2">
      <c r="L2655" s="4">
        <v>2649</v>
      </c>
      <c r="M2655" s="21">
        <v>-51966.87663398654</v>
      </c>
    </row>
    <row r="2656" spans="12:13" x14ac:dyDescent="0.2">
      <c r="L2656" s="4">
        <v>2650</v>
      </c>
      <c r="M2656" s="21">
        <v>161450.90588506867</v>
      </c>
    </row>
    <row r="2657" spans="12:13" x14ac:dyDescent="0.2">
      <c r="L2657" s="4">
        <v>2651</v>
      </c>
      <c r="M2657" s="21">
        <v>3445.649131322396</v>
      </c>
    </row>
    <row r="2658" spans="12:13" x14ac:dyDescent="0.2">
      <c r="L2658" s="4">
        <v>2652</v>
      </c>
      <c r="M2658" s="21">
        <v>35368.346625319566</v>
      </c>
    </row>
    <row r="2659" spans="12:13" x14ac:dyDescent="0.2">
      <c r="L2659" s="4">
        <v>2653</v>
      </c>
      <c r="M2659" s="21">
        <v>97520.732521129772</v>
      </c>
    </row>
    <row r="2660" spans="12:13" x14ac:dyDescent="0.2">
      <c r="L2660" s="4">
        <v>2654</v>
      </c>
      <c r="M2660" s="21">
        <v>-147549.0242868794</v>
      </c>
    </row>
    <row r="2661" spans="12:13" x14ac:dyDescent="0.2">
      <c r="L2661" s="4">
        <v>2655</v>
      </c>
      <c r="M2661" s="21">
        <v>142042.31494355589</v>
      </c>
    </row>
    <row r="2662" spans="12:13" x14ac:dyDescent="0.2">
      <c r="L2662" s="4">
        <v>2656</v>
      </c>
      <c r="M2662" s="21">
        <v>220229.51854797438</v>
      </c>
    </row>
    <row r="2663" spans="12:13" x14ac:dyDescent="0.2">
      <c r="L2663" s="4">
        <v>2657</v>
      </c>
      <c r="M2663" s="21">
        <v>-111302.62166413675</v>
      </c>
    </row>
    <row r="2664" spans="12:13" x14ac:dyDescent="0.2">
      <c r="L2664" s="4">
        <v>2658</v>
      </c>
      <c r="M2664" s="21">
        <v>36115.710761683295</v>
      </c>
    </row>
    <row r="2665" spans="12:13" x14ac:dyDescent="0.2">
      <c r="L2665" s="4">
        <v>2659</v>
      </c>
      <c r="M2665" s="21">
        <v>-252493.61969781131</v>
      </c>
    </row>
    <row r="2666" spans="12:13" x14ac:dyDescent="0.2">
      <c r="L2666" s="4">
        <v>2660</v>
      </c>
      <c r="M2666" s="21">
        <v>-64866.406845091216</v>
      </c>
    </row>
    <row r="2667" spans="12:13" x14ac:dyDescent="0.2">
      <c r="L2667" s="4">
        <v>2661</v>
      </c>
      <c r="M2667" s="21">
        <v>-246579.98832501977</v>
      </c>
    </row>
    <row r="2668" spans="12:13" x14ac:dyDescent="0.2">
      <c r="L2668" s="4">
        <v>2662</v>
      </c>
      <c r="M2668" s="21">
        <v>83351.452200285188</v>
      </c>
    </row>
    <row r="2669" spans="12:13" x14ac:dyDescent="0.2">
      <c r="L2669" s="4">
        <v>2663</v>
      </c>
      <c r="M2669" s="21">
        <v>-207085.69422967354</v>
      </c>
    </row>
    <row r="2670" spans="12:13" x14ac:dyDescent="0.2">
      <c r="L2670" s="4">
        <v>2664</v>
      </c>
      <c r="M2670" s="21">
        <v>8144.5143050761835</v>
      </c>
    </row>
    <row r="2671" spans="12:13" x14ac:dyDescent="0.2">
      <c r="L2671" s="4">
        <v>2665</v>
      </c>
      <c r="M2671" s="21">
        <v>-3138.6645462058368</v>
      </c>
    </row>
    <row r="2672" spans="12:13" x14ac:dyDescent="0.2">
      <c r="L2672" s="4">
        <v>2666</v>
      </c>
      <c r="M2672" s="21">
        <v>237781.25181992078</v>
      </c>
    </row>
    <row r="2673" spans="12:13" x14ac:dyDescent="0.2">
      <c r="L2673" s="4">
        <v>2667</v>
      </c>
      <c r="M2673" s="21">
        <v>-147575.28503530292</v>
      </c>
    </row>
    <row r="2674" spans="12:13" x14ac:dyDescent="0.2">
      <c r="L2674" s="4">
        <v>2668</v>
      </c>
      <c r="M2674" s="21">
        <v>-108309.6163484381</v>
      </c>
    </row>
    <row r="2675" spans="12:13" x14ac:dyDescent="0.2">
      <c r="L2675" s="4">
        <v>2669</v>
      </c>
      <c r="M2675" s="21">
        <v>59711.089700989687</v>
      </c>
    </row>
    <row r="2676" spans="12:13" x14ac:dyDescent="0.2">
      <c r="L2676" s="4">
        <v>2670</v>
      </c>
      <c r="M2676" s="21">
        <v>-136350.40954241736</v>
      </c>
    </row>
    <row r="2677" spans="12:13" x14ac:dyDescent="0.2">
      <c r="L2677" s="4">
        <v>2671</v>
      </c>
      <c r="M2677" s="21">
        <v>-331175.68935027497</v>
      </c>
    </row>
    <row r="2678" spans="12:13" x14ac:dyDescent="0.2">
      <c r="L2678" s="4">
        <v>2672</v>
      </c>
      <c r="M2678" s="21">
        <v>-112412.89470418636</v>
      </c>
    </row>
    <row r="2679" spans="12:13" x14ac:dyDescent="0.2">
      <c r="L2679" s="4">
        <v>2673</v>
      </c>
      <c r="M2679" s="21">
        <v>22134.702708089113</v>
      </c>
    </row>
    <row r="2680" spans="12:13" x14ac:dyDescent="0.2">
      <c r="L2680" s="4">
        <v>2674</v>
      </c>
      <c r="M2680" s="21">
        <v>-404462.92512863613</v>
      </c>
    </row>
    <row r="2681" spans="12:13" x14ac:dyDescent="0.2">
      <c r="L2681" s="4">
        <v>2675</v>
      </c>
      <c r="M2681" s="21">
        <v>248161.66792469067</v>
      </c>
    </row>
    <row r="2682" spans="12:13" x14ac:dyDescent="0.2">
      <c r="L2682" s="4">
        <v>2676</v>
      </c>
      <c r="M2682" s="21">
        <v>65401.330447139713</v>
      </c>
    </row>
    <row r="2683" spans="12:13" x14ac:dyDescent="0.2">
      <c r="L2683" s="4">
        <v>2677</v>
      </c>
      <c r="M2683" s="21">
        <v>87480.816212457168</v>
      </c>
    </row>
    <row r="2684" spans="12:13" x14ac:dyDescent="0.2">
      <c r="L2684" s="4">
        <v>2678</v>
      </c>
      <c r="M2684" s="21">
        <v>-33164.116495476235</v>
      </c>
    </row>
    <row r="2685" spans="12:13" x14ac:dyDescent="0.2">
      <c r="L2685" s="4">
        <v>2679</v>
      </c>
      <c r="M2685" s="21">
        <v>81492.506680052436</v>
      </c>
    </row>
    <row r="2686" spans="12:13" x14ac:dyDescent="0.2">
      <c r="L2686" s="4">
        <v>2680</v>
      </c>
      <c r="M2686" s="21">
        <v>142185.61899150352</v>
      </c>
    </row>
    <row r="2687" spans="12:13" x14ac:dyDescent="0.2">
      <c r="L2687" s="4">
        <v>2681</v>
      </c>
      <c r="M2687" s="21">
        <v>-368588.39377665007</v>
      </c>
    </row>
    <row r="2688" spans="12:13" x14ac:dyDescent="0.2">
      <c r="L2688" s="4">
        <v>2682</v>
      </c>
      <c r="M2688" s="21">
        <v>-62215.330761855497</v>
      </c>
    </row>
    <row r="2689" spans="12:13" x14ac:dyDescent="0.2">
      <c r="L2689" s="4">
        <v>2683</v>
      </c>
      <c r="M2689" s="21">
        <v>-163208.22782107157</v>
      </c>
    </row>
    <row r="2690" spans="12:13" x14ac:dyDescent="0.2">
      <c r="L2690" s="4">
        <v>2684</v>
      </c>
      <c r="M2690" s="21">
        <v>-89484.586530507106</v>
      </c>
    </row>
    <row r="2691" spans="12:13" x14ac:dyDescent="0.2">
      <c r="L2691" s="4">
        <v>2685</v>
      </c>
      <c r="M2691" s="21">
        <v>42776.307534962398</v>
      </c>
    </row>
    <row r="2692" spans="12:13" x14ac:dyDescent="0.2">
      <c r="L2692" s="4">
        <v>2686</v>
      </c>
      <c r="M2692" s="21">
        <v>191174.71708487329</v>
      </c>
    </row>
    <row r="2693" spans="12:13" x14ac:dyDescent="0.2">
      <c r="L2693" s="4">
        <v>2687</v>
      </c>
      <c r="M2693" s="21">
        <v>104429.83596687208</v>
      </c>
    </row>
    <row r="2694" spans="12:13" x14ac:dyDescent="0.2">
      <c r="L2694" s="4">
        <v>2688</v>
      </c>
      <c r="M2694" s="21">
        <v>-62627.889829005842</v>
      </c>
    </row>
    <row r="2695" spans="12:13" x14ac:dyDescent="0.2">
      <c r="L2695" s="4">
        <v>2689</v>
      </c>
      <c r="M2695" s="21">
        <v>-39560.329978010879</v>
      </c>
    </row>
    <row r="2696" spans="12:13" x14ac:dyDescent="0.2">
      <c r="L2696" s="4">
        <v>2690</v>
      </c>
      <c r="M2696" s="21">
        <v>218444.8346589595</v>
      </c>
    </row>
    <row r="2697" spans="12:13" x14ac:dyDescent="0.2">
      <c r="L2697" s="4">
        <v>2691</v>
      </c>
      <c r="M2697" s="21">
        <v>-141541.90398636513</v>
      </c>
    </row>
    <row r="2698" spans="12:13" x14ac:dyDescent="0.2">
      <c r="L2698" s="4">
        <v>2692</v>
      </c>
      <c r="M2698" s="21">
        <v>-120653.13960445892</v>
      </c>
    </row>
    <row r="2699" spans="12:13" x14ac:dyDescent="0.2">
      <c r="L2699" s="4">
        <v>2693</v>
      </c>
      <c r="M2699" s="21">
        <v>-280143.18722355692</v>
      </c>
    </row>
    <row r="2700" spans="12:13" x14ac:dyDescent="0.2">
      <c r="L2700" s="4">
        <v>2694</v>
      </c>
      <c r="M2700" s="21">
        <v>92061.281990055053</v>
      </c>
    </row>
    <row r="2701" spans="12:13" x14ac:dyDescent="0.2">
      <c r="L2701" s="4">
        <v>2695</v>
      </c>
      <c r="M2701" s="21">
        <v>-28274.218427524116</v>
      </c>
    </row>
    <row r="2702" spans="12:13" x14ac:dyDescent="0.2">
      <c r="L2702" s="4">
        <v>2696</v>
      </c>
      <c r="M2702" s="21">
        <v>-119247.33926538951</v>
      </c>
    </row>
    <row r="2703" spans="12:13" x14ac:dyDescent="0.2">
      <c r="L2703" s="4">
        <v>2697</v>
      </c>
      <c r="M2703" s="21">
        <v>-207113.48088557328</v>
      </c>
    </row>
    <row r="2704" spans="12:13" x14ac:dyDescent="0.2">
      <c r="L2704" s="4">
        <v>2698</v>
      </c>
      <c r="M2704" s="21">
        <v>-204795.42049102538</v>
      </c>
    </row>
    <row r="2705" spans="12:13" x14ac:dyDescent="0.2">
      <c r="L2705" s="4">
        <v>2699</v>
      </c>
      <c r="M2705" s="21">
        <v>119766.1302476975</v>
      </c>
    </row>
    <row r="2706" spans="12:13" x14ac:dyDescent="0.2">
      <c r="L2706" s="4">
        <v>2700</v>
      </c>
      <c r="M2706" s="21">
        <v>-43165.122592835833</v>
      </c>
    </row>
    <row r="2707" spans="12:13" x14ac:dyDescent="0.2">
      <c r="L2707" s="4">
        <v>2701</v>
      </c>
      <c r="M2707" s="21">
        <v>22067.118943239097</v>
      </c>
    </row>
    <row r="2708" spans="12:13" x14ac:dyDescent="0.2">
      <c r="L2708" s="4">
        <v>2702</v>
      </c>
      <c r="M2708" s="21">
        <v>123813.70848712028</v>
      </c>
    </row>
    <row r="2709" spans="12:13" x14ac:dyDescent="0.2">
      <c r="L2709" s="4">
        <v>2703</v>
      </c>
      <c r="M2709" s="21">
        <v>-54471.537633408865</v>
      </c>
    </row>
    <row r="2710" spans="12:13" x14ac:dyDescent="0.2">
      <c r="L2710" s="4">
        <v>2704</v>
      </c>
      <c r="M2710" s="21">
        <v>184679.02425529272</v>
      </c>
    </row>
    <row r="2711" spans="12:13" x14ac:dyDescent="0.2">
      <c r="L2711" s="4">
        <v>2705</v>
      </c>
      <c r="M2711" s="21">
        <v>93246.744475029001</v>
      </c>
    </row>
    <row r="2712" spans="12:13" x14ac:dyDescent="0.2">
      <c r="L2712" s="4">
        <v>2706</v>
      </c>
      <c r="M2712" s="21">
        <v>101519.21161488388</v>
      </c>
    </row>
    <row r="2713" spans="12:13" x14ac:dyDescent="0.2">
      <c r="L2713" s="4">
        <v>2707</v>
      </c>
      <c r="M2713" s="21">
        <v>115742.93997074818</v>
      </c>
    </row>
    <row r="2714" spans="12:13" x14ac:dyDescent="0.2">
      <c r="L2714" s="4">
        <v>2708</v>
      </c>
      <c r="M2714" s="21">
        <v>168604.62177032069</v>
      </c>
    </row>
    <row r="2715" spans="12:13" x14ac:dyDescent="0.2">
      <c r="L2715" s="4">
        <v>2709</v>
      </c>
      <c r="M2715" s="21">
        <v>-258532.22773741634</v>
      </c>
    </row>
    <row r="2716" spans="12:13" x14ac:dyDescent="0.2">
      <c r="L2716" s="4">
        <v>2710</v>
      </c>
      <c r="M2716" s="21">
        <v>-161095.60998749701</v>
      </c>
    </row>
    <row r="2717" spans="12:13" x14ac:dyDescent="0.2">
      <c r="L2717" s="4">
        <v>2711</v>
      </c>
      <c r="M2717" s="21">
        <v>-85564.549578377919</v>
      </c>
    </row>
    <row r="2718" spans="12:13" x14ac:dyDescent="0.2">
      <c r="L2718" s="4">
        <v>2712</v>
      </c>
      <c r="M2718" s="21">
        <v>-129886.31923244768</v>
      </c>
    </row>
    <row r="2719" spans="12:13" x14ac:dyDescent="0.2">
      <c r="L2719" s="4">
        <v>2713</v>
      </c>
      <c r="M2719" s="21">
        <v>33043.860731730645</v>
      </c>
    </row>
    <row r="2720" spans="12:13" x14ac:dyDescent="0.2">
      <c r="L2720" s="4">
        <v>2714</v>
      </c>
      <c r="M2720" s="21">
        <v>-95382.385959846753</v>
      </c>
    </row>
    <row r="2721" spans="12:13" x14ac:dyDescent="0.2">
      <c r="L2721" s="4">
        <v>2715</v>
      </c>
      <c r="M2721" s="21">
        <v>2355.2419479363016</v>
      </c>
    </row>
    <row r="2722" spans="12:13" x14ac:dyDescent="0.2">
      <c r="L2722" s="4">
        <v>2716</v>
      </c>
      <c r="M2722" s="21">
        <v>161730.68350688284</v>
      </c>
    </row>
    <row r="2723" spans="12:13" x14ac:dyDescent="0.2">
      <c r="L2723" s="4">
        <v>2717</v>
      </c>
      <c r="M2723" s="21">
        <v>-298475.0383352518</v>
      </c>
    </row>
    <row r="2724" spans="12:13" x14ac:dyDescent="0.2">
      <c r="L2724" s="4">
        <v>2718</v>
      </c>
      <c r="M2724" s="21">
        <v>70110.281839896401</v>
      </c>
    </row>
    <row r="2725" spans="12:13" x14ac:dyDescent="0.2">
      <c r="L2725" s="4">
        <v>2719</v>
      </c>
      <c r="M2725" s="21">
        <v>27719.329501569795</v>
      </c>
    </row>
    <row r="2726" spans="12:13" x14ac:dyDescent="0.2">
      <c r="L2726" s="4">
        <v>2720</v>
      </c>
      <c r="M2726" s="21">
        <v>-117947.25303296524</v>
      </c>
    </row>
    <row r="2727" spans="12:13" x14ac:dyDescent="0.2">
      <c r="L2727" s="4">
        <v>2721</v>
      </c>
      <c r="M2727" s="21">
        <v>33259.831663096178</v>
      </c>
    </row>
    <row r="2728" spans="12:13" x14ac:dyDescent="0.2">
      <c r="L2728" s="4">
        <v>2722</v>
      </c>
      <c r="M2728" s="21">
        <v>-43566.60126466387</v>
      </c>
    </row>
    <row r="2729" spans="12:13" x14ac:dyDescent="0.2">
      <c r="L2729" s="4">
        <v>2723</v>
      </c>
      <c r="M2729" s="21">
        <v>110670.58560983275</v>
      </c>
    </row>
    <row r="2730" spans="12:13" x14ac:dyDescent="0.2">
      <c r="L2730" s="4">
        <v>2724</v>
      </c>
      <c r="M2730" s="21">
        <v>118002.86590686144</v>
      </c>
    </row>
    <row r="2731" spans="12:13" x14ac:dyDescent="0.2">
      <c r="L2731" s="4">
        <v>2725</v>
      </c>
      <c r="M2731" s="21">
        <v>-34968.844166756884</v>
      </c>
    </row>
    <row r="2732" spans="12:13" x14ac:dyDescent="0.2">
      <c r="L2732" s="4">
        <v>2726</v>
      </c>
      <c r="M2732" s="21">
        <v>-245028.95113170298</v>
      </c>
    </row>
    <row r="2733" spans="12:13" x14ac:dyDescent="0.2">
      <c r="L2733" s="4">
        <v>2727</v>
      </c>
      <c r="M2733" s="21">
        <v>-59669.119883833715</v>
      </c>
    </row>
    <row r="2734" spans="12:13" x14ac:dyDescent="0.2">
      <c r="L2734" s="4">
        <v>2728</v>
      </c>
      <c r="M2734" s="21">
        <v>244438.88506056959</v>
      </c>
    </row>
    <row r="2735" spans="12:13" x14ac:dyDescent="0.2">
      <c r="L2735" s="4">
        <v>2729</v>
      </c>
      <c r="M2735" s="21">
        <v>18683.234778572456</v>
      </c>
    </row>
    <row r="2736" spans="12:13" x14ac:dyDescent="0.2">
      <c r="L2736" s="4">
        <v>2730</v>
      </c>
      <c r="M2736" s="21">
        <v>226449.68976980911</v>
      </c>
    </row>
    <row r="2737" spans="12:13" x14ac:dyDescent="0.2">
      <c r="L2737" s="4">
        <v>2731</v>
      </c>
      <c r="M2737" s="21">
        <v>-48539.817594918291</v>
      </c>
    </row>
    <row r="2738" spans="12:13" x14ac:dyDescent="0.2">
      <c r="L2738" s="4">
        <v>2732</v>
      </c>
      <c r="M2738" s="21">
        <v>275525.89357005898</v>
      </c>
    </row>
    <row r="2739" spans="12:13" x14ac:dyDescent="0.2">
      <c r="L2739" s="4">
        <v>2733</v>
      </c>
      <c r="M2739" s="21">
        <v>26957.573580396682</v>
      </c>
    </row>
    <row r="2740" spans="12:13" x14ac:dyDescent="0.2">
      <c r="L2740" s="4">
        <v>2734</v>
      </c>
      <c r="M2740" s="21">
        <v>181328.00251228962</v>
      </c>
    </row>
    <row r="2741" spans="12:13" x14ac:dyDescent="0.2">
      <c r="L2741" s="4">
        <v>2735</v>
      </c>
      <c r="M2741" s="21">
        <v>-216892.12000427797</v>
      </c>
    </row>
    <row r="2742" spans="12:13" x14ac:dyDescent="0.2">
      <c r="L2742" s="4">
        <v>2736</v>
      </c>
      <c r="M2742" s="21">
        <v>-153299.04166578187</v>
      </c>
    </row>
    <row r="2743" spans="12:13" x14ac:dyDescent="0.2">
      <c r="L2743" s="4">
        <v>2737</v>
      </c>
      <c r="M2743" s="21">
        <v>-45690.06532538445</v>
      </c>
    </row>
    <row r="2744" spans="12:13" x14ac:dyDescent="0.2">
      <c r="L2744" s="4">
        <v>2738</v>
      </c>
      <c r="M2744" s="21">
        <v>-48823.495516798837</v>
      </c>
    </row>
    <row r="2745" spans="12:13" x14ac:dyDescent="0.2">
      <c r="L2745" s="4">
        <v>2739</v>
      </c>
      <c r="M2745" s="21">
        <v>-152976.71391147998</v>
      </c>
    </row>
    <row r="2746" spans="12:13" x14ac:dyDescent="0.2">
      <c r="L2746" s="4">
        <v>2740</v>
      </c>
      <c r="M2746" s="21">
        <v>-77350.021740637138</v>
      </c>
    </row>
    <row r="2747" spans="12:13" x14ac:dyDescent="0.2">
      <c r="L2747" s="4">
        <v>2741</v>
      </c>
      <c r="M2747" s="21">
        <v>-36053.659329579648</v>
      </c>
    </row>
    <row r="2748" spans="12:13" x14ac:dyDescent="0.2">
      <c r="L2748" s="4">
        <v>2742</v>
      </c>
      <c r="M2748" s="21">
        <v>179586.51587246545</v>
      </c>
    </row>
    <row r="2749" spans="12:13" x14ac:dyDescent="0.2">
      <c r="L2749" s="4">
        <v>2743</v>
      </c>
      <c r="M2749" s="21">
        <v>-273040.38847996714</v>
      </c>
    </row>
    <row r="2750" spans="12:13" x14ac:dyDescent="0.2">
      <c r="L2750" s="4">
        <v>2744</v>
      </c>
      <c r="M2750" s="21">
        <v>-87271.512339589317</v>
      </c>
    </row>
    <row r="2751" spans="12:13" x14ac:dyDescent="0.2">
      <c r="L2751" s="4">
        <v>2745</v>
      </c>
      <c r="M2751" s="21">
        <v>14113.897362703807</v>
      </c>
    </row>
    <row r="2752" spans="12:13" x14ac:dyDescent="0.2">
      <c r="L2752" s="4">
        <v>2746</v>
      </c>
      <c r="M2752" s="21">
        <v>-32863.189747840181</v>
      </c>
    </row>
    <row r="2753" spans="12:13" x14ac:dyDescent="0.2">
      <c r="L2753" s="4">
        <v>2747</v>
      </c>
      <c r="M2753" s="21">
        <v>131274.68926730534</v>
      </c>
    </row>
    <row r="2754" spans="12:13" x14ac:dyDescent="0.2">
      <c r="L2754" s="4">
        <v>2748</v>
      </c>
      <c r="M2754" s="21">
        <v>117325.37193790448</v>
      </c>
    </row>
    <row r="2755" spans="12:13" x14ac:dyDescent="0.2">
      <c r="L2755" s="4">
        <v>2749</v>
      </c>
      <c r="M2755" s="21">
        <v>55610.566371490742</v>
      </c>
    </row>
    <row r="2756" spans="12:13" x14ac:dyDescent="0.2">
      <c r="L2756" s="4">
        <v>2750</v>
      </c>
      <c r="M2756" s="21">
        <v>-70674.883260751783</v>
      </c>
    </row>
    <row r="2757" spans="12:13" x14ac:dyDescent="0.2">
      <c r="L2757" s="4">
        <v>2751</v>
      </c>
      <c r="M2757" s="21">
        <v>137909.98182040601</v>
      </c>
    </row>
    <row r="2758" spans="12:13" x14ac:dyDescent="0.2">
      <c r="L2758" s="4">
        <v>2752</v>
      </c>
      <c r="M2758" s="21">
        <v>133972.18507518945</v>
      </c>
    </row>
    <row r="2759" spans="12:13" x14ac:dyDescent="0.2">
      <c r="L2759" s="4">
        <v>2753</v>
      </c>
      <c r="M2759" s="21">
        <v>59097.161285723996</v>
      </c>
    </row>
    <row r="2760" spans="12:13" x14ac:dyDescent="0.2">
      <c r="L2760" s="4">
        <v>2754</v>
      </c>
      <c r="M2760" s="21">
        <v>-98931.096575308286</v>
      </c>
    </row>
    <row r="2761" spans="12:13" x14ac:dyDescent="0.2">
      <c r="L2761" s="4">
        <v>2755</v>
      </c>
      <c r="M2761" s="21">
        <v>-137414.89853593367</v>
      </c>
    </row>
    <row r="2762" spans="12:13" x14ac:dyDescent="0.2">
      <c r="L2762" s="4">
        <v>2756</v>
      </c>
      <c r="M2762" s="21">
        <v>-34949.599975494493</v>
      </c>
    </row>
    <row r="2763" spans="12:13" x14ac:dyDescent="0.2">
      <c r="L2763" s="4">
        <v>2757</v>
      </c>
      <c r="M2763" s="21">
        <v>-17226.960474486259</v>
      </c>
    </row>
    <row r="2764" spans="12:13" x14ac:dyDescent="0.2">
      <c r="L2764" s="4">
        <v>2758</v>
      </c>
      <c r="M2764" s="21">
        <v>299111.44651196175</v>
      </c>
    </row>
    <row r="2765" spans="12:13" x14ac:dyDescent="0.2">
      <c r="L2765" s="4">
        <v>2759</v>
      </c>
      <c r="M2765" s="21">
        <v>-170898.64246959059</v>
      </c>
    </row>
    <row r="2766" spans="12:13" x14ac:dyDescent="0.2">
      <c r="L2766" s="4">
        <v>2760</v>
      </c>
      <c r="M2766" s="21">
        <v>23586.766065633274</v>
      </c>
    </row>
    <row r="2767" spans="12:13" x14ac:dyDescent="0.2">
      <c r="L2767" s="4">
        <v>2761</v>
      </c>
      <c r="M2767" s="21">
        <v>-229387.95665729456</v>
      </c>
    </row>
    <row r="2768" spans="12:13" x14ac:dyDescent="0.2">
      <c r="L2768" s="4">
        <v>2762</v>
      </c>
      <c r="M2768" s="21">
        <v>36996.611899257317</v>
      </c>
    </row>
    <row r="2769" spans="12:13" x14ac:dyDescent="0.2">
      <c r="L2769" s="4">
        <v>2763</v>
      </c>
      <c r="M2769" s="21">
        <v>157215.95918988451</v>
      </c>
    </row>
    <row r="2770" spans="12:13" x14ac:dyDescent="0.2">
      <c r="L2770" s="4">
        <v>2764</v>
      </c>
      <c r="M2770" s="21">
        <v>175529.90303671878</v>
      </c>
    </row>
    <row r="2771" spans="12:13" x14ac:dyDescent="0.2">
      <c r="L2771" s="4">
        <v>2765</v>
      </c>
      <c r="M2771" s="21">
        <v>47368.270315944421</v>
      </c>
    </row>
    <row r="2772" spans="12:13" x14ac:dyDescent="0.2">
      <c r="L2772" s="4">
        <v>2766</v>
      </c>
      <c r="M2772" s="21">
        <v>116816.59356061468</v>
      </c>
    </row>
    <row r="2773" spans="12:13" x14ac:dyDescent="0.2">
      <c r="L2773" s="4">
        <v>2767</v>
      </c>
      <c r="M2773" s="21">
        <v>188622.89243914114</v>
      </c>
    </row>
    <row r="2774" spans="12:13" x14ac:dyDescent="0.2">
      <c r="L2774" s="4">
        <v>2768</v>
      </c>
      <c r="M2774" s="21">
        <v>-48211.542304949209</v>
      </c>
    </row>
    <row r="2775" spans="12:13" x14ac:dyDescent="0.2">
      <c r="L2775" s="4">
        <v>2769</v>
      </c>
      <c r="M2775" s="21">
        <v>-28154.150747414591</v>
      </c>
    </row>
    <row r="2776" spans="12:13" x14ac:dyDescent="0.2">
      <c r="L2776" s="4">
        <v>2770</v>
      </c>
      <c r="M2776" s="21">
        <v>182665.64378826582</v>
      </c>
    </row>
    <row r="2777" spans="12:13" x14ac:dyDescent="0.2">
      <c r="L2777" s="4">
        <v>2771</v>
      </c>
      <c r="M2777" s="21">
        <v>-339790.01073269482</v>
      </c>
    </row>
    <row r="2778" spans="12:13" x14ac:dyDescent="0.2">
      <c r="L2778" s="4">
        <v>2772</v>
      </c>
      <c r="M2778" s="21">
        <v>130955.96036558098</v>
      </c>
    </row>
    <row r="2779" spans="12:13" x14ac:dyDescent="0.2">
      <c r="L2779" s="4">
        <v>2773</v>
      </c>
      <c r="M2779" s="21">
        <v>53465.925622133887</v>
      </c>
    </row>
    <row r="2780" spans="12:13" x14ac:dyDescent="0.2">
      <c r="L2780" s="4">
        <v>2774</v>
      </c>
      <c r="M2780" s="21">
        <v>-213530.34013049988</v>
      </c>
    </row>
    <row r="2781" spans="12:13" x14ac:dyDescent="0.2">
      <c r="L2781" s="4">
        <v>2775</v>
      </c>
      <c r="M2781" s="21">
        <v>233275.73526012493</v>
      </c>
    </row>
    <row r="2782" spans="12:13" x14ac:dyDescent="0.2">
      <c r="L2782" s="4">
        <v>2776</v>
      </c>
      <c r="M2782" s="21">
        <v>-70699.889637157859</v>
      </c>
    </row>
    <row r="2783" spans="12:13" x14ac:dyDescent="0.2">
      <c r="L2783" s="4">
        <v>2777</v>
      </c>
      <c r="M2783" s="21">
        <v>-95967.340504257387</v>
      </c>
    </row>
    <row r="2784" spans="12:13" x14ac:dyDescent="0.2">
      <c r="L2784" s="4">
        <v>2778</v>
      </c>
      <c r="M2784" s="21">
        <v>249967.8004262039</v>
      </c>
    </row>
    <row r="2785" spans="12:13" x14ac:dyDescent="0.2">
      <c r="L2785" s="4">
        <v>2779</v>
      </c>
      <c r="M2785" s="21">
        <v>-89811.033123003857</v>
      </c>
    </row>
    <row r="2786" spans="12:13" x14ac:dyDescent="0.2">
      <c r="L2786" s="4">
        <v>2780</v>
      </c>
      <c r="M2786" s="21">
        <v>61820.399675119523</v>
      </c>
    </row>
    <row r="2787" spans="12:13" x14ac:dyDescent="0.2">
      <c r="L2787" s="4">
        <v>2781</v>
      </c>
      <c r="M2787" s="21">
        <v>-62624.058732491336</v>
      </c>
    </row>
    <row r="2788" spans="12:13" x14ac:dyDescent="0.2">
      <c r="L2788" s="4">
        <v>2782</v>
      </c>
      <c r="M2788" s="21">
        <v>20568.676168142614</v>
      </c>
    </row>
    <row r="2789" spans="12:13" x14ac:dyDescent="0.2">
      <c r="L2789" s="4">
        <v>2783</v>
      </c>
      <c r="M2789" s="21">
        <v>24387.791532204195</v>
      </c>
    </row>
    <row r="2790" spans="12:13" x14ac:dyDescent="0.2">
      <c r="L2790" s="4">
        <v>2784</v>
      </c>
      <c r="M2790" s="21">
        <v>-45326.073924352488</v>
      </c>
    </row>
    <row r="2791" spans="12:13" x14ac:dyDescent="0.2">
      <c r="L2791" s="4">
        <v>2785</v>
      </c>
      <c r="M2791" s="21">
        <v>156011.9222884019</v>
      </c>
    </row>
    <row r="2792" spans="12:13" x14ac:dyDescent="0.2">
      <c r="L2792" s="4">
        <v>2786</v>
      </c>
      <c r="M2792" s="21">
        <v>-170709.81524481828</v>
      </c>
    </row>
    <row r="2793" spans="12:13" x14ac:dyDescent="0.2">
      <c r="L2793" s="4">
        <v>2787</v>
      </c>
      <c r="M2793" s="21">
        <v>239351.87074808055</v>
      </c>
    </row>
    <row r="2794" spans="12:13" x14ac:dyDescent="0.2">
      <c r="L2794" s="4">
        <v>2788</v>
      </c>
      <c r="M2794" s="21">
        <v>3898.6078311717138</v>
      </c>
    </row>
    <row r="2795" spans="12:13" x14ac:dyDescent="0.2">
      <c r="L2795" s="4">
        <v>2789</v>
      </c>
      <c r="M2795" s="21">
        <v>-110313.04040340411</v>
      </c>
    </row>
    <row r="2796" spans="12:13" x14ac:dyDescent="0.2">
      <c r="L2796" s="4">
        <v>2790</v>
      </c>
      <c r="M2796" s="21">
        <v>148913.12827957925</v>
      </c>
    </row>
    <row r="2797" spans="12:13" x14ac:dyDescent="0.2">
      <c r="L2797" s="4">
        <v>2791</v>
      </c>
      <c r="M2797" s="21">
        <v>98630.364005714509</v>
      </c>
    </row>
    <row r="2798" spans="12:13" x14ac:dyDescent="0.2">
      <c r="L2798" s="4">
        <v>2792</v>
      </c>
      <c r="M2798" s="21">
        <v>-192753.63769009206</v>
      </c>
    </row>
    <row r="2799" spans="12:13" x14ac:dyDescent="0.2">
      <c r="L2799" s="4">
        <v>2793</v>
      </c>
      <c r="M2799" s="21">
        <v>151009.72512092249</v>
      </c>
    </row>
    <row r="2800" spans="12:13" x14ac:dyDescent="0.2">
      <c r="L2800" s="4">
        <v>2794</v>
      </c>
      <c r="M2800" s="21">
        <v>-21589.379334584053</v>
      </c>
    </row>
    <row r="2801" spans="12:13" x14ac:dyDescent="0.2">
      <c r="L2801" s="4">
        <v>2795</v>
      </c>
      <c r="M2801" s="21">
        <v>-82408.532635455515</v>
      </c>
    </row>
    <row r="2802" spans="12:13" x14ac:dyDescent="0.2">
      <c r="L2802" s="4">
        <v>2796</v>
      </c>
      <c r="M2802" s="21">
        <v>-233715.06829979675</v>
      </c>
    </row>
    <row r="2803" spans="12:13" x14ac:dyDescent="0.2">
      <c r="L2803" s="4">
        <v>2797</v>
      </c>
      <c r="M2803" s="21">
        <v>-9148.3649216968624</v>
      </c>
    </row>
    <row r="2804" spans="12:13" x14ac:dyDescent="0.2">
      <c r="L2804" s="4">
        <v>2798</v>
      </c>
      <c r="M2804" s="21">
        <v>-102857.10238610886</v>
      </c>
    </row>
    <row r="2805" spans="12:13" x14ac:dyDescent="0.2">
      <c r="L2805" s="4">
        <v>2799</v>
      </c>
      <c r="M2805" s="21">
        <v>18223.906294009706</v>
      </c>
    </row>
    <row r="2806" spans="12:13" x14ac:dyDescent="0.2">
      <c r="L2806" s="4">
        <v>2800</v>
      </c>
      <c r="M2806" s="21">
        <v>274334.86395361705</v>
      </c>
    </row>
    <row r="2807" spans="12:13" x14ac:dyDescent="0.2">
      <c r="L2807" s="4">
        <v>2801</v>
      </c>
      <c r="M2807" s="21">
        <v>74632.405448427104</v>
      </c>
    </row>
    <row r="2808" spans="12:13" x14ac:dyDescent="0.2">
      <c r="L2808" s="4">
        <v>2802</v>
      </c>
      <c r="M2808" s="21">
        <v>104518.54727347541</v>
      </c>
    </row>
    <row r="2809" spans="12:13" x14ac:dyDescent="0.2">
      <c r="L2809" s="4">
        <v>2803</v>
      </c>
      <c r="M2809" s="21">
        <v>-112788.53377552176</v>
      </c>
    </row>
    <row r="2810" spans="12:13" x14ac:dyDescent="0.2">
      <c r="L2810" s="4">
        <v>2804</v>
      </c>
      <c r="M2810" s="21">
        <v>365105.7196347618</v>
      </c>
    </row>
    <row r="2811" spans="12:13" x14ac:dyDescent="0.2">
      <c r="L2811" s="4">
        <v>2805</v>
      </c>
      <c r="M2811" s="21">
        <v>1437.7617550798459</v>
      </c>
    </row>
    <row r="2812" spans="12:13" x14ac:dyDescent="0.2">
      <c r="L2812" s="4">
        <v>2806</v>
      </c>
      <c r="M2812" s="21">
        <v>14351.517186373618</v>
      </c>
    </row>
    <row r="2813" spans="12:13" x14ac:dyDescent="0.2">
      <c r="L2813" s="4">
        <v>2807</v>
      </c>
      <c r="M2813" s="21">
        <v>73510.770329275634</v>
      </c>
    </row>
    <row r="2814" spans="12:13" x14ac:dyDescent="0.2">
      <c r="L2814" s="4">
        <v>2808</v>
      </c>
      <c r="M2814" s="21">
        <v>210040.42182727924</v>
      </c>
    </row>
    <row r="2815" spans="12:13" x14ac:dyDescent="0.2">
      <c r="L2815" s="4">
        <v>2809</v>
      </c>
      <c r="M2815" s="21">
        <v>-240377.16696496075</v>
      </c>
    </row>
    <row r="2816" spans="12:13" x14ac:dyDescent="0.2">
      <c r="L2816" s="4">
        <v>2810</v>
      </c>
      <c r="M2816" s="21">
        <v>-42501.613767846997</v>
      </c>
    </row>
    <row r="2817" spans="12:13" x14ac:dyDescent="0.2">
      <c r="L2817" s="4">
        <v>2811</v>
      </c>
      <c r="M2817" s="21">
        <v>141826.35472832876</v>
      </c>
    </row>
    <row r="2818" spans="12:13" x14ac:dyDescent="0.2">
      <c r="L2818" s="4">
        <v>2812</v>
      </c>
      <c r="M2818" s="21">
        <v>37579.178069095971</v>
      </c>
    </row>
    <row r="2819" spans="12:13" x14ac:dyDescent="0.2">
      <c r="L2819" s="4">
        <v>2813</v>
      </c>
      <c r="M2819" s="21">
        <v>142653.21236750882</v>
      </c>
    </row>
    <row r="2820" spans="12:13" x14ac:dyDescent="0.2">
      <c r="L2820" s="4">
        <v>2814</v>
      </c>
      <c r="M2820" s="21">
        <v>-232919.56674528451</v>
      </c>
    </row>
    <row r="2821" spans="12:13" x14ac:dyDescent="0.2">
      <c r="L2821" s="4">
        <v>2815</v>
      </c>
      <c r="M2821" s="21">
        <v>-137234.63027517521</v>
      </c>
    </row>
    <row r="2822" spans="12:13" x14ac:dyDescent="0.2">
      <c r="L2822" s="4">
        <v>2816</v>
      </c>
      <c r="M2822" s="21">
        <v>21150.049930837704</v>
      </c>
    </row>
    <row r="2823" spans="12:13" x14ac:dyDescent="0.2">
      <c r="L2823" s="4">
        <v>2817</v>
      </c>
      <c r="M2823" s="21">
        <v>-169239.60951495444</v>
      </c>
    </row>
    <row r="2824" spans="12:13" x14ac:dyDescent="0.2">
      <c r="L2824" s="4">
        <v>2818</v>
      </c>
      <c r="M2824" s="21">
        <v>-224427.70924019098</v>
      </c>
    </row>
    <row r="2825" spans="12:13" x14ac:dyDescent="0.2">
      <c r="L2825" s="4">
        <v>2819</v>
      </c>
      <c r="M2825" s="21">
        <v>-313649.34917803336</v>
      </c>
    </row>
    <row r="2826" spans="12:13" x14ac:dyDescent="0.2">
      <c r="L2826" s="4">
        <v>2820</v>
      </c>
      <c r="M2826" s="21">
        <v>130479.19647709699</v>
      </c>
    </row>
    <row r="2827" spans="12:13" x14ac:dyDescent="0.2">
      <c r="L2827" s="4">
        <v>2821</v>
      </c>
      <c r="M2827" s="21">
        <v>-69983.460672812522</v>
      </c>
    </row>
    <row r="2828" spans="12:13" x14ac:dyDescent="0.2">
      <c r="L2828" s="4">
        <v>2822</v>
      </c>
      <c r="M2828" s="21">
        <v>154609.2966494186</v>
      </c>
    </row>
    <row r="2829" spans="12:13" x14ac:dyDescent="0.2">
      <c r="L2829" s="4">
        <v>2823</v>
      </c>
      <c r="M2829" s="21">
        <v>-373849.20847987855</v>
      </c>
    </row>
    <row r="2830" spans="12:13" x14ac:dyDescent="0.2">
      <c r="L2830" s="4">
        <v>2824</v>
      </c>
      <c r="M2830" s="21">
        <v>-64287.847199937358</v>
      </c>
    </row>
    <row r="2831" spans="12:13" x14ac:dyDescent="0.2">
      <c r="L2831" s="4">
        <v>2825</v>
      </c>
      <c r="M2831" s="21">
        <v>2339.9775034541381</v>
      </c>
    </row>
    <row r="2832" spans="12:13" x14ac:dyDescent="0.2">
      <c r="L2832" s="4">
        <v>2826</v>
      </c>
      <c r="M2832" s="21">
        <v>327115.34569947893</v>
      </c>
    </row>
    <row r="2833" spans="12:13" x14ac:dyDescent="0.2">
      <c r="L2833" s="4">
        <v>2827</v>
      </c>
      <c r="M2833" s="21">
        <v>-74668.999085001633</v>
      </c>
    </row>
    <row r="2834" spans="12:13" x14ac:dyDescent="0.2">
      <c r="L2834" s="4">
        <v>2828</v>
      </c>
      <c r="M2834" s="21">
        <v>19312.999568784522</v>
      </c>
    </row>
    <row r="2835" spans="12:13" x14ac:dyDescent="0.2">
      <c r="L2835" s="4">
        <v>2829</v>
      </c>
      <c r="M2835" s="21">
        <v>-141085.62914763897</v>
      </c>
    </row>
    <row r="2836" spans="12:13" x14ac:dyDescent="0.2">
      <c r="L2836" s="4">
        <v>2830</v>
      </c>
      <c r="M2836" s="21">
        <v>31653.599380404688</v>
      </c>
    </row>
    <row r="2837" spans="12:13" x14ac:dyDescent="0.2">
      <c r="L2837" s="4">
        <v>2831</v>
      </c>
      <c r="M2837" s="21">
        <v>-106068.70811294521</v>
      </c>
    </row>
    <row r="2838" spans="12:13" x14ac:dyDescent="0.2">
      <c r="L2838" s="4">
        <v>2832</v>
      </c>
      <c r="M2838" s="21">
        <v>195881.10854020072</v>
      </c>
    </row>
    <row r="2839" spans="12:13" x14ac:dyDescent="0.2">
      <c r="L2839" s="4">
        <v>2833</v>
      </c>
      <c r="M2839" s="21">
        <v>-59221.282395587987</v>
      </c>
    </row>
    <row r="2840" spans="12:13" x14ac:dyDescent="0.2">
      <c r="L2840" s="4">
        <v>2834</v>
      </c>
      <c r="M2840" s="21">
        <v>145668.54850251583</v>
      </c>
    </row>
    <row r="2841" spans="12:13" x14ac:dyDescent="0.2">
      <c r="L2841" s="4">
        <v>2835</v>
      </c>
      <c r="M2841" s="21">
        <v>10760.890186506818</v>
      </c>
    </row>
    <row r="2842" spans="12:13" x14ac:dyDescent="0.2">
      <c r="L2842" s="4">
        <v>2836</v>
      </c>
      <c r="M2842" s="21">
        <v>86604.087593713484</v>
      </c>
    </row>
    <row r="2843" spans="12:13" x14ac:dyDescent="0.2">
      <c r="L2843" s="4">
        <v>2837</v>
      </c>
      <c r="M2843" s="21">
        <v>-177371.37616308549</v>
      </c>
    </row>
    <row r="2844" spans="12:13" x14ac:dyDescent="0.2">
      <c r="L2844" s="4">
        <v>2838</v>
      </c>
      <c r="M2844" s="21">
        <v>-58991.580829697094</v>
      </c>
    </row>
    <row r="2845" spans="12:13" x14ac:dyDescent="0.2">
      <c r="L2845" s="4">
        <v>2839</v>
      </c>
      <c r="M2845" s="21">
        <v>46699.105334717344</v>
      </c>
    </row>
    <row r="2846" spans="12:13" x14ac:dyDescent="0.2">
      <c r="L2846" s="4">
        <v>2840</v>
      </c>
      <c r="M2846" s="21">
        <v>131345.87446494933</v>
      </c>
    </row>
    <row r="2847" spans="12:13" x14ac:dyDescent="0.2">
      <c r="L2847" s="4">
        <v>2841</v>
      </c>
      <c r="M2847" s="21">
        <v>123529.56506740127</v>
      </c>
    </row>
    <row r="2848" spans="12:13" x14ac:dyDescent="0.2">
      <c r="L2848" s="4">
        <v>2842</v>
      </c>
      <c r="M2848" s="21">
        <v>-95563.71330968845</v>
      </c>
    </row>
    <row r="2849" spans="12:13" x14ac:dyDescent="0.2">
      <c r="L2849" s="4">
        <v>2843</v>
      </c>
      <c r="M2849" s="21">
        <v>-164341.06010471712</v>
      </c>
    </row>
    <row r="2850" spans="12:13" x14ac:dyDescent="0.2">
      <c r="L2850" s="4">
        <v>2844</v>
      </c>
      <c r="M2850" s="21">
        <v>167210.85851779123</v>
      </c>
    </row>
    <row r="2851" spans="12:13" x14ac:dyDescent="0.2">
      <c r="L2851" s="4">
        <v>2845</v>
      </c>
      <c r="M2851" s="21">
        <v>50357.852215871739</v>
      </c>
    </row>
    <row r="2852" spans="12:13" x14ac:dyDescent="0.2">
      <c r="L2852" s="4">
        <v>2846</v>
      </c>
      <c r="M2852" s="21">
        <v>39563.950742924586</v>
      </c>
    </row>
    <row r="2853" spans="12:13" x14ac:dyDescent="0.2">
      <c r="L2853" s="4">
        <v>2847</v>
      </c>
      <c r="M2853" s="21">
        <v>-113.8647119281668</v>
      </c>
    </row>
    <row r="2854" spans="12:13" x14ac:dyDescent="0.2">
      <c r="L2854" s="4">
        <v>2848</v>
      </c>
      <c r="M2854" s="21">
        <v>170559.24253076653</v>
      </c>
    </row>
    <row r="2855" spans="12:13" x14ac:dyDescent="0.2">
      <c r="L2855" s="4">
        <v>2849</v>
      </c>
      <c r="M2855" s="21">
        <v>373749.9725160508</v>
      </c>
    </row>
    <row r="2856" spans="12:13" x14ac:dyDescent="0.2">
      <c r="L2856" s="4">
        <v>2850</v>
      </c>
      <c r="M2856" s="21">
        <v>171625.7342910833</v>
      </c>
    </row>
    <row r="2857" spans="12:13" x14ac:dyDescent="0.2">
      <c r="L2857" s="4">
        <v>2851</v>
      </c>
      <c r="M2857" s="21">
        <v>64531.834059790359</v>
      </c>
    </row>
    <row r="2858" spans="12:13" x14ac:dyDescent="0.2">
      <c r="L2858" s="4">
        <v>2852</v>
      </c>
      <c r="M2858" s="21">
        <v>142093.15309020274</v>
      </c>
    </row>
    <row r="2859" spans="12:13" x14ac:dyDescent="0.2">
      <c r="L2859" s="4">
        <v>2853</v>
      </c>
      <c r="M2859" s="21">
        <v>261037.34769545056</v>
      </c>
    </row>
    <row r="2860" spans="12:13" x14ac:dyDescent="0.2">
      <c r="L2860" s="4">
        <v>2854</v>
      </c>
      <c r="M2860" s="21">
        <v>-36931.951192630717</v>
      </c>
    </row>
    <row r="2861" spans="12:13" x14ac:dyDescent="0.2">
      <c r="L2861" s="4">
        <v>2855</v>
      </c>
      <c r="M2861" s="21">
        <v>257823.9557833843</v>
      </c>
    </row>
    <row r="2862" spans="12:13" x14ac:dyDescent="0.2">
      <c r="L2862" s="4">
        <v>2856</v>
      </c>
      <c r="M2862" s="21">
        <v>25154.946058618079</v>
      </c>
    </row>
    <row r="2863" spans="12:13" x14ac:dyDescent="0.2">
      <c r="L2863" s="4">
        <v>2857</v>
      </c>
      <c r="M2863" s="21">
        <v>108877.68103018106</v>
      </c>
    </row>
    <row r="2864" spans="12:13" x14ac:dyDescent="0.2">
      <c r="L2864" s="4">
        <v>2858</v>
      </c>
      <c r="M2864" s="21">
        <v>44000.118953674071</v>
      </c>
    </row>
    <row r="2865" spans="12:13" x14ac:dyDescent="0.2">
      <c r="L2865" s="4">
        <v>2859</v>
      </c>
      <c r="M2865" s="21">
        <v>-114555.63824162273</v>
      </c>
    </row>
    <row r="2866" spans="12:13" x14ac:dyDescent="0.2">
      <c r="L2866" s="4">
        <v>2860</v>
      </c>
      <c r="M2866" s="21">
        <v>31383.467528042122</v>
      </c>
    </row>
    <row r="2867" spans="12:13" x14ac:dyDescent="0.2">
      <c r="L2867" s="4">
        <v>2861</v>
      </c>
      <c r="M2867" s="21">
        <v>344040.92886772042</v>
      </c>
    </row>
    <row r="2868" spans="12:13" x14ac:dyDescent="0.2">
      <c r="L2868" s="4">
        <v>2862</v>
      </c>
      <c r="M2868" s="21">
        <v>-151536.33416814555</v>
      </c>
    </row>
    <row r="2869" spans="12:13" x14ac:dyDescent="0.2">
      <c r="L2869" s="4">
        <v>2863</v>
      </c>
      <c r="M2869" s="21">
        <v>-20263.915792689324</v>
      </c>
    </row>
    <row r="2870" spans="12:13" x14ac:dyDescent="0.2">
      <c r="L2870" s="4">
        <v>2864</v>
      </c>
      <c r="M2870" s="21">
        <v>-63551.458406709906</v>
      </c>
    </row>
    <row r="2871" spans="12:13" x14ac:dyDescent="0.2">
      <c r="L2871" s="4">
        <v>2865</v>
      </c>
      <c r="M2871" s="21">
        <v>-111242.19118839881</v>
      </c>
    </row>
    <row r="2872" spans="12:13" x14ac:dyDescent="0.2">
      <c r="L2872" s="4">
        <v>2866</v>
      </c>
      <c r="M2872" s="21">
        <v>203254.86750477873</v>
      </c>
    </row>
    <row r="2873" spans="12:13" x14ac:dyDescent="0.2">
      <c r="L2873" s="4">
        <v>2867</v>
      </c>
      <c r="M2873" s="21">
        <v>-292906.70670785801</v>
      </c>
    </row>
    <row r="2874" spans="12:13" x14ac:dyDescent="0.2">
      <c r="L2874" s="4">
        <v>2868</v>
      </c>
      <c r="M2874" s="21">
        <v>342466.16672548879</v>
      </c>
    </row>
    <row r="2875" spans="12:13" x14ac:dyDescent="0.2">
      <c r="L2875" s="4">
        <v>2869</v>
      </c>
      <c r="M2875" s="21">
        <v>-219104.22761462966</v>
      </c>
    </row>
    <row r="2876" spans="12:13" x14ac:dyDescent="0.2">
      <c r="L2876" s="4">
        <v>2870</v>
      </c>
      <c r="M2876" s="21">
        <v>239039.0878126036</v>
      </c>
    </row>
    <row r="2877" spans="12:13" x14ac:dyDescent="0.2">
      <c r="L2877" s="4">
        <v>2871</v>
      </c>
      <c r="M2877" s="21">
        <v>99643.923282666394</v>
      </c>
    </row>
    <row r="2878" spans="12:13" x14ac:dyDescent="0.2">
      <c r="L2878" s="4">
        <v>2872</v>
      </c>
      <c r="M2878" s="21">
        <v>-139376.9211128988</v>
      </c>
    </row>
    <row r="2879" spans="12:13" x14ac:dyDescent="0.2">
      <c r="L2879" s="4">
        <v>2873</v>
      </c>
      <c r="M2879" s="21">
        <v>111631.22466810109</v>
      </c>
    </row>
    <row r="2880" spans="12:13" x14ac:dyDescent="0.2">
      <c r="L2880" s="4">
        <v>2874</v>
      </c>
      <c r="M2880" s="21">
        <v>-288815.05383745342</v>
      </c>
    </row>
    <row r="2881" spans="12:13" x14ac:dyDescent="0.2">
      <c r="L2881" s="4">
        <v>2875</v>
      </c>
      <c r="M2881" s="21">
        <v>236042.36611182257</v>
      </c>
    </row>
    <row r="2882" spans="12:13" x14ac:dyDescent="0.2">
      <c r="L2882" s="4">
        <v>2876</v>
      </c>
      <c r="M2882" s="21">
        <v>-38391.05621310162</v>
      </c>
    </row>
    <row r="2883" spans="12:13" x14ac:dyDescent="0.2">
      <c r="L2883" s="4">
        <v>2877</v>
      </c>
      <c r="M2883" s="21">
        <v>105492.10987357862</v>
      </c>
    </row>
    <row r="2884" spans="12:13" x14ac:dyDescent="0.2">
      <c r="L2884" s="4">
        <v>2878</v>
      </c>
      <c r="M2884" s="21">
        <v>-432410.85805451975</v>
      </c>
    </row>
    <row r="2885" spans="12:13" x14ac:dyDescent="0.2">
      <c r="L2885" s="4">
        <v>2879</v>
      </c>
      <c r="M2885" s="21">
        <v>294362.6424498253</v>
      </c>
    </row>
    <row r="2886" spans="12:13" x14ac:dyDescent="0.2">
      <c r="L2886" s="4">
        <v>2880</v>
      </c>
      <c r="M2886" s="21">
        <v>-254886.65734355425</v>
      </c>
    </row>
    <row r="2887" spans="12:13" x14ac:dyDescent="0.2">
      <c r="L2887" s="4">
        <v>2881</v>
      </c>
      <c r="M2887" s="21">
        <v>-105615.70023180584</v>
      </c>
    </row>
    <row r="2888" spans="12:13" x14ac:dyDescent="0.2">
      <c r="L2888" s="4">
        <v>2882</v>
      </c>
      <c r="M2888" s="21">
        <v>261019.76652974088</v>
      </c>
    </row>
    <row r="2889" spans="12:13" x14ac:dyDescent="0.2">
      <c r="L2889" s="4">
        <v>2883</v>
      </c>
      <c r="M2889" s="21">
        <v>17686.966366727429</v>
      </c>
    </row>
    <row r="2890" spans="12:13" x14ac:dyDescent="0.2">
      <c r="L2890" s="4">
        <v>2884</v>
      </c>
      <c r="M2890" s="21">
        <v>-161614.74391214043</v>
      </c>
    </row>
    <row r="2891" spans="12:13" x14ac:dyDescent="0.2">
      <c r="L2891" s="4">
        <v>2885</v>
      </c>
      <c r="M2891" s="21">
        <v>-56041.493028485318</v>
      </c>
    </row>
    <row r="2892" spans="12:13" x14ac:dyDescent="0.2">
      <c r="L2892" s="4">
        <v>2886</v>
      </c>
      <c r="M2892" s="21">
        <v>-174141.17812192353</v>
      </c>
    </row>
    <row r="2893" spans="12:13" x14ac:dyDescent="0.2">
      <c r="L2893" s="4">
        <v>2887</v>
      </c>
      <c r="M2893" s="21">
        <v>-78961.902495552844</v>
      </c>
    </row>
    <row r="2894" spans="12:13" x14ac:dyDescent="0.2">
      <c r="L2894" s="4">
        <v>2888</v>
      </c>
      <c r="M2894" s="21">
        <v>130282.07132080186</v>
      </c>
    </row>
    <row r="2895" spans="12:13" x14ac:dyDescent="0.2">
      <c r="L2895" s="4">
        <v>2889</v>
      </c>
      <c r="M2895" s="21">
        <v>-138855.41731424254</v>
      </c>
    </row>
    <row r="2896" spans="12:13" x14ac:dyDescent="0.2">
      <c r="L2896" s="4">
        <v>2890</v>
      </c>
      <c r="M2896" s="21">
        <v>22743.715268591273</v>
      </c>
    </row>
    <row r="2897" spans="12:13" x14ac:dyDescent="0.2">
      <c r="L2897" s="4">
        <v>2891</v>
      </c>
      <c r="M2897" s="21">
        <v>99951.443728126411</v>
      </c>
    </row>
    <row r="2898" spans="12:13" x14ac:dyDescent="0.2">
      <c r="L2898" s="4">
        <v>2892</v>
      </c>
      <c r="M2898" s="21">
        <v>413604.62592269585</v>
      </c>
    </row>
    <row r="2899" spans="12:13" x14ac:dyDescent="0.2">
      <c r="L2899" s="4">
        <v>2893</v>
      </c>
      <c r="M2899" s="21">
        <v>-18382.859844667342</v>
      </c>
    </row>
    <row r="2900" spans="12:13" x14ac:dyDescent="0.2">
      <c r="L2900" s="4">
        <v>2894</v>
      </c>
      <c r="M2900" s="21">
        <v>233976.16337157367</v>
      </c>
    </row>
    <row r="2901" spans="12:13" x14ac:dyDescent="0.2">
      <c r="L2901" s="4">
        <v>2895</v>
      </c>
      <c r="M2901" s="21">
        <v>-244750.56120033114</v>
      </c>
    </row>
    <row r="2902" spans="12:13" x14ac:dyDescent="0.2">
      <c r="L2902" s="4">
        <v>2896</v>
      </c>
      <c r="M2902" s="21">
        <v>198486.37665228429</v>
      </c>
    </row>
    <row r="2903" spans="12:13" x14ac:dyDescent="0.2">
      <c r="L2903" s="4">
        <v>2897</v>
      </c>
      <c r="M2903" s="21">
        <v>-179884.76714012423</v>
      </c>
    </row>
    <row r="2904" spans="12:13" x14ac:dyDescent="0.2">
      <c r="L2904" s="4">
        <v>2898</v>
      </c>
      <c r="M2904" s="21">
        <v>-103685.78596499575</v>
      </c>
    </row>
    <row r="2905" spans="12:13" x14ac:dyDescent="0.2">
      <c r="L2905" s="4">
        <v>2899</v>
      </c>
      <c r="M2905" s="21">
        <v>-75175.67480430135</v>
      </c>
    </row>
    <row r="2906" spans="12:13" x14ac:dyDescent="0.2">
      <c r="L2906" s="4">
        <v>2900</v>
      </c>
      <c r="M2906" s="21">
        <v>-156706.62657213927</v>
      </c>
    </row>
    <row r="2907" spans="12:13" x14ac:dyDescent="0.2">
      <c r="L2907" s="4">
        <v>2901</v>
      </c>
      <c r="M2907" s="21">
        <v>123471.26710609917</v>
      </c>
    </row>
    <row r="2908" spans="12:13" x14ac:dyDescent="0.2">
      <c r="L2908" s="4">
        <v>2902</v>
      </c>
      <c r="M2908" s="21">
        <v>-43081.549740371847</v>
      </c>
    </row>
    <row r="2909" spans="12:13" x14ac:dyDescent="0.2">
      <c r="L2909" s="4">
        <v>2903</v>
      </c>
      <c r="M2909" s="21">
        <v>-132013.62433386373</v>
      </c>
    </row>
    <row r="2910" spans="12:13" x14ac:dyDescent="0.2">
      <c r="L2910" s="4">
        <v>2904</v>
      </c>
      <c r="M2910" s="21">
        <v>205208.65911574906</v>
      </c>
    </row>
    <row r="2911" spans="12:13" x14ac:dyDescent="0.2">
      <c r="L2911" s="4">
        <v>2905</v>
      </c>
      <c r="M2911" s="21">
        <v>-303351.55406449398</v>
      </c>
    </row>
    <row r="2912" spans="12:13" x14ac:dyDescent="0.2">
      <c r="L2912" s="4">
        <v>2906</v>
      </c>
      <c r="M2912" s="21">
        <v>-75280.734180623971</v>
      </c>
    </row>
    <row r="2913" spans="12:13" x14ac:dyDescent="0.2">
      <c r="L2913" s="4">
        <v>2907</v>
      </c>
      <c r="M2913" s="21">
        <v>101039.41453769727</v>
      </c>
    </row>
    <row r="2914" spans="12:13" x14ac:dyDescent="0.2">
      <c r="L2914" s="4">
        <v>2908</v>
      </c>
      <c r="M2914" s="21">
        <v>145530.13098479214</v>
      </c>
    </row>
    <row r="2915" spans="12:13" x14ac:dyDescent="0.2">
      <c r="L2915" s="4">
        <v>2909</v>
      </c>
      <c r="M2915" s="21">
        <v>-269393.47562143533</v>
      </c>
    </row>
    <row r="2916" spans="12:13" x14ac:dyDescent="0.2">
      <c r="L2916" s="4">
        <v>2910</v>
      </c>
      <c r="M2916" s="21">
        <v>75711.530182223796</v>
      </c>
    </row>
    <row r="2917" spans="12:13" x14ac:dyDescent="0.2">
      <c r="L2917" s="4">
        <v>2911</v>
      </c>
      <c r="M2917" s="21">
        <v>-260981.27443108265</v>
      </c>
    </row>
    <row r="2918" spans="12:13" x14ac:dyDescent="0.2">
      <c r="L2918" s="4">
        <v>2912</v>
      </c>
      <c r="M2918" s="21">
        <v>31158.603713558026</v>
      </c>
    </row>
    <row r="2919" spans="12:13" x14ac:dyDescent="0.2">
      <c r="L2919" s="4">
        <v>2913</v>
      </c>
      <c r="M2919" s="21">
        <v>45228.649999878486</v>
      </c>
    </row>
    <row r="2920" spans="12:13" x14ac:dyDescent="0.2">
      <c r="L2920" s="4">
        <v>2914</v>
      </c>
      <c r="M2920" s="21">
        <v>210631.62454467197</v>
      </c>
    </row>
    <row r="2921" spans="12:13" x14ac:dyDescent="0.2">
      <c r="L2921" s="4">
        <v>2915</v>
      </c>
      <c r="M2921" s="21">
        <v>59026.963955687563</v>
      </c>
    </row>
    <row r="2922" spans="12:13" x14ac:dyDescent="0.2">
      <c r="L2922" s="4">
        <v>2916</v>
      </c>
      <c r="M2922" s="21">
        <v>70227.082255151385</v>
      </c>
    </row>
    <row r="2923" spans="12:13" x14ac:dyDescent="0.2">
      <c r="L2923" s="4">
        <v>2917</v>
      </c>
      <c r="M2923" s="21">
        <v>55081.187738346489</v>
      </c>
    </row>
    <row r="2924" spans="12:13" x14ac:dyDescent="0.2">
      <c r="L2924" s="4">
        <v>2918</v>
      </c>
      <c r="M2924" s="21">
        <v>-56006.89937861661</v>
      </c>
    </row>
    <row r="2925" spans="12:13" x14ac:dyDescent="0.2">
      <c r="L2925" s="4">
        <v>2919</v>
      </c>
      <c r="M2925" s="21">
        <v>-190752.91741141721</v>
      </c>
    </row>
    <row r="2926" spans="12:13" x14ac:dyDescent="0.2">
      <c r="L2926" s="4">
        <v>2920</v>
      </c>
      <c r="M2926" s="21">
        <v>-169458.53785395596</v>
      </c>
    </row>
    <row r="2927" spans="12:13" x14ac:dyDescent="0.2">
      <c r="L2927" s="4">
        <v>2921</v>
      </c>
      <c r="M2927" s="21">
        <v>133265.85187103038</v>
      </c>
    </row>
    <row r="2928" spans="12:13" x14ac:dyDescent="0.2">
      <c r="L2928" s="4">
        <v>2922</v>
      </c>
      <c r="M2928" s="21">
        <v>-16829.594351280946</v>
      </c>
    </row>
    <row r="2929" spans="12:13" x14ac:dyDescent="0.2">
      <c r="L2929" s="4">
        <v>2923</v>
      </c>
      <c r="M2929" s="21">
        <v>-139197.90656947848</v>
      </c>
    </row>
    <row r="2930" spans="12:13" x14ac:dyDescent="0.2">
      <c r="L2930" s="4">
        <v>2924</v>
      </c>
      <c r="M2930" s="21">
        <v>-18252.77454092374</v>
      </c>
    </row>
    <row r="2931" spans="12:13" x14ac:dyDescent="0.2">
      <c r="L2931" s="4">
        <v>2925</v>
      </c>
      <c r="M2931" s="21">
        <v>61410.709236131806</v>
      </c>
    </row>
    <row r="2932" spans="12:13" x14ac:dyDescent="0.2">
      <c r="L2932" s="4">
        <v>2926</v>
      </c>
      <c r="M2932" s="21">
        <v>-103999.72176217115</v>
      </c>
    </row>
    <row r="2933" spans="12:13" x14ac:dyDescent="0.2">
      <c r="L2933" s="4">
        <v>2927</v>
      </c>
      <c r="M2933" s="21">
        <v>-110911.60132154875</v>
      </c>
    </row>
    <row r="2934" spans="12:13" x14ac:dyDescent="0.2">
      <c r="L2934" s="4">
        <v>2928</v>
      </c>
      <c r="M2934" s="21">
        <v>98480.412098540313</v>
      </c>
    </row>
    <row r="2935" spans="12:13" x14ac:dyDescent="0.2">
      <c r="L2935" s="4">
        <v>2929</v>
      </c>
      <c r="M2935" s="21">
        <v>269500.07393228548</v>
      </c>
    </row>
    <row r="2936" spans="12:13" x14ac:dyDescent="0.2">
      <c r="L2936" s="4">
        <v>2930</v>
      </c>
      <c r="M2936" s="21">
        <v>47542.10879660878</v>
      </c>
    </row>
    <row r="2937" spans="12:13" x14ac:dyDescent="0.2">
      <c r="L2937" s="4">
        <v>2931</v>
      </c>
      <c r="M2937" s="21">
        <v>354276.73648832995</v>
      </c>
    </row>
    <row r="2938" spans="12:13" x14ac:dyDescent="0.2">
      <c r="L2938" s="4">
        <v>2932</v>
      </c>
      <c r="M2938" s="21">
        <v>-95656.42005380425</v>
      </c>
    </row>
    <row r="2939" spans="12:13" x14ac:dyDescent="0.2">
      <c r="L2939" s="4">
        <v>2933</v>
      </c>
      <c r="M2939" s="21">
        <v>-349256.37920064648</v>
      </c>
    </row>
    <row r="2940" spans="12:13" x14ac:dyDescent="0.2">
      <c r="L2940" s="4">
        <v>2934</v>
      </c>
      <c r="M2940" s="21">
        <v>19301.529928688629</v>
      </c>
    </row>
    <row r="2941" spans="12:13" x14ac:dyDescent="0.2">
      <c r="L2941" s="4">
        <v>2935</v>
      </c>
      <c r="M2941" s="21">
        <v>78401.854472307197</v>
      </c>
    </row>
    <row r="2942" spans="12:13" x14ac:dyDescent="0.2">
      <c r="L2942" s="4">
        <v>2936</v>
      </c>
      <c r="M2942" s="21">
        <v>71996.332242059871</v>
      </c>
    </row>
    <row r="2943" spans="12:13" x14ac:dyDescent="0.2">
      <c r="L2943" s="4">
        <v>2937</v>
      </c>
      <c r="M2943" s="21">
        <v>-15087.632845681306</v>
      </c>
    </row>
    <row r="2944" spans="12:13" x14ac:dyDescent="0.2">
      <c r="L2944" s="4">
        <v>2938</v>
      </c>
      <c r="M2944" s="21">
        <v>127686.63942602024</v>
      </c>
    </row>
    <row r="2945" spans="12:13" x14ac:dyDescent="0.2">
      <c r="L2945" s="4">
        <v>2939</v>
      </c>
      <c r="M2945" s="21">
        <v>-238577.82211540159</v>
      </c>
    </row>
    <row r="2946" spans="12:13" x14ac:dyDescent="0.2">
      <c r="L2946" s="4">
        <v>2940</v>
      </c>
      <c r="M2946" s="21">
        <v>165260.56478779286</v>
      </c>
    </row>
    <row r="2947" spans="12:13" x14ac:dyDescent="0.2">
      <c r="L2947" s="4">
        <v>2941</v>
      </c>
      <c r="M2947" s="21">
        <v>88404.279478495009</v>
      </c>
    </row>
    <row r="2948" spans="12:13" x14ac:dyDescent="0.2">
      <c r="L2948" s="4">
        <v>2942</v>
      </c>
      <c r="M2948" s="21">
        <v>-135343.95161355869</v>
      </c>
    </row>
    <row r="2949" spans="12:13" x14ac:dyDescent="0.2">
      <c r="L2949" s="4">
        <v>2943</v>
      </c>
      <c r="M2949" s="21">
        <v>-81496.120915659601</v>
      </c>
    </row>
    <row r="2950" spans="12:13" x14ac:dyDescent="0.2">
      <c r="L2950" s="4">
        <v>2944</v>
      </c>
      <c r="M2950" s="21">
        <v>113507.50323834328</v>
      </c>
    </row>
    <row r="2951" spans="12:13" x14ac:dyDescent="0.2">
      <c r="L2951" s="4">
        <v>2945</v>
      </c>
      <c r="M2951" s="21">
        <v>-77063.529784704282</v>
      </c>
    </row>
    <row r="2952" spans="12:13" x14ac:dyDescent="0.2">
      <c r="L2952" s="4">
        <v>2946</v>
      </c>
      <c r="M2952" s="21">
        <v>-2303.6516391169716</v>
      </c>
    </row>
    <row r="2953" spans="12:13" x14ac:dyDescent="0.2">
      <c r="L2953" s="4">
        <v>2947</v>
      </c>
      <c r="M2953" s="21">
        <v>-13671.332639048487</v>
      </c>
    </row>
    <row r="2954" spans="12:13" x14ac:dyDescent="0.2">
      <c r="L2954" s="4">
        <v>2948</v>
      </c>
      <c r="M2954" s="21">
        <v>-67762.754154741444</v>
      </c>
    </row>
    <row r="2955" spans="12:13" x14ac:dyDescent="0.2">
      <c r="L2955" s="4">
        <v>2949</v>
      </c>
      <c r="M2955" s="21">
        <v>-191201.08800362059</v>
      </c>
    </row>
    <row r="2956" spans="12:13" x14ac:dyDescent="0.2">
      <c r="L2956" s="4">
        <v>2950</v>
      </c>
      <c r="M2956" s="21">
        <v>-99594.031616108739</v>
      </c>
    </row>
    <row r="2957" spans="12:13" x14ac:dyDescent="0.2">
      <c r="L2957" s="4">
        <v>2951</v>
      </c>
      <c r="M2957" s="21">
        <v>172686.61849498455</v>
      </c>
    </row>
    <row r="2958" spans="12:13" x14ac:dyDescent="0.2">
      <c r="L2958" s="4">
        <v>2952</v>
      </c>
      <c r="M2958" s="21">
        <v>-33976.952084203658</v>
      </c>
    </row>
    <row r="2959" spans="12:13" x14ac:dyDescent="0.2">
      <c r="L2959" s="4">
        <v>2953</v>
      </c>
      <c r="M2959" s="21">
        <v>-148454.12144069688</v>
      </c>
    </row>
    <row r="2960" spans="12:13" x14ac:dyDescent="0.2">
      <c r="L2960" s="4">
        <v>2954</v>
      </c>
      <c r="M2960" s="21">
        <v>14514.194524177903</v>
      </c>
    </row>
    <row r="2961" spans="12:13" x14ac:dyDescent="0.2">
      <c r="L2961" s="4">
        <v>2955</v>
      </c>
      <c r="M2961" s="21">
        <v>191767.37181950582</v>
      </c>
    </row>
    <row r="2962" spans="12:13" x14ac:dyDescent="0.2">
      <c r="L2962" s="4">
        <v>2956</v>
      </c>
      <c r="M2962" s="21">
        <v>118296.43517405249</v>
      </c>
    </row>
    <row r="2963" spans="12:13" x14ac:dyDescent="0.2">
      <c r="L2963" s="4">
        <v>2957</v>
      </c>
      <c r="M2963" s="21">
        <v>-137706.43049148092</v>
      </c>
    </row>
    <row r="2964" spans="12:13" x14ac:dyDescent="0.2">
      <c r="L2964" s="4">
        <v>2958</v>
      </c>
      <c r="M2964" s="21">
        <v>7982.5540308067284</v>
      </c>
    </row>
    <row r="2965" spans="12:13" x14ac:dyDescent="0.2">
      <c r="L2965" s="4">
        <v>2959</v>
      </c>
      <c r="M2965" s="21">
        <v>219859.22792752038</v>
      </c>
    </row>
    <row r="2966" spans="12:13" x14ac:dyDescent="0.2">
      <c r="L2966" s="4">
        <v>2960</v>
      </c>
      <c r="M2966" s="21">
        <v>196372.5490643385</v>
      </c>
    </row>
    <row r="2967" spans="12:13" x14ac:dyDescent="0.2">
      <c r="L2967" s="4">
        <v>2961</v>
      </c>
      <c r="M2967" s="21">
        <v>122430.56698702433</v>
      </c>
    </row>
    <row r="2968" spans="12:13" x14ac:dyDescent="0.2">
      <c r="L2968" s="4">
        <v>2962</v>
      </c>
      <c r="M2968" s="21">
        <v>-112575.91208646826</v>
      </c>
    </row>
    <row r="2969" spans="12:13" x14ac:dyDescent="0.2">
      <c r="L2969" s="4">
        <v>2963</v>
      </c>
      <c r="M2969" s="21">
        <v>-123419.14164042394</v>
      </c>
    </row>
    <row r="2970" spans="12:13" x14ac:dyDescent="0.2">
      <c r="L2970" s="4">
        <v>2964</v>
      </c>
      <c r="M2970" s="21">
        <v>-254973.82251198424</v>
      </c>
    </row>
    <row r="2971" spans="12:13" x14ac:dyDescent="0.2">
      <c r="L2971" s="4">
        <v>2965</v>
      </c>
      <c r="M2971" s="21">
        <v>-2908.6850300718943</v>
      </c>
    </row>
    <row r="2972" spans="12:13" x14ac:dyDescent="0.2">
      <c r="L2972" s="4">
        <v>2966</v>
      </c>
      <c r="M2972" s="21">
        <v>-139238.17216770261</v>
      </c>
    </row>
    <row r="2973" spans="12:13" x14ac:dyDescent="0.2">
      <c r="L2973" s="4">
        <v>2967</v>
      </c>
      <c r="M2973" s="21">
        <v>-515707.68691605405</v>
      </c>
    </row>
    <row r="2974" spans="12:13" x14ac:dyDescent="0.2">
      <c r="L2974" s="4">
        <v>2968</v>
      </c>
      <c r="M2974" s="21">
        <v>-399950.65532768698</v>
      </c>
    </row>
    <row r="2975" spans="12:13" x14ac:dyDescent="0.2">
      <c r="L2975" s="4">
        <v>2969</v>
      </c>
      <c r="M2975" s="21">
        <v>-183784.95625947881</v>
      </c>
    </row>
    <row r="2976" spans="12:13" x14ac:dyDescent="0.2">
      <c r="L2976" s="4">
        <v>2970</v>
      </c>
      <c r="M2976" s="21">
        <v>-102058.52527020032</v>
      </c>
    </row>
    <row r="2977" spans="12:13" x14ac:dyDescent="0.2">
      <c r="L2977" s="4">
        <v>2971</v>
      </c>
      <c r="M2977" s="21">
        <v>-239300.74062160007</v>
      </c>
    </row>
    <row r="2978" spans="12:13" x14ac:dyDescent="0.2">
      <c r="L2978" s="4">
        <v>2972</v>
      </c>
      <c r="M2978" s="21">
        <v>105750.47285107782</v>
      </c>
    </row>
    <row r="2979" spans="12:13" x14ac:dyDescent="0.2">
      <c r="L2979" s="4">
        <v>2973</v>
      </c>
      <c r="M2979" s="21">
        <v>-22392.82962886554</v>
      </c>
    </row>
    <row r="2980" spans="12:13" x14ac:dyDescent="0.2">
      <c r="L2980" s="4">
        <v>2974</v>
      </c>
      <c r="M2980" s="21">
        <v>-61146.998809201439</v>
      </c>
    </row>
    <row r="2981" spans="12:13" x14ac:dyDescent="0.2">
      <c r="L2981" s="4">
        <v>2975</v>
      </c>
      <c r="M2981" s="21">
        <v>-9879.8687143981952</v>
      </c>
    </row>
    <row r="2982" spans="12:13" x14ac:dyDescent="0.2">
      <c r="L2982" s="4">
        <v>2976</v>
      </c>
      <c r="M2982" s="21">
        <v>120588.72869497049</v>
      </c>
    </row>
    <row r="2983" spans="12:13" x14ac:dyDescent="0.2">
      <c r="L2983" s="4">
        <v>2977</v>
      </c>
      <c r="M2983" s="21">
        <v>-285670.33296295122</v>
      </c>
    </row>
    <row r="2984" spans="12:13" x14ac:dyDescent="0.2">
      <c r="L2984" s="4">
        <v>2978</v>
      </c>
      <c r="M2984" s="21">
        <v>-25910.973074473048</v>
      </c>
    </row>
    <row r="2985" spans="12:13" x14ac:dyDescent="0.2">
      <c r="L2985" s="4">
        <v>2979</v>
      </c>
      <c r="M2985" s="21">
        <v>146466.07686954489</v>
      </c>
    </row>
    <row r="2986" spans="12:13" x14ac:dyDescent="0.2">
      <c r="L2986" s="4">
        <v>2980</v>
      </c>
      <c r="M2986" s="21">
        <v>133358.62918064438</v>
      </c>
    </row>
    <row r="2987" spans="12:13" x14ac:dyDescent="0.2">
      <c r="L2987" s="4">
        <v>2981</v>
      </c>
      <c r="M2987" s="21">
        <v>-145230.68841382954</v>
      </c>
    </row>
    <row r="2988" spans="12:13" x14ac:dyDescent="0.2">
      <c r="L2988" s="4">
        <v>2982</v>
      </c>
      <c r="M2988" s="21">
        <v>199233.3991282412</v>
      </c>
    </row>
    <row r="2989" spans="12:13" x14ac:dyDescent="0.2">
      <c r="L2989" s="4">
        <v>2983</v>
      </c>
      <c r="M2989" s="21">
        <v>-151664.45464823412</v>
      </c>
    </row>
    <row r="2990" spans="12:13" x14ac:dyDescent="0.2">
      <c r="L2990" s="4">
        <v>2984</v>
      </c>
      <c r="M2990" s="21">
        <v>-173060.86454906879</v>
      </c>
    </row>
    <row r="2991" spans="12:13" x14ac:dyDescent="0.2">
      <c r="L2991" s="4">
        <v>2985</v>
      </c>
      <c r="M2991" s="21">
        <v>-45989.744974638132</v>
      </c>
    </row>
    <row r="2992" spans="12:13" x14ac:dyDescent="0.2">
      <c r="L2992" s="4">
        <v>2986</v>
      </c>
      <c r="M2992" s="21">
        <v>-98719.103099036729</v>
      </c>
    </row>
    <row r="2993" spans="12:13" x14ac:dyDescent="0.2">
      <c r="L2993" s="4">
        <v>2987</v>
      </c>
      <c r="M2993" s="21">
        <v>-79586.040549686833</v>
      </c>
    </row>
    <row r="2994" spans="12:13" x14ac:dyDescent="0.2">
      <c r="L2994" s="4">
        <v>2988</v>
      </c>
      <c r="M2994" s="21">
        <v>-32634.6804496478</v>
      </c>
    </row>
    <row r="2995" spans="12:13" x14ac:dyDescent="0.2">
      <c r="L2995" s="4">
        <v>2989</v>
      </c>
      <c r="M2995" s="21">
        <v>90311.985968269379</v>
      </c>
    </row>
    <row r="2996" spans="12:13" x14ac:dyDescent="0.2">
      <c r="L2996" s="4">
        <v>2990</v>
      </c>
      <c r="M2996" s="21">
        <v>78407.142721913115</v>
      </c>
    </row>
    <row r="2997" spans="12:13" x14ac:dyDescent="0.2">
      <c r="L2997" s="4">
        <v>2991</v>
      </c>
      <c r="M2997" s="21">
        <v>155507.12274809054</v>
      </c>
    </row>
    <row r="2998" spans="12:13" x14ac:dyDescent="0.2">
      <c r="L2998" s="4">
        <v>2992</v>
      </c>
      <c r="M2998" s="21">
        <v>-49646.868845308985</v>
      </c>
    </row>
    <row r="2999" spans="12:13" x14ac:dyDescent="0.2">
      <c r="L2999" s="4">
        <v>2993</v>
      </c>
      <c r="M2999" s="21">
        <v>-114378.47188637205</v>
      </c>
    </row>
    <row r="3000" spans="12:13" x14ac:dyDescent="0.2">
      <c r="L3000" s="4">
        <v>2994</v>
      </c>
      <c r="M3000" s="21">
        <v>16756.405253544857</v>
      </c>
    </row>
    <row r="3001" spans="12:13" x14ac:dyDescent="0.2">
      <c r="L3001" s="4">
        <v>2995</v>
      </c>
      <c r="M3001" s="21">
        <v>-90460.167934813915</v>
      </c>
    </row>
    <row r="3002" spans="12:13" x14ac:dyDescent="0.2">
      <c r="L3002" s="4">
        <v>2996</v>
      </c>
      <c r="M3002" s="21">
        <v>180719.89393061015</v>
      </c>
    </row>
    <row r="3003" spans="12:13" x14ac:dyDescent="0.2">
      <c r="L3003" s="4">
        <v>2997</v>
      </c>
      <c r="M3003" s="21">
        <v>16112.352846211725</v>
      </c>
    </row>
    <row r="3004" spans="12:13" x14ac:dyDescent="0.2">
      <c r="L3004" s="4">
        <v>2998</v>
      </c>
      <c r="M3004" s="21">
        <v>-171776.25095114257</v>
      </c>
    </row>
    <row r="3005" spans="12:13" x14ac:dyDescent="0.2">
      <c r="L3005" s="4">
        <v>2999</v>
      </c>
      <c r="M3005" s="21">
        <v>32970.750906970614</v>
      </c>
    </row>
    <row r="3006" spans="12:13" x14ac:dyDescent="0.2">
      <c r="L3006" s="4">
        <v>3000</v>
      </c>
      <c r="M3006" s="21">
        <v>-242966.14106807936</v>
      </c>
    </row>
    <row r="3007" spans="12:13" x14ac:dyDescent="0.2">
      <c r="L3007" s="4">
        <v>3001</v>
      </c>
      <c r="M3007" s="21">
        <v>-210152.12268196937</v>
      </c>
    </row>
    <row r="3008" spans="12:13" x14ac:dyDescent="0.2">
      <c r="L3008" s="4">
        <v>3002</v>
      </c>
      <c r="M3008" s="21">
        <v>10102.963711375778</v>
      </c>
    </row>
    <row r="3009" spans="12:13" x14ac:dyDescent="0.2">
      <c r="L3009" s="4">
        <v>3003</v>
      </c>
      <c r="M3009" s="21">
        <v>16087.925874731969</v>
      </c>
    </row>
    <row r="3010" spans="12:13" x14ac:dyDescent="0.2">
      <c r="L3010" s="4">
        <v>3004</v>
      </c>
      <c r="M3010" s="21">
        <v>20375.256895054568</v>
      </c>
    </row>
    <row r="3011" spans="12:13" x14ac:dyDescent="0.2">
      <c r="L3011" s="4">
        <v>3005</v>
      </c>
      <c r="M3011" s="21">
        <v>310945.48308533931</v>
      </c>
    </row>
    <row r="3012" spans="12:13" x14ac:dyDescent="0.2">
      <c r="L3012" s="4">
        <v>3006</v>
      </c>
      <c r="M3012" s="21">
        <v>198774.52944116306</v>
      </c>
    </row>
    <row r="3013" spans="12:13" x14ac:dyDescent="0.2">
      <c r="L3013" s="4">
        <v>3007</v>
      </c>
      <c r="M3013" s="21">
        <v>8050.2444754410535</v>
      </c>
    </row>
    <row r="3014" spans="12:13" x14ac:dyDescent="0.2">
      <c r="L3014" s="4">
        <v>3008</v>
      </c>
      <c r="M3014" s="21">
        <v>44662.32637975915</v>
      </c>
    </row>
    <row r="3015" spans="12:13" x14ac:dyDescent="0.2">
      <c r="L3015" s="4">
        <v>3009</v>
      </c>
      <c r="M3015" s="21">
        <v>264905.50240119617</v>
      </c>
    </row>
    <row r="3016" spans="12:13" x14ac:dyDescent="0.2">
      <c r="L3016" s="4">
        <v>3010</v>
      </c>
      <c r="M3016" s="21">
        <v>-109193.44017944044</v>
      </c>
    </row>
    <row r="3017" spans="12:13" x14ac:dyDescent="0.2">
      <c r="L3017" s="4">
        <v>3011</v>
      </c>
      <c r="M3017" s="21">
        <v>-101342.91223554545</v>
      </c>
    </row>
    <row r="3018" spans="12:13" x14ac:dyDescent="0.2">
      <c r="L3018" s="4">
        <v>3012</v>
      </c>
      <c r="M3018" s="21">
        <v>92186.514678724227</v>
      </c>
    </row>
    <row r="3019" spans="12:13" x14ac:dyDescent="0.2">
      <c r="L3019" s="4">
        <v>3013</v>
      </c>
      <c r="M3019" s="21">
        <v>-8089.4977012450108</v>
      </c>
    </row>
    <row r="3020" spans="12:13" x14ac:dyDescent="0.2">
      <c r="L3020" s="4">
        <v>3014</v>
      </c>
      <c r="M3020" s="21">
        <v>-121907.71952867672</v>
      </c>
    </row>
    <row r="3021" spans="12:13" x14ac:dyDescent="0.2">
      <c r="L3021" s="4">
        <v>3015</v>
      </c>
      <c r="M3021" s="21">
        <v>-108169.73827498875</v>
      </c>
    </row>
    <row r="3022" spans="12:13" x14ac:dyDescent="0.2">
      <c r="L3022" s="4">
        <v>3016</v>
      </c>
      <c r="M3022" s="21">
        <v>-209791.62520017626</v>
      </c>
    </row>
    <row r="3023" spans="12:13" x14ac:dyDescent="0.2">
      <c r="L3023" s="4">
        <v>3017</v>
      </c>
      <c r="M3023" s="21">
        <v>69563.348556343932</v>
      </c>
    </row>
    <row r="3024" spans="12:13" x14ac:dyDescent="0.2">
      <c r="L3024" s="4">
        <v>3018</v>
      </c>
      <c r="M3024" s="21">
        <v>-81430.882545629822</v>
      </c>
    </row>
    <row r="3025" spans="12:13" x14ac:dyDescent="0.2">
      <c r="L3025" s="4">
        <v>3019</v>
      </c>
      <c r="M3025" s="21">
        <v>-87909.562153253253</v>
      </c>
    </row>
    <row r="3026" spans="12:13" x14ac:dyDescent="0.2">
      <c r="L3026" s="4">
        <v>3020</v>
      </c>
      <c r="M3026" s="21">
        <v>104847.64066336086</v>
      </c>
    </row>
    <row r="3027" spans="12:13" x14ac:dyDescent="0.2">
      <c r="L3027" s="4">
        <v>3021</v>
      </c>
      <c r="M3027" s="21">
        <v>247302.69662730387</v>
      </c>
    </row>
    <row r="3028" spans="12:13" x14ac:dyDescent="0.2">
      <c r="L3028" s="4">
        <v>3022</v>
      </c>
      <c r="M3028" s="21">
        <v>142956.60528773459</v>
      </c>
    </row>
    <row r="3029" spans="12:13" x14ac:dyDescent="0.2">
      <c r="L3029" s="4">
        <v>3023</v>
      </c>
      <c r="M3029" s="21">
        <v>-95684.027597884677</v>
      </c>
    </row>
    <row r="3030" spans="12:13" x14ac:dyDescent="0.2">
      <c r="L3030" s="4">
        <v>3024</v>
      </c>
      <c r="M3030" s="21">
        <v>-5052.5879714928305</v>
      </c>
    </row>
    <row r="3031" spans="12:13" x14ac:dyDescent="0.2">
      <c r="L3031" s="4">
        <v>3025</v>
      </c>
      <c r="M3031" s="21">
        <v>168160.810330879</v>
      </c>
    </row>
    <row r="3032" spans="12:13" x14ac:dyDescent="0.2">
      <c r="L3032" s="4">
        <v>3026</v>
      </c>
      <c r="M3032" s="21">
        <v>45871.760452141141</v>
      </c>
    </row>
    <row r="3033" spans="12:13" x14ac:dyDescent="0.2">
      <c r="L3033" s="4">
        <v>3027</v>
      </c>
      <c r="M3033" s="21">
        <v>-52228.080784528371</v>
      </c>
    </row>
    <row r="3034" spans="12:13" x14ac:dyDescent="0.2">
      <c r="L3034" s="4">
        <v>3028</v>
      </c>
      <c r="M3034" s="21">
        <v>-24981.506758543634</v>
      </c>
    </row>
    <row r="3035" spans="12:13" x14ac:dyDescent="0.2">
      <c r="L3035" s="4">
        <v>3029</v>
      </c>
      <c r="M3035" s="21">
        <v>34043.561796022084</v>
      </c>
    </row>
    <row r="3036" spans="12:13" x14ac:dyDescent="0.2">
      <c r="L3036" s="4">
        <v>3030</v>
      </c>
      <c r="M3036" s="21">
        <v>-90062.30905582814</v>
      </c>
    </row>
    <row r="3037" spans="12:13" x14ac:dyDescent="0.2">
      <c r="L3037" s="4">
        <v>3031</v>
      </c>
      <c r="M3037" s="21">
        <v>129881.51761856058</v>
      </c>
    </row>
    <row r="3038" spans="12:13" x14ac:dyDescent="0.2">
      <c r="L3038" s="4">
        <v>3032</v>
      </c>
      <c r="M3038" s="21">
        <v>73716.980732693715</v>
      </c>
    </row>
    <row r="3039" spans="12:13" x14ac:dyDescent="0.2">
      <c r="L3039" s="4">
        <v>3033</v>
      </c>
      <c r="M3039" s="21">
        <v>14375.61449490473</v>
      </c>
    </row>
    <row r="3040" spans="12:13" x14ac:dyDescent="0.2">
      <c r="L3040" s="4">
        <v>3034</v>
      </c>
      <c r="M3040" s="21">
        <v>-42667.25488808658</v>
      </c>
    </row>
    <row r="3041" spans="12:13" x14ac:dyDescent="0.2">
      <c r="L3041" s="4">
        <v>3035</v>
      </c>
      <c r="M3041" s="21">
        <v>99453.279243311263</v>
      </c>
    </row>
    <row r="3042" spans="12:13" x14ac:dyDescent="0.2">
      <c r="L3042" s="4">
        <v>3036</v>
      </c>
      <c r="M3042" s="21">
        <v>-129325.63704984104</v>
      </c>
    </row>
    <row r="3043" spans="12:13" x14ac:dyDescent="0.2">
      <c r="L3043" s="4">
        <v>3037</v>
      </c>
      <c r="M3043" s="21">
        <v>-598.4902407554473</v>
      </c>
    </row>
    <row r="3044" spans="12:13" x14ac:dyDescent="0.2">
      <c r="L3044" s="4">
        <v>3038</v>
      </c>
      <c r="M3044" s="21">
        <v>-136098.37705742207</v>
      </c>
    </row>
    <row r="3045" spans="12:13" x14ac:dyDescent="0.2">
      <c r="L3045" s="4">
        <v>3039</v>
      </c>
      <c r="M3045" s="21">
        <v>-27043.126631436549</v>
      </c>
    </row>
    <row r="3046" spans="12:13" x14ac:dyDescent="0.2">
      <c r="L3046" s="4">
        <v>3040</v>
      </c>
      <c r="M3046" s="21">
        <v>-108784.53358956642</v>
      </c>
    </row>
    <row r="3047" spans="12:13" x14ac:dyDescent="0.2">
      <c r="L3047" s="4">
        <v>3041</v>
      </c>
      <c r="M3047" s="21">
        <v>123944.36880144311</v>
      </c>
    </row>
    <row r="3048" spans="12:13" x14ac:dyDescent="0.2">
      <c r="L3048" s="4">
        <v>3042</v>
      </c>
      <c r="M3048" s="21">
        <v>-28196.172520988752</v>
      </c>
    </row>
    <row r="3049" spans="12:13" x14ac:dyDescent="0.2">
      <c r="L3049" s="4">
        <v>3043</v>
      </c>
      <c r="M3049" s="21">
        <v>-222717.79140845122</v>
      </c>
    </row>
    <row r="3050" spans="12:13" x14ac:dyDescent="0.2">
      <c r="L3050" s="4">
        <v>3044</v>
      </c>
      <c r="M3050" s="21">
        <v>-37137.358594979116</v>
      </c>
    </row>
    <row r="3051" spans="12:13" x14ac:dyDescent="0.2">
      <c r="L3051" s="4">
        <v>3045</v>
      </c>
      <c r="M3051" s="21">
        <v>1126.1564342900529</v>
      </c>
    </row>
    <row r="3052" spans="12:13" x14ac:dyDescent="0.2">
      <c r="L3052" s="4">
        <v>3046</v>
      </c>
      <c r="M3052" s="21">
        <v>181397.2063733653</v>
      </c>
    </row>
    <row r="3053" spans="12:13" x14ac:dyDescent="0.2">
      <c r="L3053" s="4">
        <v>3047</v>
      </c>
      <c r="M3053" s="21">
        <v>-197872.96836539864</v>
      </c>
    </row>
    <row r="3054" spans="12:13" x14ac:dyDescent="0.2">
      <c r="L3054" s="4">
        <v>3048</v>
      </c>
      <c r="M3054" s="21">
        <v>-30257.89007439751</v>
      </c>
    </row>
    <row r="3055" spans="12:13" x14ac:dyDescent="0.2">
      <c r="L3055" s="4">
        <v>3049</v>
      </c>
      <c r="M3055" s="21">
        <v>-78698.968525497214</v>
      </c>
    </row>
    <row r="3056" spans="12:13" x14ac:dyDescent="0.2">
      <c r="L3056" s="4">
        <v>3050</v>
      </c>
      <c r="M3056" s="21">
        <v>-163995.47886561317</v>
      </c>
    </row>
    <row r="3057" spans="12:13" x14ac:dyDescent="0.2">
      <c r="L3057" s="4">
        <v>3051</v>
      </c>
      <c r="M3057" s="21">
        <v>-112816.91483397326</v>
      </c>
    </row>
    <row r="3058" spans="12:13" x14ac:dyDescent="0.2">
      <c r="L3058" s="4">
        <v>3052</v>
      </c>
      <c r="M3058" s="21">
        <v>61351.032093438</v>
      </c>
    </row>
    <row r="3059" spans="12:13" x14ac:dyDescent="0.2">
      <c r="L3059" s="4">
        <v>3053</v>
      </c>
      <c r="M3059" s="21">
        <v>179411.13936774363</v>
      </c>
    </row>
    <row r="3060" spans="12:13" x14ac:dyDescent="0.2">
      <c r="L3060" s="4">
        <v>3054</v>
      </c>
      <c r="M3060" s="21">
        <v>168776.16778395852</v>
      </c>
    </row>
    <row r="3061" spans="12:13" x14ac:dyDescent="0.2">
      <c r="L3061" s="4">
        <v>3055</v>
      </c>
      <c r="M3061" s="21">
        <v>-114118.66013222351</v>
      </c>
    </row>
    <row r="3062" spans="12:13" x14ac:dyDescent="0.2">
      <c r="L3062" s="4">
        <v>3056</v>
      </c>
      <c r="M3062" s="21">
        <v>92187.017876527098</v>
      </c>
    </row>
    <row r="3063" spans="12:13" x14ac:dyDescent="0.2">
      <c r="L3063" s="4">
        <v>3057</v>
      </c>
      <c r="M3063" s="21">
        <v>-84737.443140141171</v>
      </c>
    </row>
    <row r="3064" spans="12:13" x14ac:dyDescent="0.2">
      <c r="L3064" s="4">
        <v>3058</v>
      </c>
      <c r="M3064" s="21">
        <v>14584.221115721302</v>
      </c>
    </row>
    <row r="3065" spans="12:13" x14ac:dyDescent="0.2">
      <c r="L3065" s="4">
        <v>3059</v>
      </c>
      <c r="M3065" s="21">
        <v>25687.150635046622</v>
      </c>
    </row>
    <row r="3066" spans="12:13" x14ac:dyDescent="0.2">
      <c r="L3066" s="4">
        <v>3060</v>
      </c>
      <c r="M3066" s="21">
        <v>29352.257597229967</v>
      </c>
    </row>
    <row r="3067" spans="12:13" x14ac:dyDescent="0.2">
      <c r="L3067" s="4">
        <v>3061</v>
      </c>
      <c r="M3067" s="21">
        <v>259749.5348032258</v>
      </c>
    </row>
    <row r="3068" spans="12:13" x14ac:dyDescent="0.2">
      <c r="L3068" s="4">
        <v>3062</v>
      </c>
      <c r="M3068" s="21">
        <v>172023.86037709206</v>
      </c>
    </row>
    <row r="3069" spans="12:13" x14ac:dyDescent="0.2">
      <c r="L3069" s="4">
        <v>3063</v>
      </c>
      <c r="M3069" s="21">
        <v>-96813.035862189718</v>
      </c>
    </row>
    <row r="3070" spans="12:13" x14ac:dyDescent="0.2">
      <c r="L3070" s="4">
        <v>3064</v>
      </c>
      <c r="M3070" s="21">
        <v>59042.777289776393</v>
      </c>
    </row>
    <row r="3071" spans="12:13" x14ac:dyDescent="0.2">
      <c r="L3071" s="4">
        <v>3065</v>
      </c>
      <c r="M3071" s="21">
        <v>-83923.971451854988</v>
      </c>
    </row>
    <row r="3072" spans="12:13" x14ac:dyDescent="0.2">
      <c r="L3072" s="4">
        <v>3066</v>
      </c>
      <c r="M3072" s="21">
        <v>90891.589892930439</v>
      </c>
    </row>
    <row r="3073" spans="12:13" x14ac:dyDescent="0.2">
      <c r="L3073" s="4">
        <v>3067</v>
      </c>
      <c r="M3073" s="21">
        <v>33406.078614831698</v>
      </c>
    </row>
    <row r="3074" spans="12:13" x14ac:dyDescent="0.2">
      <c r="L3074" s="4">
        <v>3068</v>
      </c>
      <c r="M3074" s="21">
        <v>127837.22206942263</v>
      </c>
    </row>
    <row r="3075" spans="12:13" x14ac:dyDescent="0.2">
      <c r="L3075" s="4">
        <v>3069</v>
      </c>
      <c r="M3075" s="21">
        <v>-46346.912367919242</v>
      </c>
    </row>
    <row r="3076" spans="12:13" x14ac:dyDescent="0.2">
      <c r="L3076" s="4">
        <v>3070</v>
      </c>
      <c r="M3076" s="21">
        <v>320864.25651699607</v>
      </c>
    </row>
    <row r="3077" spans="12:13" x14ac:dyDescent="0.2">
      <c r="L3077" s="4">
        <v>3071</v>
      </c>
      <c r="M3077" s="21">
        <v>68349.64331560937</v>
      </c>
    </row>
    <row r="3078" spans="12:13" x14ac:dyDescent="0.2">
      <c r="L3078" s="4">
        <v>3072</v>
      </c>
      <c r="M3078" s="21">
        <v>-22812.220467726773</v>
      </c>
    </row>
    <row r="3079" spans="12:13" x14ac:dyDescent="0.2">
      <c r="L3079" s="4">
        <v>3073</v>
      </c>
      <c r="M3079" s="21">
        <v>-127753.76287755581</v>
      </c>
    </row>
    <row r="3080" spans="12:13" x14ac:dyDescent="0.2">
      <c r="L3080" s="4">
        <v>3074</v>
      </c>
      <c r="M3080" s="21">
        <v>39114.398681464343</v>
      </c>
    </row>
    <row r="3081" spans="12:13" x14ac:dyDescent="0.2">
      <c r="L3081" s="4">
        <v>3075</v>
      </c>
      <c r="M3081" s="21">
        <v>-28403.026578405596</v>
      </c>
    </row>
    <row r="3082" spans="12:13" x14ac:dyDescent="0.2">
      <c r="L3082" s="4">
        <v>3076</v>
      </c>
      <c r="M3082" s="21">
        <v>-85631.349245553618</v>
      </c>
    </row>
    <row r="3083" spans="12:13" x14ac:dyDescent="0.2">
      <c r="L3083" s="4">
        <v>3077</v>
      </c>
      <c r="M3083" s="21">
        <v>37386.032360409736</v>
      </c>
    </row>
    <row r="3084" spans="12:13" x14ac:dyDescent="0.2">
      <c r="L3084" s="4">
        <v>3078</v>
      </c>
      <c r="M3084" s="21">
        <v>154079.3250127947</v>
      </c>
    </row>
    <row r="3085" spans="12:13" x14ac:dyDescent="0.2">
      <c r="L3085" s="4">
        <v>3079</v>
      </c>
      <c r="M3085" s="21">
        <v>-141321.08827813208</v>
      </c>
    </row>
    <row r="3086" spans="12:13" x14ac:dyDescent="0.2">
      <c r="L3086" s="4">
        <v>3080</v>
      </c>
      <c r="M3086" s="21">
        <v>-35780.228471781345</v>
      </c>
    </row>
    <row r="3087" spans="12:13" x14ac:dyDescent="0.2">
      <c r="L3087" s="4">
        <v>3081</v>
      </c>
      <c r="M3087" s="21">
        <v>141584.6612174903</v>
      </c>
    </row>
    <row r="3088" spans="12:13" x14ac:dyDescent="0.2">
      <c r="L3088" s="4">
        <v>3082</v>
      </c>
      <c r="M3088" s="21">
        <v>-238913.20341808506</v>
      </c>
    </row>
    <row r="3089" spans="12:13" x14ac:dyDescent="0.2">
      <c r="L3089" s="4">
        <v>3083</v>
      </c>
      <c r="M3089" s="21">
        <v>-68893.025882377886</v>
      </c>
    </row>
    <row r="3090" spans="12:13" x14ac:dyDescent="0.2">
      <c r="L3090" s="4">
        <v>3084</v>
      </c>
      <c r="M3090" s="21">
        <v>238840.17878715924</v>
      </c>
    </row>
    <row r="3091" spans="12:13" x14ac:dyDescent="0.2">
      <c r="L3091" s="4">
        <v>3085</v>
      </c>
      <c r="M3091" s="21">
        <v>-159133.58053197834</v>
      </c>
    </row>
    <row r="3092" spans="12:13" x14ac:dyDescent="0.2">
      <c r="L3092" s="4">
        <v>3086</v>
      </c>
      <c r="M3092" s="21">
        <v>237825.19128616154</v>
      </c>
    </row>
    <row r="3093" spans="12:13" x14ac:dyDescent="0.2">
      <c r="L3093" s="4">
        <v>3087</v>
      </c>
      <c r="M3093" s="21">
        <v>-348492.38073961879</v>
      </c>
    </row>
    <row r="3094" spans="12:13" x14ac:dyDescent="0.2">
      <c r="L3094" s="4">
        <v>3088</v>
      </c>
      <c r="M3094" s="21">
        <v>9710.9556612943707</v>
      </c>
    </row>
    <row r="3095" spans="12:13" x14ac:dyDescent="0.2">
      <c r="L3095" s="4">
        <v>3089</v>
      </c>
      <c r="M3095" s="21">
        <v>-142795.19211904047</v>
      </c>
    </row>
    <row r="3096" spans="12:13" x14ac:dyDescent="0.2">
      <c r="L3096" s="4">
        <v>3090</v>
      </c>
      <c r="M3096" s="21">
        <v>107578.79563529533</v>
      </c>
    </row>
    <row r="3097" spans="12:13" x14ac:dyDescent="0.2">
      <c r="L3097" s="4">
        <v>3091</v>
      </c>
      <c r="M3097" s="21">
        <v>-41882.895135327999</v>
      </c>
    </row>
    <row r="3098" spans="12:13" x14ac:dyDescent="0.2">
      <c r="L3098" s="4">
        <v>3092</v>
      </c>
      <c r="M3098" s="21">
        <v>25245.897801517189</v>
      </c>
    </row>
    <row r="3099" spans="12:13" x14ac:dyDescent="0.2">
      <c r="L3099" s="4">
        <v>3093</v>
      </c>
      <c r="M3099" s="21">
        <v>99822.013288590999</v>
      </c>
    </row>
    <row r="3100" spans="12:13" x14ac:dyDescent="0.2">
      <c r="L3100" s="4">
        <v>3094</v>
      </c>
      <c r="M3100" s="21">
        <v>89991.071547174186</v>
      </c>
    </row>
    <row r="3101" spans="12:13" x14ac:dyDescent="0.2">
      <c r="L3101" s="4">
        <v>3095</v>
      </c>
      <c r="M3101" s="21">
        <v>-126057.58396942275</v>
      </c>
    </row>
    <row r="3102" spans="12:13" x14ac:dyDescent="0.2">
      <c r="L3102" s="4">
        <v>3096</v>
      </c>
      <c r="M3102" s="21">
        <v>124467.11917682205</v>
      </c>
    </row>
    <row r="3103" spans="12:13" x14ac:dyDescent="0.2">
      <c r="L3103" s="4">
        <v>3097</v>
      </c>
      <c r="M3103" s="21">
        <v>176049.05639888119</v>
      </c>
    </row>
    <row r="3104" spans="12:13" x14ac:dyDescent="0.2">
      <c r="L3104" s="4">
        <v>3098</v>
      </c>
      <c r="M3104" s="21">
        <v>64621.736434643448</v>
      </c>
    </row>
    <row r="3105" spans="12:13" x14ac:dyDescent="0.2">
      <c r="L3105" s="4">
        <v>3099</v>
      </c>
      <c r="M3105" s="21">
        <v>134570.02386771407</v>
      </c>
    </row>
    <row r="3106" spans="12:13" x14ac:dyDescent="0.2">
      <c r="L3106" s="4">
        <v>3100</v>
      </c>
      <c r="M3106" s="21">
        <v>-11126.710987036218</v>
      </c>
    </row>
    <row r="3107" spans="12:13" x14ac:dyDescent="0.2">
      <c r="L3107" s="4">
        <v>3101</v>
      </c>
      <c r="M3107" s="21">
        <v>71436.667527927493</v>
      </c>
    </row>
    <row r="3108" spans="12:13" x14ac:dyDescent="0.2">
      <c r="L3108" s="4">
        <v>3102</v>
      </c>
      <c r="M3108" s="21">
        <v>-72521.010488948872</v>
      </c>
    </row>
    <row r="3109" spans="12:13" x14ac:dyDescent="0.2">
      <c r="L3109" s="4">
        <v>3103</v>
      </c>
      <c r="M3109" s="21">
        <v>205135.16876577045</v>
      </c>
    </row>
    <row r="3110" spans="12:13" x14ac:dyDescent="0.2">
      <c r="L3110" s="4">
        <v>3104</v>
      </c>
      <c r="M3110" s="21">
        <v>-84044.45857389475</v>
      </c>
    </row>
    <row r="3111" spans="12:13" x14ac:dyDescent="0.2">
      <c r="L3111" s="4">
        <v>3105</v>
      </c>
      <c r="M3111" s="21">
        <v>226830.82614006332</v>
      </c>
    </row>
    <row r="3112" spans="12:13" x14ac:dyDescent="0.2">
      <c r="L3112" s="4">
        <v>3106</v>
      </c>
      <c r="M3112" s="21">
        <v>285768.45446318312</v>
      </c>
    </row>
    <row r="3113" spans="12:13" x14ac:dyDescent="0.2">
      <c r="L3113" s="4">
        <v>3107</v>
      </c>
      <c r="M3113" s="21">
        <v>218337.81511038909</v>
      </c>
    </row>
    <row r="3114" spans="12:13" x14ac:dyDescent="0.2">
      <c r="L3114" s="4">
        <v>3108</v>
      </c>
      <c r="M3114" s="21">
        <v>159939.47967834148</v>
      </c>
    </row>
    <row r="3115" spans="12:13" x14ac:dyDescent="0.2">
      <c r="L3115" s="4">
        <v>3109</v>
      </c>
      <c r="M3115" s="21">
        <v>-185409.9522081546</v>
      </c>
    </row>
    <row r="3116" spans="12:13" x14ac:dyDescent="0.2">
      <c r="L3116" s="4">
        <v>3110</v>
      </c>
      <c r="M3116" s="21">
        <v>220628.75567873745</v>
      </c>
    </row>
    <row r="3117" spans="12:13" x14ac:dyDescent="0.2">
      <c r="L3117" s="4">
        <v>3111</v>
      </c>
      <c r="M3117" s="21">
        <v>155091.37848547258</v>
      </c>
    </row>
    <row r="3118" spans="12:13" x14ac:dyDescent="0.2">
      <c r="L3118" s="4">
        <v>3112</v>
      </c>
      <c r="M3118" s="21">
        <v>-79189.0796838932</v>
      </c>
    </row>
    <row r="3119" spans="12:13" x14ac:dyDescent="0.2">
      <c r="L3119" s="4">
        <v>3113</v>
      </c>
      <c r="M3119" s="21">
        <v>-74046.010835620793</v>
      </c>
    </row>
    <row r="3120" spans="12:13" x14ac:dyDescent="0.2">
      <c r="L3120" s="4">
        <v>3114</v>
      </c>
      <c r="M3120" s="21">
        <v>15462.075692914106</v>
      </c>
    </row>
    <row r="3121" spans="12:13" x14ac:dyDescent="0.2">
      <c r="L3121" s="4">
        <v>3115</v>
      </c>
      <c r="M3121" s="21">
        <v>11249.809806921927</v>
      </c>
    </row>
    <row r="3122" spans="12:13" x14ac:dyDescent="0.2">
      <c r="L3122" s="4">
        <v>3116</v>
      </c>
      <c r="M3122" s="21">
        <v>-2005.8745108583244</v>
      </c>
    </row>
    <row r="3123" spans="12:13" x14ac:dyDescent="0.2">
      <c r="L3123" s="4">
        <v>3117</v>
      </c>
      <c r="M3123" s="21">
        <v>-16531.515788567442</v>
      </c>
    </row>
    <row r="3124" spans="12:13" x14ac:dyDescent="0.2">
      <c r="L3124" s="4">
        <v>3118</v>
      </c>
      <c r="M3124" s="21">
        <v>204396.67891538667</v>
      </c>
    </row>
    <row r="3125" spans="12:13" x14ac:dyDescent="0.2">
      <c r="L3125" s="4">
        <v>3119</v>
      </c>
      <c r="M3125" s="21">
        <v>163840.9472946607</v>
      </c>
    </row>
    <row r="3126" spans="12:13" x14ac:dyDescent="0.2">
      <c r="L3126" s="4">
        <v>3120</v>
      </c>
      <c r="M3126" s="21">
        <v>-107475.77688519293</v>
      </c>
    </row>
    <row r="3127" spans="12:13" x14ac:dyDescent="0.2">
      <c r="L3127" s="4">
        <v>3121</v>
      </c>
      <c r="M3127" s="21">
        <v>-3316.0786321694322</v>
      </c>
    </row>
    <row r="3128" spans="12:13" x14ac:dyDescent="0.2">
      <c r="L3128" s="4">
        <v>3122</v>
      </c>
      <c r="M3128" s="21">
        <v>73296.935215201025</v>
      </c>
    </row>
    <row r="3129" spans="12:13" x14ac:dyDescent="0.2">
      <c r="L3129" s="4">
        <v>3123</v>
      </c>
      <c r="M3129" s="21">
        <v>160121.84741554371</v>
      </c>
    </row>
    <row r="3130" spans="12:13" x14ac:dyDescent="0.2">
      <c r="L3130" s="4">
        <v>3124</v>
      </c>
      <c r="M3130" s="21">
        <v>18542.474134949094</v>
      </c>
    </row>
    <row r="3131" spans="12:13" x14ac:dyDescent="0.2">
      <c r="L3131" s="4">
        <v>3125</v>
      </c>
      <c r="M3131" s="21">
        <v>-165014.30453286035</v>
      </c>
    </row>
    <row r="3132" spans="12:13" x14ac:dyDescent="0.2">
      <c r="L3132" s="4">
        <v>3126</v>
      </c>
      <c r="M3132" s="21">
        <v>140951.13803553951</v>
      </c>
    </row>
    <row r="3133" spans="12:13" x14ac:dyDescent="0.2">
      <c r="L3133" s="4">
        <v>3127</v>
      </c>
      <c r="M3133" s="21">
        <v>-153301.96498201147</v>
      </c>
    </row>
    <row r="3134" spans="12:13" x14ac:dyDescent="0.2">
      <c r="L3134" s="4">
        <v>3128</v>
      </c>
      <c r="M3134" s="21">
        <v>-96871.290089778326</v>
      </c>
    </row>
    <row r="3135" spans="12:13" x14ac:dyDescent="0.2">
      <c r="L3135" s="4">
        <v>3129</v>
      </c>
      <c r="M3135" s="21">
        <v>-59037.051971278721</v>
      </c>
    </row>
    <row r="3136" spans="12:13" x14ac:dyDescent="0.2">
      <c r="L3136" s="4">
        <v>3130</v>
      </c>
      <c r="M3136" s="21">
        <v>-7999.9614995033917</v>
      </c>
    </row>
    <row r="3137" spans="12:13" x14ac:dyDescent="0.2">
      <c r="L3137" s="4">
        <v>3131</v>
      </c>
      <c r="M3137" s="21">
        <v>164147.52012902847</v>
      </c>
    </row>
    <row r="3138" spans="12:13" x14ac:dyDescent="0.2">
      <c r="L3138" s="4">
        <v>3132</v>
      </c>
      <c r="M3138" s="21">
        <v>-400045.74996700929</v>
      </c>
    </row>
    <row r="3139" spans="12:13" x14ac:dyDescent="0.2">
      <c r="L3139" s="4">
        <v>3133</v>
      </c>
      <c r="M3139" s="21">
        <v>-129936.80379014659</v>
      </c>
    </row>
    <row r="3140" spans="12:13" x14ac:dyDescent="0.2">
      <c r="L3140" s="4">
        <v>3134</v>
      </c>
      <c r="M3140" s="21">
        <v>-150588.2402699723</v>
      </c>
    </row>
    <row r="3141" spans="12:13" x14ac:dyDescent="0.2">
      <c r="L3141" s="4">
        <v>3135</v>
      </c>
      <c r="M3141" s="21">
        <v>-10075.586212070208</v>
      </c>
    </row>
    <row r="3142" spans="12:13" x14ac:dyDescent="0.2">
      <c r="L3142" s="4">
        <v>3136</v>
      </c>
      <c r="M3142" s="21">
        <v>-46255.262853527209</v>
      </c>
    </row>
    <row r="3143" spans="12:13" x14ac:dyDescent="0.2">
      <c r="L3143" s="4">
        <v>3137</v>
      </c>
      <c r="M3143" s="21">
        <v>-161042.27757032833</v>
      </c>
    </row>
    <row r="3144" spans="12:13" x14ac:dyDescent="0.2">
      <c r="L3144" s="4">
        <v>3138</v>
      </c>
      <c r="M3144" s="21">
        <v>-39426.825060879492</v>
      </c>
    </row>
    <row r="3145" spans="12:13" x14ac:dyDescent="0.2">
      <c r="L3145" s="4">
        <v>3139</v>
      </c>
      <c r="M3145" s="21">
        <v>13761.75383362401</v>
      </c>
    </row>
    <row r="3146" spans="12:13" x14ac:dyDescent="0.2">
      <c r="L3146" s="4">
        <v>3140</v>
      </c>
      <c r="M3146" s="21">
        <v>-325508.82971130637</v>
      </c>
    </row>
    <row r="3147" spans="12:13" x14ac:dyDescent="0.2">
      <c r="L3147" s="4">
        <v>3141</v>
      </c>
      <c r="M3147" s="21">
        <v>-211397.39096891659</v>
      </c>
    </row>
    <row r="3148" spans="12:13" x14ac:dyDescent="0.2">
      <c r="L3148" s="4">
        <v>3142</v>
      </c>
      <c r="M3148" s="21">
        <v>-74262.803637154706</v>
      </c>
    </row>
    <row r="3149" spans="12:13" x14ac:dyDescent="0.2">
      <c r="L3149" s="4">
        <v>3143</v>
      </c>
      <c r="M3149" s="21">
        <v>103634.85547030796</v>
      </c>
    </row>
    <row r="3150" spans="12:13" x14ac:dyDescent="0.2">
      <c r="L3150" s="4">
        <v>3144</v>
      </c>
      <c r="M3150" s="21">
        <v>-92663.294260242343</v>
      </c>
    </row>
    <row r="3151" spans="12:13" x14ac:dyDescent="0.2">
      <c r="L3151" s="4">
        <v>3145</v>
      </c>
      <c r="M3151" s="21">
        <v>-45135.628491921496</v>
      </c>
    </row>
    <row r="3152" spans="12:13" x14ac:dyDescent="0.2">
      <c r="L3152" s="4">
        <v>3146</v>
      </c>
      <c r="M3152" s="21">
        <v>1635.5914082234376</v>
      </c>
    </row>
    <row r="3153" spans="12:13" x14ac:dyDescent="0.2">
      <c r="L3153" s="4">
        <v>3147</v>
      </c>
      <c r="M3153" s="21">
        <v>-17591.524483051719</v>
      </c>
    </row>
    <row r="3154" spans="12:13" x14ac:dyDescent="0.2">
      <c r="L3154" s="4">
        <v>3148</v>
      </c>
      <c r="M3154" s="21">
        <v>-72749.488797030019</v>
      </c>
    </row>
    <row r="3155" spans="12:13" x14ac:dyDescent="0.2">
      <c r="L3155" s="4">
        <v>3149</v>
      </c>
      <c r="M3155" s="21">
        <v>10758.957016480592</v>
      </c>
    </row>
    <row r="3156" spans="12:13" x14ac:dyDescent="0.2">
      <c r="L3156" s="4">
        <v>3150</v>
      </c>
      <c r="M3156" s="21">
        <v>-240505.2567503333</v>
      </c>
    </row>
    <row r="3157" spans="12:13" x14ac:dyDescent="0.2">
      <c r="L3157" s="4">
        <v>3151</v>
      </c>
      <c r="M3157" s="21">
        <v>-163930.53379263612</v>
      </c>
    </row>
    <row r="3158" spans="12:13" x14ac:dyDescent="0.2">
      <c r="L3158" s="4">
        <v>3152</v>
      </c>
      <c r="M3158" s="21">
        <v>-140302.04204668698</v>
      </c>
    </row>
    <row r="3159" spans="12:13" x14ac:dyDescent="0.2">
      <c r="L3159" s="4">
        <v>3153</v>
      </c>
      <c r="M3159" s="21">
        <v>-6840.2745265153499</v>
      </c>
    </row>
    <row r="3160" spans="12:13" x14ac:dyDescent="0.2">
      <c r="L3160" s="4">
        <v>3154</v>
      </c>
      <c r="M3160" s="21">
        <v>166147.40092318034</v>
      </c>
    </row>
    <row r="3161" spans="12:13" x14ac:dyDescent="0.2">
      <c r="L3161" s="4">
        <v>3155</v>
      </c>
      <c r="M3161" s="21">
        <v>-48016.830060238193</v>
      </c>
    </row>
    <row r="3162" spans="12:13" x14ac:dyDescent="0.2">
      <c r="L3162" s="4">
        <v>3156</v>
      </c>
      <c r="M3162" s="21">
        <v>248836.33342821617</v>
      </c>
    </row>
    <row r="3163" spans="12:13" x14ac:dyDescent="0.2">
      <c r="L3163" s="4">
        <v>3157</v>
      </c>
      <c r="M3163" s="21">
        <v>335326.01614535332</v>
      </c>
    </row>
    <row r="3164" spans="12:13" x14ac:dyDescent="0.2">
      <c r="L3164" s="4">
        <v>3158</v>
      </c>
      <c r="M3164" s="21">
        <v>153639.23215274641</v>
      </c>
    </row>
    <row r="3165" spans="12:13" x14ac:dyDescent="0.2">
      <c r="L3165" s="4">
        <v>3159</v>
      </c>
      <c r="M3165" s="21">
        <v>90611.345182337362</v>
      </c>
    </row>
    <row r="3166" spans="12:13" x14ac:dyDescent="0.2">
      <c r="L3166" s="4">
        <v>3160</v>
      </c>
      <c r="M3166" s="21">
        <v>111776.26795190215</v>
      </c>
    </row>
    <row r="3167" spans="12:13" x14ac:dyDescent="0.2">
      <c r="L3167" s="4">
        <v>3161</v>
      </c>
      <c r="M3167" s="21">
        <v>1672.9733364293061</v>
      </c>
    </row>
    <row r="3168" spans="12:13" x14ac:dyDescent="0.2">
      <c r="L3168" s="4">
        <v>3162</v>
      </c>
      <c r="M3168" s="21">
        <v>17824.201557090506</v>
      </c>
    </row>
    <row r="3169" spans="12:13" x14ac:dyDescent="0.2">
      <c r="L3169" s="4">
        <v>3163</v>
      </c>
      <c r="M3169" s="21">
        <v>-4299.1101128456794</v>
      </c>
    </row>
    <row r="3170" spans="12:13" x14ac:dyDescent="0.2">
      <c r="L3170" s="4">
        <v>3164</v>
      </c>
      <c r="M3170" s="21">
        <v>-209656.87032693706</v>
      </c>
    </row>
    <row r="3171" spans="12:13" x14ac:dyDescent="0.2">
      <c r="L3171" s="4">
        <v>3165</v>
      </c>
      <c r="M3171" s="21">
        <v>-60761.223700410308</v>
      </c>
    </row>
    <row r="3172" spans="12:13" x14ac:dyDescent="0.2">
      <c r="L3172" s="4">
        <v>3166</v>
      </c>
      <c r="M3172" s="21">
        <v>-301.91647466681025</v>
      </c>
    </row>
    <row r="3173" spans="12:13" x14ac:dyDescent="0.2">
      <c r="L3173" s="4">
        <v>3167</v>
      </c>
      <c r="M3173" s="21">
        <v>52681.373640598555</v>
      </c>
    </row>
    <row r="3174" spans="12:13" x14ac:dyDescent="0.2">
      <c r="L3174" s="4">
        <v>3168</v>
      </c>
      <c r="M3174" s="21">
        <v>93588.211799748882</v>
      </c>
    </row>
    <row r="3175" spans="12:13" x14ac:dyDescent="0.2">
      <c r="L3175" s="4">
        <v>3169</v>
      </c>
      <c r="M3175" s="21">
        <v>-66190.794416005025</v>
      </c>
    </row>
    <row r="3176" spans="12:13" x14ac:dyDescent="0.2">
      <c r="L3176" s="4">
        <v>3170</v>
      </c>
      <c r="M3176" s="21">
        <v>163361.70792934703</v>
      </c>
    </row>
    <row r="3177" spans="12:13" x14ac:dyDescent="0.2">
      <c r="L3177" s="4">
        <v>3171</v>
      </c>
      <c r="M3177" s="21">
        <v>-157085.93237254006</v>
      </c>
    </row>
    <row r="3178" spans="12:13" x14ac:dyDescent="0.2">
      <c r="L3178" s="4">
        <v>3172</v>
      </c>
      <c r="M3178" s="21">
        <v>-145239.46237120152</v>
      </c>
    </row>
    <row r="3179" spans="12:13" x14ac:dyDescent="0.2">
      <c r="L3179" s="4">
        <v>3173</v>
      </c>
      <c r="M3179" s="21">
        <v>-100142.47832750241</v>
      </c>
    </row>
    <row r="3180" spans="12:13" x14ac:dyDescent="0.2">
      <c r="L3180" s="4">
        <v>3174</v>
      </c>
      <c r="M3180" s="21">
        <v>101921.23899604173</v>
      </c>
    </row>
    <row r="3181" spans="12:13" x14ac:dyDescent="0.2">
      <c r="L3181" s="4">
        <v>3175</v>
      </c>
      <c r="M3181" s="21">
        <v>157929.46060546447</v>
      </c>
    </row>
    <row r="3182" spans="12:13" x14ac:dyDescent="0.2">
      <c r="L3182" s="4">
        <v>3176</v>
      </c>
      <c r="M3182" s="21">
        <v>-153363.72068109474</v>
      </c>
    </row>
    <row r="3183" spans="12:13" x14ac:dyDescent="0.2">
      <c r="L3183" s="4">
        <v>3177</v>
      </c>
      <c r="M3183" s="21">
        <v>-237986.16593416547</v>
      </c>
    </row>
    <row r="3184" spans="12:13" x14ac:dyDescent="0.2">
      <c r="L3184" s="4">
        <v>3178</v>
      </c>
      <c r="M3184" s="21">
        <v>-824.78155083708407</v>
      </c>
    </row>
    <row r="3185" spans="12:13" x14ac:dyDescent="0.2">
      <c r="L3185" s="4">
        <v>3179</v>
      </c>
      <c r="M3185" s="21">
        <v>30257.033302223368</v>
      </c>
    </row>
    <row r="3186" spans="12:13" x14ac:dyDescent="0.2">
      <c r="L3186" s="4">
        <v>3180</v>
      </c>
      <c r="M3186" s="21">
        <v>-123035.39405636082</v>
      </c>
    </row>
    <row r="3187" spans="12:13" x14ac:dyDescent="0.2">
      <c r="L3187" s="4">
        <v>3181</v>
      </c>
      <c r="M3187" s="21">
        <v>-51630.657196949134</v>
      </c>
    </row>
    <row r="3188" spans="12:13" x14ac:dyDescent="0.2">
      <c r="L3188" s="4">
        <v>3182</v>
      </c>
      <c r="M3188" s="21">
        <v>130066.21675008035</v>
      </c>
    </row>
    <row r="3189" spans="12:13" x14ac:dyDescent="0.2">
      <c r="L3189" s="4">
        <v>3183</v>
      </c>
      <c r="M3189" s="21">
        <v>135314.27394622163</v>
      </c>
    </row>
    <row r="3190" spans="12:13" x14ac:dyDescent="0.2">
      <c r="L3190" s="4">
        <v>3184</v>
      </c>
      <c r="M3190" s="21">
        <v>-37828.982489784306</v>
      </c>
    </row>
    <row r="3191" spans="12:13" x14ac:dyDescent="0.2">
      <c r="L3191" s="4">
        <v>3185</v>
      </c>
      <c r="M3191" s="21">
        <v>-238162.10128128517</v>
      </c>
    </row>
    <row r="3192" spans="12:13" x14ac:dyDescent="0.2">
      <c r="L3192" s="4">
        <v>3186</v>
      </c>
      <c r="M3192" s="21">
        <v>-48855.096331413442</v>
      </c>
    </row>
    <row r="3193" spans="12:13" x14ac:dyDescent="0.2">
      <c r="L3193" s="4">
        <v>3187</v>
      </c>
      <c r="M3193" s="21">
        <v>-114463.26035402626</v>
      </c>
    </row>
    <row r="3194" spans="12:13" x14ac:dyDescent="0.2">
      <c r="L3194" s="4">
        <v>3188</v>
      </c>
      <c r="M3194" s="21">
        <v>139829.42991196961</v>
      </c>
    </row>
    <row r="3195" spans="12:13" x14ac:dyDescent="0.2">
      <c r="L3195" s="4">
        <v>3189</v>
      </c>
      <c r="M3195" s="21">
        <v>-222545.9695783621</v>
      </c>
    </row>
    <row r="3196" spans="12:13" x14ac:dyDescent="0.2">
      <c r="L3196" s="4">
        <v>3190</v>
      </c>
      <c r="M3196" s="21">
        <v>-96307.449264315364</v>
      </c>
    </row>
    <row r="3197" spans="12:13" x14ac:dyDescent="0.2">
      <c r="L3197" s="4">
        <v>3191</v>
      </c>
      <c r="M3197" s="21">
        <v>-327635.16388730856</v>
      </c>
    </row>
    <row r="3198" spans="12:13" x14ac:dyDescent="0.2">
      <c r="L3198" s="4">
        <v>3192</v>
      </c>
      <c r="M3198" s="21">
        <v>-136107.9758122174</v>
      </c>
    </row>
    <row r="3199" spans="12:13" x14ac:dyDescent="0.2">
      <c r="L3199" s="4">
        <v>3193</v>
      </c>
      <c r="M3199" s="21">
        <v>-12125.073414951534</v>
      </c>
    </row>
    <row r="3200" spans="12:13" x14ac:dyDescent="0.2">
      <c r="L3200" s="4">
        <v>3194</v>
      </c>
      <c r="M3200" s="21">
        <v>-238851.83582725166</v>
      </c>
    </row>
    <row r="3201" spans="12:13" x14ac:dyDescent="0.2">
      <c r="L3201" s="4">
        <v>3195</v>
      </c>
      <c r="M3201" s="21">
        <v>206133.41816973779</v>
      </c>
    </row>
    <row r="3202" spans="12:13" x14ac:dyDescent="0.2">
      <c r="L3202" s="4">
        <v>3196</v>
      </c>
      <c r="M3202" s="21">
        <v>-191768.75408148149</v>
      </c>
    </row>
    <row r="3203" spans="12:13" x14ac:dyDescent="0.2">
      <c r="L3203" s="4">
        <v>3197</v>
      </c>
      <c r="M3203" s="21">
        <v>-56541.506340494641</v>
      </c>
    </row>
    <row r="3204" spans="12:13" x14ac:dyDescent="0.2">
      <c r="L3204" s="4">
        <v>3198</v>
      </c>
      <c r="M3204" s="21">
        <v>51228.096799558494</v>
      </c>
    </row>
    <row r="3205" spans="12:13" x14ac:dyDescent="0.2">
      <c r="L3205" s="4">
        <v>3199</v>
      </c>
      <c r="M3205" s="21">
        <v>-292712.86098069185</v>
      </c>
    </row>
    <row r="3206" spans="12:13" x14ac:dyDescent="0.2">
      <c r="L3206" s="4">
        <v>3200</v>
      </c>
      <c r="M3206" s="21">
        <v>727.96905516108382</v>
      </c>
    </row>
    <row r="3207" spans="12:13" x14ac:dyDescent="0.2">
      <c r="L3207" s="4">
        <v>3201</v>
      </c>
      <c r="M3207" s="21">
        <v>93802.729959699907</v>
      </c>
    </row>
    <row r="3208" spans="12:13" x14ac:dyDescent="0.2">
      <c r="L3208" s="4">
        <v>3202</v>
      </c>
      <c r="M3208" s="21">
        <v>37681.042579717177</v>
      </c>
    </row>
    <row r="3209" spans="12:13" x14ac:dyDescent="0.2">
      <c r="L3209" s="4">
        <v>3203</v>
      </c>
      <c r="M3209" s="21">
        <v>-104071.00918807831</v>
      </c>
    </row>
    <row r="3210" spans="12:13" x14ac:dyDescent="0.2">
      <c r="L3210" s="4">
        <v>3204</v>
      </c>
      <c r="M3210" s="21">
        <v>125626.5735161512</v>
      </c>
    </row>
    <row r="3211" spans="12:13" x14ac:dyDescent="0.2">
      <c r="L3211" s="4">
        <v>3205</v>
      </c>
      <c r="M3211" s="21">
        <v>64030.373211960599</v>
      </c>
    </row>
    <row r="3212" spans="12:13" x14ac:dyDescent="0.2">
      <c r="L3212" s="4">
        <v>3206</v>
      </c>
      <c r="M3212" s="21">
        <v>-64352.084765606778</v>
      </c>
    </row>
    <row r="3213" spans="12:13" x14ac:dyDescent="0.2">
      <c r="L3213" s="4">
        <v>3207</v>
      </c>
      <c r="M3213" s="21">
        <v>-242110.52358873203</v>
      </c>
    </row>
    <row r="3214" spans="12:13" x14ac:dyDescent="0.2">
      <c r="L3214" s="4">
        <v>3208</v>
      </c>
      <c r="M3214" s="21">
        <v>-25588.854720512361</v>
      </c>
    </row>
    <row r="3215" spans="12:13" x14ac:dyDescent="0.2">
      <c r="L3215" s="4">
        <v>3209</v>
      </c>
      <c r="M3215" s="21">
        <v>83766.422918367025</v>
      </c>
    </row>
    <row r="3216" spans="12:13" x14ac:dyDescent="0.2">
      <c r="L3216" s="4">
        <v>3210</v>
      </c>
      <c r="M3216" s="21">
        <v>264497.22720192012</v>
      </c>
    </row>
    <row r="3217" spans="12:13" x14ac:dyDescent="0.2">
      <c r="L3217" s="4">
        <v>3211</v>
      </c>
      <c r="M3217" s="21">
        <v>-39193.073882821642</v>
      </c>
    </row>
    <row r="3218" spans="12:13" x14ac:dyDescent="0.2">
      <c r="L3218" s="4">
        <v>3212</v>
      </c>
      <c r="M3218" s="21">
        <v>-60325.949327058523</v>
      </c>
    </row>
    <row r="3219" spans="12:13" x14ac:dyDescent="0.2">
      <c r="L3219" s="4">
        <v>3213</v>
      </c>
      <c r="M3219" s="21">
        <v>-223660.12239100999</v>
      </c>
    </row>
    <row r="3220" spans="12:13" x14ac:dyDescent="0.2">
      <c r="L3220" s="4">
        <v>3214</v>
      </c>
      <c r="M3220" s="21">
        <v>-200936.80067781382</v>
      </c>
    </row>
    <row r="3221" spans="12:13" x14ac:dyDescent="0.2">
      <c r="L3221" s="4">
        <v>3215</v>
      </c>
      <c r="M3221" s="21">
        <v>-37796.515502945942</v>
      </c>
    </row>
    <row r="3222" spans="12:13" x14ac:dyDescent="0.2">
      <c r="L3222" s="4">
        <v>3216</v>
      </c>
      <c r="M3222" s="21">
        <v>356189.50392639905</v>
      </c>
    </row>
    <row r="3223" spans="12:13" x14ac:dyDescent="0.2">
      <c r="L3223" s="4">
        <v>3217</v>
      </c>
      <c r="M3223" s="21">
        <v>-189300.50734705623</v>
      </c>
    </row>
    <row r="3224" spans="12:13" x14ac:dyDescent="0.2">
      <c r="L3224" s="4">
        <v>3218</v>
      </c>
      <c r="M3224" s="21">
        <v>131918.97837475897</v>
      </c>
    </row>
    <row r="3225" spans="12:13" x14ac:dyDescent="0.2">
      <c r="L3225" s="4">
        <v>3219</v>
      </c>
      <c r="M3225" s="21">
        <v>-68128.957977245373</v>
      </c>
    </row>
    <row r="3226" spans="12:13" x14ac:dyDescent="0.2">
      <c r="L3226" s="4">
        <v>3220</v>
      </c>
      <c r="M3226" s="21">
        <v>-200346.02203424671</v>
      </c>
    </row>
    <row r="3227" spans="12:13" x14ac:dyDescent="0.2">
      <c r="L3227" s="4">
        <v>3221</v>
      </c>
      <c r="M3227" s="21">
        <v>8461.1634810399264</v>
      </c>
    </row>
    <row r="3228" spans="12:13" x14ac:dyDescent="0.2">
      <c r="L3228" s="4">
        <v>3222</v>
      </c>
      <c r="M3228" s="21">
        <v>21436.820375788171</v>
      </c>
    </row>
    <row r="3229" spans="12:13" x14ac:dyDescent="0.2">
      <c r="L3229" s="4">
        <v>3223</v>
      </c>
      <c r="M3229" s="21">
        <v>-144313.78937439024</v>
      </c>
    </row>
    <row r="3230" spans="12:13" x14ac:dyDescent="0.2">
      <c r="L3230" s="4">
        <v>3224</v>
      </c>
      <c r="M3230" s="21">
        <v>27517.686541927775</v>
      </c>
    </row>
    <row r="3231" spans="12:13" x14ac:dyDescent="0.2">
      <c r="L3231" s="4">
        <v>3225</v>
      </c>
      <c r="M3231" s="21">
        <v>39855.246547687188</v>
      </c>
    </row>
    <row r="3232" spans="12:13" x14ac:dyDescent="0.2">
      <c r="L3232" s="4">
        <v>3226</v>
      </c>
      <c r="M3232" s="21">
        <v>189455.44963784202</v>
      </c>
    </row>
    <row r="3233" spans="12:13" x14ac:dyDescent="0.2">
      <c r="L3233" s="4">
        <v>3227</v>
      </c>
      <c r="M3233" s="21">
        <v>-74189.330138469348</v>
      </c>
    </row>
    <row r="3234" spans="12:13" x14ac:dyDescent="0.2">
      <c r="L3234" s="4">
        <v>3228</v>
      </c>
      <c r="M3234" s="21">
        <v>-92350.46580145006</v>
      </c>
    </row>
    <row r="3235" spans="12:13" x14ac:dyDescent="0.2">
      <c r="L3235" s="4">
        <v>3229</v>
      </c>
      <c r="M3235" s="21">
        <v>211341.60325034522</v>
      </c>
    </row>
    <row r="3236" spans="12:13" x14ac:dyDescent="0.2">
      <c r="L3236" s="4">
        <v>3230</v>
      </c>
      <c r="M3236" s="21">
        <v>39201.228700243431</v>
      </c>
    </row>
    <row r="3237" spans="12:13" x14ac:dyDescent="0.2">
      <c r="L3237" s="4">
        <v>3231</v>
      </c>
      <c r="M3237" s="21">
        <v>-176089.67678948381</v>
      </c>
    </row>
    <row r="3238" spans="12:13" x14ac:dyDescent="0.2">
      <c r="L3238" s="4">
        <v>3232</v>
      </c>
      <c r="M3238" s="21">
        <v>65300.946389235411</v>
      </c>
    </row>
    <row r="3239" spans="12:13" x14ac:dyDescent="0.2">
      <c r="L3239" s="4">
        <v>3233</v>
      </c>
      <c r="M3239" s="21">
        <v>156324.82843229987</v>
      </c>
    </row>
    <row r="3240" spans="12:13" x14ac:dyDescent="0.2">
      <c r="L3240" s="4">
        <v>3234</v>
      </c>
      <c r="M3240" s="21">
        <v>241718.00752411361</v>
      </c>
    </row>
    <row r="3241" spans="12:13" x14ac:dyDescent="0.2">
      <c r="L3241" s="4">
        <v>3235</v>
      </c>
      <c r="M3241" s="21">
        <v>181204.9166004851</v>
      </c>
    </row>
    <row r="3242" spans="12:13" x14ac:dyDescent="0.2">
      <c r="L3242" s="4">
        <v>3236</v>
      </c>
      <c r="M3242" s="21">
        <v>63333.523385557608</v>
      </c>
    </row>
    <row r="3243" spans="12:13" x14ac:dyDescent="0.2">
      <c r="L3243" s="4">
        <v>3237</v>
      </c>
      <c r="M3243" s="21">
        <v>43436.770770097035</v>
      </c>
    </row>
    <row r="3244" spans="12:13" x14ac:dyDescent="0.2">
      <c r="L3244" s="4">
        <v>3238</v>
      </c>
      <c r="M3244" s="21">
        <v>-166486.50872798741</v>
      </c>
    </row>
    <row r="3245" spans="12:13" x14ac:dyDescent="0.2">
      <c r="L3245" s="4">
        <v>3239</v>
      </c>
      <c r="M3245" s="21">
        <v>96196.555480889394</v>
      </c>
    </row>
    <row r="3246" spans="12:13" x14ac:dyDescent="0.2">
      <c r="L3246" s="4">
        <v>3240</v>
      </c>
      <c r="M3246" s="21">
        <v>-233100.67532681956</v>
      </c>
    </row>
    <row r="3247" spans="12:13" x14ac:dyDescent="0.2">
      <c r="L3247" s="4">
        <v>3241</v>
      </c>
      <c r="M3247" s="21">
        <v>-113350.42957392217</v>
      </c>
    </row>
    <row r="3248" spans="12:13" x14ac:dyDescent="0.2">
      <c r="L3248" s="4">
        <v>3242</v>
      </c>
      <c r="M3248" s="21">
        <v>54382.81369120942</v>
      </c>
    </row>
    <row r="3249" spans="12:13" x14ac:dyDescent="0.2">
      <c r="L3249" s="4">
        <v>3243</v>
      </c>
      <c r="M3249" s="21">
        <v>1433.7325598744792</v>
      </c>
    </row>
    <row r="3250" spans="12:13" x14ac:dyDescent="0.2">
      <c r="L3250" s="4">
        <v>3244</v>
      </c>
      <c r="M3250" s="21">
        <v>208701.16770989113</v>
      </c>
    </row>
    <row r="3251" spans="12:13" x14ac:dyDescent="0.2">
      <c r="L3251" s="4">
        <v>3245</v>
      </c>
      <c r="M3251" s="21">
        <v>232934.80168415458</v>
      </c>
    </row>
    <row r="3252" spans="12:13" x14ac:dyDescent="0.2">
      <c r="L3252" s="4">
        <v>3246</v>
      </c>
      <c r="M3252" s="21">
        <v>248737.58410131864</v>
      </c>
    </row>
    <row r="3253" spans="12:13" x14ac:dyDescent="0.2">
      <c r="L3253" s="4">
        <v>3247</v>
      </c>
      <c r="M3253" s="21">
        <v>-58930.379212612068</v>
      </c>
    </row>
    <row r="3254" spans="12:13" x14ac:dyDescent="0.2">
      <c r="L3254" s="4">
        <v>3248</v>
      </c>
      <c r="M3254" s="21">
        <v>217775.70335519011</v>
      </c>
    </row>
    <row r="3255" spans="12:13" x14ac:dyDescent="0.2">
      <c r="L3255" s="4">
        <v>3249</v>
      </c>
      <c r="M3255" s="21">
        <v>-130256.65742327989</v>
      </c>
    </row>
    <row r="3256" spans="12:13" x14ac:dyDescent="0.2">
      <c r="L3256" s="4">
        <v>3250</v>
      </c>
      <c r="M3256" s="21">
        <v>28356.487195529073</v>
      </c>
    </row>
    <row r="3257" spans="12:13" x14ac:dyDescent="0.2">
      <c r="L3257" s="4">
        <v>3251</v>
      </c>
      <c r="M3257" s="21">
        <v>-236003.67443109851</v>
      </c>
    </row>
    <row r="3258" spans="12:13" x14ac:dyDescent="0.2">
      <c r="L3258" s="4">
        <v>3252</v>
      </c>
      <c r="M3258" s="21">
        <v>240389.9300164009</v>
      </c>
    </row>
    <row r="3259" spans="12:13" x14ac:dyDescent="0.2">
      <c r="L3259" s="4">
        <v>3253</v>
      </c>
      <c r="M3259" s="21">
        <v>170318.10108257923</v>
      </c>
    </row>
    <row r="3260" spans="12:13" x14ac:dyDescent="0.2">
      <c r="L3260" s="4">
        <v>3254</v>
      </c>
      <c r="M3260" s="21">
        <v>15183.016002189135</v>
      </c>
    </row>
    <row r="3261" spans="12:13" x14ac:dyDescent="0.2">
      <c r="L3261" s="4">
        <v>3255</v>
      </c>
      <c r="M3261" s="21">
        <v>-288051.94340143126</v>
      </c>
    </row>
    <row r="3262" spans="12:13" x14ac:dyDescent="0.2">
      <c r="L3262" s="4">
        <v>3256</v>
      </c>
      <c r="M3262" s="21">
        <v>40886.662649191683</v>
      </c>
    </row>
    <row r="3263" spans="12:13" x14ac:dyDescent="0.2">
      <c r="L3263" s="4">
        <v>3257</v>
      </c>
      <c r="M3263" s="21">
        <v>-74354.219888073785</v>
      </c>
    </row>
    <row r="3264" spans="12:13" x14ac:dyDescent="0.2">
      <c r="L3264" s="4">
        <v>3258</v>
      </c>
      <c r="M3264" s="21">
        <v>-14887.65490442187</v>
      </c>
    </row>
    <row r="3265" spans="12:13" x14ac:dyDescent="0.2">
      <c r="L3265" s="4">
        <v>3259</v>
      </c>
      <c r="M3265" s="21">
        <v>-46447.757810300216</v>
      </c>
    </row>
    <row r="3266" spans="12:13" x14ac:dyDescent="0.2">
      <c r="L3266" s="4">
        <v>3260</v>
      </c>
      <c r="M3266" s="21">
        <v>-237011.62852584035</v>
      </c>
    </row>
    <row r="3267" spans="12:13" x14ac:dyDescent="0.2">
      <c r="L3267" s="4">
        <v>3261</v>
      </c>
      <c r="M3267" s="21">
        <v>100650.01154751296</v>
      </c>
    </row>
    <row r="3268" spans="12:13" x14ac:dyDescent="0.2">
      <c r="L3268" s="4">
        <v>3262</v>
      </c>
      <c r="M3268" s="21">
        <v>185707.03557539827</v>
      </c>
    </row>
    <row r="3269" spans="12:13" x14ac:dyDescent="0.2">
      <c r="L3269" s="4">
        <v>3263</v>
      </c>
      <c r="M3269" s="21">
        <v>39043.170055459806</v>
      </c>
    </row>
    <row r="3270" spans="12:13" x14ac:dyDescent="0.2">
      <c r="L3270" s="4">
        <v>3264</v>
      </c>
      <c r="M3270" s="21">
        <v>-281315.81819282856</v>
      </c>
    </row>
    <row r="3271" spans="12:13" x14ac:dyDescent="0.2">
      <c r="L3271" s="4">
        <v>3265</v>
      </c>
      <c r="M3271" s="21">
        <v>113857.73815298631</v>
      </c>
    </row>
    <row r="3272" spans="12:13" x14ac:dyDescent="0.2">
      <c r="L3272" s="4">
        <v>3266</v>
      </c>
      <c r="M3272" s="21">
        <v>-159251.77728993224</v>
      </c>
    </row>
    <row r="3273" spans="12:13" x14ac:dyDescent="0.2">
      <c r="L3273" s="4">
        <v>3267</v>
      </c>
      <c r="M3273" s="21">
        <v>139626.18105207488</v>
      </c>
    </row>
    <row r="3274" spans="12:13" x14ac:dyDescent="0.2">
      <c r="L3274" s="4">
        <v>3268</v>
      </c>
      <c r="M3274" s="21">
        <v>56956.774468973948</v>
      </c>
    </row>
    <row r="3275" spans="12:13" x14ac:dyDescent="0.2">
      <c r="L3275" s="4">
        <v>3269</v>
      </c>
      <c r="M3275" s="21">
        <v>56345.420920072298</v>
      </c>
    </row>
    <row r="3276" spans="12:13" x14ac:dyDescent="0.2">
      <c r="L3276" s="4">
        <v>3270</v>
      </c>
      <c r="M3276" s="21">
        <v>1990.3150963570224</v>
      </c>
    </row>
    <row r="3277" spans="12:13" x14ac:dyDescent="0.2">
      <c r="L3277" s="4">
        <v>3271</v>
      </c>
      <c r="M3277" s="21">
        <v>-80611.853086061805</v>
      </c>
    </row>
    <row r="3278" spans="12:13" x14ac:dyDescent="0.2">
      <c r="L3278" s="4">
        <v>3272</v>
      </c>
      <c r="M3278" s="21">
        <v>-216055.90930494267</v>
      </c>
    </row>
    <row r="3279" spans="12:13" x14ac:dyDescent="0.2">
      <c r="L3279" s="4">
        <v>3273</v>
      </c>
      <c r="M3279" s="21">
        <v>-121898.29947610773</v>
      </c>
    </row>
    <row r="3280" spans="12:13" x14ac:dyDescent="0.2">
      <c r="L3280" s="4">
        <v>3274</v>
      </c>
      <c r="M3280" s="21">
        <v>-219193.90480338823</v>
      </c>
    </row>
    <row r="3281" spans="12:13" x14ac:dyDescent="0.2">
      <c r="L3281" s="4">
        <v>3275</v>
      </c>
      <c r="M3281" s="21">
        <v>-60586.060634965368</v>
      </c>
    </row>
    <row r="3282" spans="12:13" x14ac:dyDescent="0.2">
      <c r="L3282" s="4">
        <v>3276</v>
      </c>
      <c r="M3282" s="21">
        <v>127000.52006366479</v>
      </c>
    </row>
    <row r="3283" spans="12:13" x14ac:dyDescent="0.2">
      <c r="L3283" s="4">
        <v>3277</v>
      </c>
      <c r="M3283" s="21">
        <v>185684.37915255001</v>
      </c>
    </row>
    <row r="3284" spans="12:13" x14ac:dyDescent="0.2">
      <c r="L3284" s="4">
        <v>3278</v>
      </c>
      <c r="M3284" s="21">
        <v>-26071.424307482914</v>
      </c>
    </row>
    <row r="3285" spans="12:13" x14ac:dyDescent="0.2">
      <c r="L3285" s="4">
        <v>3279</v>
      </c>
      <c r="M3285" s="21">
        <v>172505.7500766725</v>
      </c>
    </row>
    <row r="3286" spans="12:13" x14ac:dyDescent="0.2">
      <c r="L3286" s="4">
        <v>3280</v>
      </c>
      <c r="M3286" s="21">
        <v>-159098.96313947963</v>
      </c>
    </row>
    <row r="3287" spans="12:13" x14ac:dyDescent="0.2">
      <c r="L3287" s="4">
        <v>3281</v>
      </c>
      <c r="M3287" s="21">
        <v>-63656.258753807386</v>
      </c>
    </row>
    <row r="3288" spans="12:13" x14ac:dyDescent="0.2">
      <c r="L3288" s="4">
        <v>3282</v>
      </c>
      <c r="M3288" s="21">
        <v>95150.941283494496</v>
      </c>
    </row>
    <row r="3289" spans="12:13" x14ac:dyDescent="0.2">
      <c r="L3289" s="4">
        <v>3283</v>
      </c>
      <c r="M3289" s="21">
        <v>-85899.081051052315</v>
      </c>
    </row>
    <row r="3290" spans="12:13" x14ac:dyDescent="0.2">
      <c r="L3290" s="4">
        <v>3284</v>
      </c>
      <c r="M3290" s="21">
        <v>-178805.2251166433</v>
      </c>
    </row>
    <row r="3291" spans="12:13" x14ac:dyDescent="0.2">
      <c r="L3291" s="4">
        <v>3285</v>
      </c>
      <c r="M3291" s="21">
        <v>-266391.51501769689</v>
      </c>
    </row>
    <row r="3292" spans="12:13" x14ac:dyDescent="0.2">
      <c r="L3292" s="4">
        <v>3286</v>
      </c>
      <c r="M3292" s="21">
        <v>-61384.982029231935</v>
      </c>
    </row>
    <row r="3293" spans="12:13" x14ac:dyDescent="0.2">
      <c r="L3293" s="4">
        <v>3287</v>
      </c>
      <c r="M3293" s="21">
        <v>40752.966241244983</v>
      </c>
    </row>
    <row r="3294" spans="12:13" x14ac:dyDescent="0.2">
      <c r="L3294" s="4">
        <v>3288</v>
      </c>
      <c r="M3294" s="21">
        <v>-49405.331247441078</v>
      </c>
    </row>
    <row r="3295" spans="12:13" x14ac:dyDescent="0.2">
      <c r="L3295" s="4">
        <v>3289</v>
      </c>
      <c r="M3295" s="21">
        <v>-75187.898371862175</v>
      </c>
    </row>
    <row r="3296" spans="12:13" x14ac:dyDescent="0.2">
      <c r="L3296" s="4">
        <v>3290</v>
      </c>
      <c r="M3296" s="21">
        <v>55573.461611769686</v>
      </c>
    </row>
    <row r="3297" spans="12:13" x14ac:dyDescent="0.2">
      <c r="L3297" s="4">
        <v>3291</v>
      </c>
      <c r="M3297" s="21">
        <v>228515.80507408193</v>
      </c>
    </row>
    <row r="3298" spans="12:13" x14ac:dyDescent="0.2">
      <c r="L3298" s="4">
        <v>3292</v>
      </c>
      <c r="M3298" s="21">
        <v>-632.13816041940299</v>
      </c>
    </row>
    <row r="3299" spans="12:13" x14ac:dyDescent="0.2">
      <c r="L3299" s="4">
        <v>3293</v>
      </c>
      <c r="M3299" s="21">
        <v>135157.2386488925</v>
      </c>
    </row>
    <row r="3300" spans="12:13" x14ac:dyDescent="0.2">
      <c r="L3300" s="4">
        <v>3294</v>
      </c>
      <c r="M3300" s="21">
        <v>202227.34045170672</v>
      </c>
    </row>
    <row r="3301" spans="12:13" x14ac:dyDescent="0.2">
      <c r="L3301" s="4">
        <v>3295</v>
      </c>
      <c r="M3301" s="21">
        <v>156220.08613377897</v>
      </c>
    </row>
    <row r="3302" spans="12:13" x14ac:dyDescent="0.2">
      <c r="L3302" s="4">
        <v>3296</v>
      </c>
      <c r="M3302" s="21">
        <v>141365.15033174434</v>
      </c>
    </row>
    <row r="3303" spans="12:13" x14ac:dyDescent="0.2">
      <c r="L3303" s="4">
        <v>3297</v>
      </c>
      <c r="M3303" s="21">
        <v>-51419.417680266721</v>
      </c>
    </row>
    <row r="3304" spans="12:13" x14ac:dyDescent="0.2">
      <c r="L3304" s="4">
        <v>3298</v>
      </c>
      <c r="M3304" s="21">
        <v>302110.4140773362</v>
      </c>
    </row>
    <row r="3305" spans="12:13" x14ac:dyDescent="0.2">
      <c r="L3305" s="4">
        <v>3299</v>
      </c>
      <c r="M3305" s="21">
        <v>125241.38830627219</v>
      </c>
    </row>
    <row r="3306" spans="12:13" x14ac:dyDescent="0.2">
      <c r="L3306" s="4">
        <v>3300</v>
      </c>
      <c r="M3306" s="21">
        <v>145288.66774350678</v>
      </c>
    </row>
    <row r="3307" spans="12:13" x14ac:dyDescent="0.2">
      <c r="L3307" s="4">
        <v>3301</v>
      </c>
      <c r="M3307" s="21">
        <v>288241.3021194769</v>
      </c>
    </row>
    <row r="3308" spans="12:13" x14ac:dyDescent="0.2">
      <c r="L3308" s="4">
        <v>3302</v>
      </c>
      <c r="M3308" s="21">
        <v>-54145.274946588863</v>
      </c>
    </row>
    <row r="3309" spans="12:13" x14ac:dyDescent="0.2">
      <c r="L3309" s="4">
        <v>3303</v>
      </c>
      <c r="M3309" s="21">
        <v>-36165.748093272545</v>
      </c>
    </row>
    <row r="3310" spans="12:13" x14ac:dyDescent="0.2">
      <c r="L3310" s="4">
        <v>3304</v>
      </c>
      <c r="M3310" s="21">
        <v>56290.963381370035</v>
      </c>
    </row>
    <row r="3311" spans="12:13" x14ac:dyDescent="0.2">
      <c r="L3311" s="4">
        <v>3305</v>
      </c>
      <c r="M3311" s="21">
        <v>-57901.671375022837</v>
      </c>
    </row>
    <row r="3312" spans="12:13" x14ac:dyDescent="0.2">
      <c r="L3312" s="4">
        <v>3306</v>
      </c>
      <c r="M3312" s="21">
        <v>-89111.958761783739</v>
      </c>
    </row>
    <row r="3313" spans="12:13" x14ac:dyDescent="0.2">
      <c r="L3313" s="4">
        <v>3307</v>
      </c>
      <c r="M3313" s="21">
        <v>46006.319406595023</v>
      </c>
    </row>
    <row r="3314" spans="12:13" x14ac:dyDescent="0.2">
      <c r="L3314" s="4">
        <v>3308</v>
      </c>
      <c r="M3314" s="21">
        <v>-271039.66831685929</v>
      </c>
    </row>
    <row r="3315" spans="12:13" x14ac:dyDescent="0.2">
      <c r="L3315" s="4">
        <v>3309</v>
      </c>
      <c r="M3315" s="21">
        <v>-3842.7470847383374</v>
      </c>
    </row>
    <row r="3316" spans="12:13" x14ac:dyDescent="0.2">
      <c r="L3316" s="4">
        <v>3310</v>
      </c>
      <c r="M3316" s="21">
        <v>-2969.1265489980724</v>
      </c>
    </row>
    <row r="3317" spans="12:13" x14ac:dyDescent="0.2">
      <c r="L3317" s="4">
        <v>3311</v>
      </c>
      <c r="M3317" s="21">
        <v>-295205.28939941007</v>
      </c>
    </row>
    <row r="3318" spans="12:13" x14ac:dyDescent="0.2">
      <c r="L3318" s="4">
        <v>3312</v>
      </c>
      <c r="M3318" s="21">
        <v>2648.1889033079206</v>
      </c>
    </row>
    <row r="3319" spans="12:13" x14ac:dyDescent="0.2">
      <c r="L3319" s="4">
        <v>3313</v>
      </c>
      <c r="M3319" s="21">
        <v>184696.3589842745</v>
      </c>
    </row>
    <row r="3320" spans="12:13" x14ac:dyDescent="0.2">
      <c r="L3320" s="4">
        <v>3314</v>
      </c>
      <c r="M3320" s="21">
        <v>-147967.13990252413</v>
      </c>
    </row>
    <row r="3321" spans="12:13" x14ac:dyDescent="0.2">
      <c r="L3321" s="4">
        <v>3315</v>
      </c>
      <c r="M3321" s="21">
        <v>166893.12191822476</v>
      </c>
    </row>
    <row r="3322" spans="12:13" x14ac:dyDescent="0.2">
      <c r="L3322" s="4">
        <v>3316</v>
      </c>
      <c r="M3322" s="21">
        <v>-115706.43576563617</v>
      </c>
    </row>
    <row r="3323" spans="12:13" x14ac:dyDescent="0.2">
      <c r="L3323" s="4">
        <v>3317</v>
      </c>
      <c r="M3323" s="21">
        <v>87591.433331688808</v>
      </c>
    </row>
    <row r="3324" spans="12:13" x14ac:dyDescent="0.2">
      <c r="L3324" s="4">
        <v>3318</v>
      </c>
      <c r="M3324" s="21">
        <v>183986.0202450059</v>
      </c>
    </row>
    <row r="3325" spans="12:13" x14ac:dyDescent="0.2">
      <c r="L3325" s="4">
        <v>3319</v>
      </c>
      <c r="M3325" s="21">
        <v>78749.686696065939</v>
      </c>
    </row>
    <row r="3326" spans="12:13" x14ac:dyDescent="0.2">
      <c r="L3326" s="4">
        <v>3320</v>
      </c>
      <c r="M3326" s="21">
        <v>-54496.113679859933</v>
      </c>
    </row>
    <row r="3327" spans="12:13" x14ac:dyDescent="0.2">
      <c r="L3327" s="4">
        <v>3321</v>
      </c>
      <c r="M3327" s="21">
        <v>228635.47896192523</v>
      </c>
    </row>
    <row r="3328" spans="12:13" x14ac:dyDescent="0.2">
      <c r="L3328" s="4">
        <v>3322</v>
      </c>
      <c r="M3328" s="21">
        <v>-101128.54884438656</v>
      </c>
    </row>
    <row r="3329" spans="12:13" x14ac:dyDescent="0.2">
      <c r="L3329" s="4">
        <v>3323</v>
      </c>
      <c r="M3329" s="21">
        <v>-105978.98238061726</v>
      </c>
    </row>
    <row r="3330" spans="12:13" x14ac:dyDescent="0.2">
      <c r="L3330" s="4">
        <v>3324</v>
      </c>
      <c r="M3330" s="21">
        <v>120799.46345371779</v>
      </c>
    </row>
    <row r="3331" spans="12:13" x14ac:dyDescent="0.2">
      <c r="L3331" s="4">
        <v>3325</v>
      </c>
      <c r="M3331" s="21">
        <v>-273296.55734942947</v>
      </c>
    </row>
    <row r="3332" spans="12:13" x14ac:dyDescent="0.2">
      <c r="L3332" s="4">
        <v>3326</v>
      </c>
      <c r="M3332" s="21">
        <v>-314133.36279464769</v>
      </c>
    </row>
    <row r="3333" spans="12:13" x14ac:dyDescent="0.2">
      <c r="L3333" s="4">
        <v>3327</v>
      </c>
      <c r="M3333" s="21">
        <v>52438.560495645186</v>
      </c>
    </row>
    <row r="3334" spans="12:13" x14ac:dyDescent="0.2">
      <c r="L3334" s="4">
        <v>3328</v>
      </c>
      <c r="M3334" s="21">
        <v>-21203.333571546435</v>
      </c>
    </row>
    <row r="3335" spans="12:13" x14ac:dyDescent="0.2">
      <c r="L3335" s="4">
        <v>3329</v>
      </c>
      <c r="M3335" s="21">
        <v>-174361.38019280345</v>
      </c>
    </row>
    <row r="3336" spans="12:13" x14ac:dyDescent="0.2">
      <c r="L3336" s="4">
        <v>3330</v>
      </c>
      <c r="M3336" s="21">
        <v>-165152.90517522272</v>
      </c>
    </row>
    <row r="3337" spans="12:13" x14ac:dyDescent="0.2">
      <c r="L3337" s="4">
        <v>3331</v>
      </c>
      <c r="M3337" s="21">
        <v>169377.85338666249</v>
      </c>
    </row>
    <row r="3338" spans="12:13" x14ac:dyDescent="0.2">
      <c r="L3338" s="4">
        <v>3332</v>
      </c>
      <c r="M3338" s="21">
        <v>8939.2231178707734</v>
      </c>
    </row>
    <row r="3339" spans="12:13" x14ac:dyDescent="0.2">
      <c r="L3339" s="4">
        <v>3333</v>
      </c>
      <c r="M3339" s="21">
        <v>-141430.8428689072</v>
      </c>
    </row>
    <row r="3340" spans="12:13" x14ac:dyDescent="0.2">
      <c r="L3340" s="4">
        <v>3334</v>
      </c>
      <c r="M3340" s="21">
        <v>21202.298438003811</v>
      </c>
    </row>
    <row r="3341" spans="12:13" x14ac:dyDescent="0.2">
      <c r="L3341" s="4">
        <v>3335</v>
      </c>
      <c r="M3341" s="21">
        <v>-212927.71795396612</v>
      </c>
    </row>
    <row r="3342" spans="12:13" x14ac:dyDescent="0.2">
      <c r="L3342" s="4">
        <v>3336</v>
      </c>
      <c r="M3342" s="21">
        <v>303643.81261573755</v>
      </c>
    </row>
    <row r="3343" spans="12:13" x14ac:dyDescent="0.2">
      <c r="L3343" s="4">
        <v>3337</v>
      </c>
      <c r="M3343" s="21">
        <v>53190.282784463197</v>
      </c>
    </row>
    <row r="3344" spans="12:13" x14ac:dyDescent="0.2">
      <c r="L3344" s="4">
        <v>3338</v>
      </c>
      <c r="M3344" s="21">
        <v>-36482.729915214455</v>
      </c>
    </row>
    <row r="3345" spans="12:13" x14ac:dyDescent="0.2">
      <c r="L3345" s="4">
        <v>3339</v>
      </c>
      <c r="M3345" s="21">
        <v>-154766.11095633096</v>
      </c>
    </row>
    <row r="3346" spans="12:13" x14ac:dyDescent="0.2">
      <c r="L3346" s="4">
        <v>3340</v>
      </c>
      <c r="M3346" s="21">
        <v>-32046.897018017145</v>
      </c>
    </row>
    <row r="3347" spans="12:13" x14ac:dyDescent="0.2">
      <c r="L3347" s="4">
        <v>3341</v>
      </c>
      <c r="M3347" s="21">
        <v>54893.796662811626</v>
      </c>
    </row>
    <row r="3348" spans="12:13" x14ac:dyDescent="0.2">
      <c r="L3348" s="4">
        <v>3342</v>
      </c>
      <c r="M3348" s="21">
        <v>142488.71930958616</v>
      </c>
    </row>
    <row r="3349" spans="12:13" x14ac:dyDescent="0.2">
      <c r="L3349" s="4">
        <v>3343</v>
      </c>
      <c r="M3349" s="21">
        <v>-43589.430519292364</v>
      </c>
    </row>
    <row r="3350" spans="12:13" x14ac:dyDescent="0.2">
      <c r="L3350" s="4">
        <v>3344</v>
      </c>
      <c r="M3350" s="21">
        <v>58286.158890046994</v>
      </c>
    </row>
    <row r="3351" spans="12:13" x14ac:dyDescent="0.2">
      <c r="L3351" s="4">
        <v>3345</v>
      </c>
      <c r="M3351" s="21">
        <v>150946.42874258087</v>
      </c>
    </row>
    <row r="3352" spans="12:13" x14ac:dyDescent="0.2">
      <c r="L3352" s="4">
        <v>3346</v>
      </c>
      <c r="M3352" s="21">
        <v>296862.12138023076</v>
      </c>
    </row>
    <row r="3353" spans="12:13" x14ac:dyDescent="0.2">
      <c r="L3353" s="4">
        <v>3347</v>
      </c>
      <c r="M3353" s="21">
        <v>47400.279611560167</v>
      </c>
    </row>
    <row r="3354" spans="12:13" x14ac:dyDescent="0.2">
      <c r="L3354" s="4">
        <v>3348</v>
      </c>
      <c r="M3354" s="21">
        <v>81044.907756660978</v>
      </c>
    </row>
    <row r="3355" spans="12:13" x14ac:dyDescent="0.2">
      <c r="L3355" s="4">
        <v>3349</v>
      </c>
      <c r="M3355" s="21">
        <v>-88610.967102669369</v>
      </c>
    </row>
    <row r="3356" spans="12:13" x14ac:dyDescent="0.2">
      <c r="L3356" s="4">
        <v>3350</v>
      </c>
      <c r="M3356" s="21">
        <v>176059.06489548221</v>
      </c>
    </row>
    <row r="3357" spans="12:13" x14ac:dyDescent="0.2">
      <c r="L3357" s="4">
        <v>3351</v>
      </c>
      <c r="M3357" s="21">
        <v>-43682.109876307266</v>
      </c>
    </row>
    <row r="3358" spans="12:13" x14ac:dyDescent="0.2">
      <c r="L3358" s="4">
        <v>3352</v>
      </c>
      <c r="M3358" s="21">
        <v>-191747.75890188338</v>
      </c>
    </row>
    <row r="3359" spans="12:13" x14ac:dyDescent="0.2">
      <c r="L3359" s="4">
        <v>3353</v>
      </c>
      <c r="M3359" s="21">
        <v>93632.153914762486</v>
      </c>
    </row>
    <row r="3360" spans="12:13" x14ac:dyDescent="0.2">
      <c r="L3360" s="4">
        <v>3354</v>
      </c>
      <c r="M3360" s="21">
        <v>-5893.8167185656057</v>
      </c>
    </row>
    <row r="3361" spans="12:13" x14ac:dyDescent="0.2">
      <c r="L3361" s="4">
        <v>3355</v>
      </c>
      <c r="M3361" s="21">
        <v>-68682.061155098228</v>
      </c>
    </row>
    <row r="3362" spans="12:13" x14ac:dyDescent="0.2">
      <c r="L3362" s="4">
        <v>3356</v>
      </c>
      <c r="M3362" s="21">
        <v>-118436.89585988478</v>
      </c>
    </row>
    <row r="3363" spans="12:13" x14ac:dyDescent="0.2">
      <c r="L3363" s="4">
        <v>3357</v>
      </c>
      <c r="M3363" s="21">
        <v>-198711.72228979104</v>
      </c>
    </row>
    <row r="3364" spans="12:13" x14ac:dyDescent="0.2">
      <c r="L3364" s="4">
        <v>3358</v>
      </c>
      <c r="M3364" s="21">
        <v>-52755.282746042707</v>
      </c>
    </row>
    <row r="3365" spans="12:13" x14ac:dyDescent="0.2">
      <c r="L3365" s="4">
        <v>3359</v>
      </c>
      <c r="M3365" s="21">
        <v>118430.35841347839</v>
      </c>
    </row>
    <row r="3366" spans="12:13" x14ac:dyDescent="0.2">
      <c r="L3366" s="4">
        <v>3360</v>
      </c>
      <c r="M3366" s="21">
        <v>-179228.33295364829</v>
      </c>
    </row>
    <row r="3367" spans="12:13" x14ac:dyDescent="0.2">
      <c r="L3367" s="4">
        <v>3361</v>
      </c>
      <c r="M3367" s="21">
        <v>-219577.28632987465</v>
      </c>
    </row>
    <row r="3368" spans="12:13" x14ac:dyDescent="0.2">
      <c r="L3368" s="4">
        <v>3362</v>
      </c>
      <c r="M3368" s="21">
        <v>-72209.891419779276</v>
      </c>
    </row>
    <row r="3369" spans="12:13" x14ac:dyDescent="0.2">
      <c r="L3369" s="4">
        <v>3363</v>
      </c>
      <c r="M3369" s="21">
        <v>-99655.009328492903</v>
      </c>
    </row>
    <row r="3370" spans="12:13" x14ac:dyDescent="0.2">
      <c r="L3370" s="4">
        <v>3364</v>
      </c>
      <c r="M3370" s="21">
        <v>-174778.77967111167</v>
      </c>
    </row>
    <row r="3371" spans="12:13" x14ac:dyDescent="0.2">
      <c r="L3371" s="4">
        <v>3365</v>
      </c>
      <c r="M3371" s="21">
        <v>-47434.252875656704</v>
      </c>
    </row>
    <row r="3372" spans="12:13" x14ac:dyDescent="0.2">
      <c r="L3372" s="4">
        <v>3366</v>
      </c>
      <c r="M3372" s="21">
        <v>276650.69550439424</v>
      </c>
    </row>
    <row r="3373" spans="12:13" x14ac:dyDescent="0.2">
      <c r="L3373" s="4">
        <v>3367</v>
      </c>
      <c r="M3373" s="21">
        <v>-103858.50517441302</v>
      </c>
    </row>
    <row r="3374" spans="12:13" x14ac:dyDescent="0.2">
      <c r="L3374" s="4">
        <v>3368</v>
      </c>
      <c r="M3374" s="21">
        <v>-30409.457249485116</v>
      </c>
    </row>
    <row r="3375" spans="12:13" x14ac:dyDescent="0.2">
      <c r="L3375" s="4">
        <v>3369</v>
      </c>
      <c r="M3375" s="21">
        <v>178370.93491665591</v>
      </c>
    </row>
    <row r="3376" spans="12:13" x14ac:dyDescent="0.2">
      <c r="L3376" s="4">
        <v>3370</v>
      </c>
      <c r="M3376" s="21">
        <v>-173933.2234908691</v>
      </c>
    </row>
    <row r="3377" spans="12:13" x14ac:dyDescent="0.2">
      <c r="L3377" s="4">
        <v>3371</v>
      </c>
      <c r="M3377" s="21">
        <v>128464.96393661926</v>
      </c>
    </row>
    <row r="3378" spans="12:13" x14ac:dyDescent="0.2">
      <c r="L3378" s="4">
        <v>3372</v>
      </c>
      <c r="M3378" s="21">
        <v>-56290.386976800597</v>
      </c>
    </row>
    <row r="3379" spans="12:13" x14ac:dyDescent="0.2">
      <c r="L3379" s="4">
        <v>3373</v>
      </c>
      <c r="M3379" s="21">
        <v>231297.59655683133</v>
      </c>
    </row>
    <row r="3380" spans="12:13" x14ac:dyDescent="0.2">
      <c r="L3380" s="4">
        <v>3374</v>
      </c>
      <c r="M3380" s="21">
        <v>152552.32321697735</v>
      </c>
    </row>
    <row r="3381" spans="12:13" x14ac:dyDescent="0.2">
      <c r="L3381" s="4">
        <v>3375</v>
      </c>
      <c r="M3381" s="21">
        <v>-171487.41779257887</v>
      </c>
    </row>
    <row r="3382" spans="12:13" x14ac:dyDescent="0.2">
      <c r="L3382" s="4">
        <v>3376</v>
      </c>
      <c r="M3382" s="21">
        <v>446.09664031126886</v>
      </c>
    </row>
    <row r="3383" spans="12:13" x14ac:dyDescent="0.2">
      <c r="L3383" s="4">
        <v>3377</v>
      </c>
      <c r="M3383" s="21">
        <v>-317248.23113849096</v>
      </c>
    </row>
    <row r="3384" spans="12:13" x14ac:dyDescent="0.2">
      <c r="L3384" s="4">
        <v>3378</v>
      </c>
      <c r="M3384" s="21">
        <v>-65826.414772651071</v>
      </c>
    </row>
    <row r="3385" spans="12:13" x14ac:dyDescent="0.2">
      <c r="L3385" s="4">
        <v>3379</v>
      </c>
      <c r="M3385" s="21">
        <v>-38927.293182009278</v>
      </c>
    </row>
    <row r="3386" spans="12:13" x14ac:dyDescent="0.2">
      <c r="L3386" s="4">
        <v>3380</v>
      </c>
      <c r="M3386" s="21">
        <v>-378049.78142314858</v>
      </c>
    </row>
    <row r="3387" spans="12:13" x14ac:dyDescent="0.2">
      <c r="L3387" s="4">
        <v>3381</v>
      </c>
      <c r="M3387" s="21">
        <v>256132.51995090899</v>
      </c>
    </row>
    <row r="3388" spans="12:13" x14ac:dyDescent="0.2">
      <c r="L3388" s="4">
        <v>3382</v>
      </c>
      <c r="M3388" s="21">
        <v>94499.781207570137</v>
      </c>
    </row>
    <row r="3389" spans="12:13" x14ac:dyDescent="0.2">
      <c r="L3389" s="4">
        <v>3383</v>
      </c>
      <c r="M3389" s="21">
        <v>-233228.14104628959</v>
      </c>
    </row>
    <row r="3390" spans="12:13" x14ac:dyDescent="0.2">
      <c r="L3390" s="4">
        <v>3384</v>
      </c>
      <c r="M3390" s="21">
        <v>-140202.4909954046</v>
      </c>
    </row>
    <row r="3391" spans="12:13" x14ac:dyDescent="0.2">
      <c r="L3391" s="4">
        <v>3385</v>
      </c>
      <c r="M3391" s="21">
        <v>180243.47951736933</v>
      </c>
    </row>
    <row r="3392" spans="12:13" x14ac:dyDescent="0.2">
      <c r="L3392" s="4">
        <v>3386</v>
      </c>
      <c r="M3392" s="21">
        <v>132641.98696973716</v>
      </c>
    </row>
    <row r="3393" spans="12:13" x14ac:dyDescent="0.2">
      <c r="L3393" s="4">
        <v>3387</v>
      </c>
      <c r="M3393" s="21">
        <v>108332.14559001327</v>
      </c>
    </row>
    <row r="3394" spans="12:13" x14ac:dyDescent="0.2">
      <c r="L3394" s="4">
        <v>3388</v>
      </c>
      <c r="M3394" s="21">
        <v>-1845.0707727001136</v>
      </c>
    </row>
    <row r="3395" spans="12:13" x14ac:dyDescent="0.2">
      <c r="L3395" s="4">
        <v>3389</v>
      </c>
      <c r="M3395" s="21">
        <v>-152991.41490087158</v>
      </c>
    </row>
    <row r="3396" spans="12:13" x14ac:dyDescent="0.2">
      <c r="L3396" s="4">
        <v>3390</v>
      </c>
      <c r="M3396" s="21">
        <v>-222206.35523836478</v>
      </c>
    </row>
    <row r="3397" spans="12:13" x14ac:dyDescent="0.2">
      <c r="L3397" s="4">
        <v>3391</v>
      </c>
      <c r="M3397" s="21">
        <v>175834.60749435899</v>
      </c>
    </row>
    <row r="3398" spans="12:13" x14ac:dyDescent="0.2">
      <c r="L3398" s="4">
        <v>3392</v>
      </c>
      <c r="M3398" s="21">
        <v>-91859.770303731479</v>
      </c>
    </row>
    <row r="3399" spans="12:13" x14ac:dyDescent="0.2">
      <c r="L3399" s="4">
        <v>3393</v>
      </c>
      <c r="M3399" s="21">
        <v>16490.539361676289</v>
      </c>
    </row>
    <row r="3400" spans="12:13" x14ac:dyDescent="0.2">
      <c r="L3400" s="4">
        <v>3394</v>
      </c>
      <c r="M3400" s="21">
        <v>182811.51702062887</v>
      </c>
    </row>
    <row r="3401" spans="12:13" x14ac:dyDescent="0.2">
      <c r="L3401" s="4">
        <v>3395</v>
      </c>
      <c r="M3401" s="21">
        <v>93831.94280427511</v>
      </c>
    </row>
    <row r="3402" spans="12:13" x14ac:dyDescent="0.2">
      <c r="L3402" s="4">
        <v>3396</v>
      </c>
      <c r="M3402" s="21">
        <v>-134798.36469053911</v>
      </c>
    </row>
    <row r="3403" spans="12:13" x14ac:dyDescent="0.2">
      <c r="L3403" s="4">
        <v>3397</v>
      </c>
      <c r="M3403" s="21">
        <v>-113714.69731961242</v>
      </c>
    </row>
    <row r="3404" spans="12:13" x14ac:dyDescent="0.2">
      <c r="L3404" s="4">
        <v>3398</v>
      </c>
      <c r="M3404" s="21">
        <v>-78506.300265934668</v>
      </c>
    </row>
    <row r="3405" spans="12:13" x14ac:dyDescent="0.2">
      <c r="L3405" s="4">
        <v>3399</v>
      </c>
      <c r="M3405" s="21">
        <v>65591.905720384588</v>
      </c>
    </row>
    <row r="3406" spans="12:13" x14ac:dyDescent="0.2">
      <c r="L3406" s="4">
        <v>3400</v>
      </c>
      <c r="M3406" s="21">
        <v>163384.84294944687</v>
      </c>
    </row>
    <row r="3407" spans="12:13" x14ac:dyDescent="0.2">
      <c r="L3407" s="4">
        <v>3401</v>
      </c>
      <c r="M3407" s="21">
        <v>113913.48600598154</v>
      </c>
    </row>
    <row r="3408" spans="12:13" x14ac:dyDescent="0.2">
      <c r="L3408" s="4">
        <v>3402</v>
      </c>
      <c r="M3408" s="21">
        <v>99884.606183572381</v>
      </c>
    </row>
    <row r="3409" spans="12:13" x14ac:dyDescent="0.2">
      <c r="L3409" s="4">
        <v>3403</v>
      </c>
      <c r="M3409" s="21">
        <v>-109848.10284089188</v>
      </c>
    </row>
    <row r="3410" spans="12:13" x14ac:dyDescent="0.2">
      <c r="L3410" s="4">
        <v>3404</v>
      </c>
      <c r="M3410" s="21">
        <v>-95280.583784099901</v>
      </c>
    </row>
    <row r="3411" spans="12:13" x14ac:dyDescent="0.2">
      <c r="L3411" s="4">
        <v>3405</v>
      </c>
      <c r="M3411" s="21">
        <v>289824.63265322626</v>
      </c>
    </row>
    <row r="3412" spans="12:13" x14ac:dyDescent="0.2">
      <c r="L3412" s="4">
        <v>3406</v>
      </c>
      <c r="M3412" s="21">
        <v>-20261.061043136244</v>
      </c>
    </row>
    <row r="3413" spans="12:13" x14ac:dyDescent="0.2">
      <c r="L3413" s="4">
        <v>3407</v>
      </c>
      <c r="M3413" s="21">
        <v>-126598.75277454878</v>
      </c>
    </row>
    <row r="3414" spans="12:13" x14ac:dyDescent="0.2">
      <c r="L3414" s="4">
        <v>3408</v>
      </c>
      <c r="M3414" s="21">
        <v>-169721.16692053975</v>
      </c>
    </row>
    <row r="3415" spans="12:13" x14ac:dyDescent="0.2">
      <c r="L3415" s="4">
        <v>3409</v>
      </c>
      <c r="M3415" s="21">
        <v>-67784.640065913336</v>
      </c>
    </row>
    <row r="3416" spans="12:13" x14ac:dyDescent="0.2">
      <c r="L3416" s="4">
        <v>3410</v>
      </c>
      <c r="M3416" s="21">
        <v>214576.69736905413</v>
      </c>
    </row>
    <row r="3417" spans="12:13" x14ac:dyDescent="0.2">
      <c r="L3417" s="4">
        <v>3411</v>
      </c>
      <c r="M3417" s="21">
        <v>50970.768601750344</v>
      </c>
    </row>
    <row r="3418" spans="12:13" x14ac:dyDescent="0.2">
      <c r="L3418" s="4">
        <v>3412</v>
      </c>
      <c r="M3418" s="21">
        <v>-218896.31219683343</v>
      </c>
    </row>
    <row r="3419" spans="12:13" x14ac:dyDescent="0.2">
      <c r="L3419" s="4">
        <v>3413</v>
      </c>
      <c r="M3419" s="21">
        <v>58981.888556398771</v>
      </c>
    </row>
    <row r="3420" spans="12:13" x14ac:dyDescent="0.2">
      <c r="L3420" s="4">
        <v>3414</v>
      </c>
      <c r="M3420" s="21">
        <v>-49427.349396147372</v>
      </c>
    </row>
    <row r="3421" spans="12:13" x14ac:dyDescent="0.2">
      <c r="L3421" s="4">
        <v>3415</v>
      </c>
      <c r="M3421" s="21">
        <v>-171797.74775834376</v>
      </c>
    </row>
    <row r="3422" spans="12:13" x14ac:dyDescent="0.2">
      <c r="L3422" s="4">
        <v>3416</v>
      </c>
      <c r="M3422" s="21">
        <v>218339.37979395236</v>
      </c>
    </row>
    <row r="3423" spans="12:13" x14ac:dyDescent="0.2">
      <c r="L3423" s="4">
        <v>3417</v>
      </c>
      <c r="M3423" s="21">
        <v>-127851.48975875552</v>
      </c>
    </row>
    <row r="3424" spans="12:13" x14ac:dyDescent="0.2">
      <c r="L3424" s="4">
        <v>3418</v>
      </c>
      <c r="M3424" s="21">
        <v>-59870.725699947943</v>
      </c>
    </row>
    <row r="3425" spans="12:13" x14ac:dyDescent="0.2">
      <c r="L3425" s="4">
        <v>3419</v>
      </c>
      <c r="M3425" s="21">
        <v>-65129.435886329637</v>
      </c>
    </row>
    <row r="3426" spans="12:13" x14ac:dyDescent="0.2">
      <c r="L3426" s="4">
        <v>3420</v>
      </c>
      <c r="M3426" s="21">
        <v>94708.5508909575</v>
      </c>
    </row>
    <row r="3427" spans="12:13" x14ac:dyDescent="0.2">
      <c r="L3427" s="4">
        <v>3421</v>
      </c>
      <c r="M3427" s="21">
        <v>-147033.98647508328</v>
      </c>
    </row>
    <row r="3428" spans="12:13" x14ac:dyDescent="0.2">
      <c r="L3428" s="4">
        <v>3422</v>
      </c>
      <c r="M3428" s="21">
        <v>33967.727860243263</v>
      </c>
    </row>
    <row r="3429" spans="12:13" x14ac:dyDescent="0.2">
      <c r="L3429" s="4">
        <v>3423</v>
      </c>
      <c r="M3429" s="21">
        <v>-13426.101125195622</v>
      </c>
    </row>
    <row r="3430" spans="12:13" x14ac:dyDescent="0.2">
      <c r="L3430" s="4">
        <v>3424</v>
      </c>
      <c r="M3430" s="21">
        <v>-80296.630688134144</v>
      </c>
    </row>
    <row r="3431" spans="12:13" x14ac:dyDescent="0.2">
      <c r="L3431" s="4">
        <v>3425</v>
      </c>
      <c r="M3431" s="21">
        <v>-16455.451973947987</v>
      </c>
    </row>
    <row r="3432" spans="12:13" x14ac:dyDescent="0.2">
      <c r="L3432" s="4">
        <v>3426</v>
      </c>
      <c r="M3432" s="21">
        <v>-87662.535820375415</v>
      </c>
    </row>
    <row r="3433" spans="12:13" x14ac:dyDescent="0.2">
      <c r="L3433" s="4">
        <v>3427</v>
      </c>
      <c r="M3433" s="21">
        <v>-85892.770341004798</v>
      </c>
    </row>
    <row r="3434" spans="12:13" x14ac:dyDescent="0.2">
      <c r="L3434" s="4">
        <v>3428</v>
      </c>
      <c r="M3434" s="21">
        <v>-24736.568373032511</v>
      </c>
    </row>
    <row r="3435" spans="12:13" x14ac:dyDescent="0.2">
      <c r="L3435" s="4">
        <v>3429</v>
      </c>
      <c r="M3435" s="21">
        <v>69254.975750303274</v>
      </c>
    </row>
    <row r="3436" spans="12:13" x14ac:dyDescent="0.2">
      <c r="L3436" s="4">
        <v>3430</v>
      </c>
      <c r="M3436" s="21">
        <v>-20284.288432406989</v>
      </c>
    </row>
    <row r="3437" spans="12:13" x14ac:dyDescent="0.2">
      <c r="L3437" s="4">
        <v>3431</v>
      </c>
      <c r="M3437" s="21">
        <v>1806.7864255546883</v>
      </c>
    </row>
    <row r="3438" spans="12:13" x14ac:dyDescent="0.2">
      <c r="L3438" s="4">
        <v>3432</v>
      </c>
      <c r="M3438" s="21">
        <v>-118093.32770388256</v>
      </c>
    </row>
    <row r="3439" spans="12:13" x14ac:dyDescent="0.2">
      <c r="L3439" s="4">
        <v>3433</v>
      </c>
      <c r="M3439" s="21">
        <v>-78348.281660569439</v>
      </c>
    </row>
    <row r="3440" spans="12:13" x14ac:dyDescent="0.2">
      <c r="L3440" s="4">
        <v>3434</v>
      </c>
      <c r="M3440" s="21">
        <v>-185708.144787659</v>
      </c>
    </row>
    <row r="3441" spans="12:13" x14ac:dyDescent="0.2">
      <c r="L3441" s="4">
        <v>3435</v>
      </c>
      <c r="M3441" s="21">
        <v>183816.90764080622</v>
      </c>
    </row>
    <row r="3442" spans="12:13" x14ac:dyDescent="0.2">
      <c r="L3442" s="4">
        <v>3436</v>
      </c>
      <c r="M3442" s="21">
        <v>111019.89426856273</v>
      </c>
    </row>
    <row r="3443" spans="12:13" x14ac:dyDescent="0.2">
      <c r="L3443" s="4">
        <v>3437</v>
      </c>
      <c r="M3443" s="21">
        <v>-204391.53379664494</v>
      </c>
    </row>
    <row r="3444" spans="12:13" x14ac:dyDescent="0.2">
      <c r="L3444" s="4">
        <v>3438</v>
      </c>
      <c r="M3444" s="21">
        <v>209655.57332666186</v>
      </c>
    </row>
    <row r="3445" spans="12:13" x14ac:dyDescent="0.2">
      <c r="L3445" s="4">
        <v>3439</v>
      </c>
      <c r="M3445" s="21">
        <v>98691.883502309327</v>
      </c>
    </row>
    <row r="3446" spans="12:13" x14ac:dyDescent="0.2">
      <c r="L3446" s="4">
        <v>3440</v>
      </c>
      <c r="M3446" s="21">
        <v>33826.891194565047</v>
      </c>
    </row>
    <row r="3447" spans="12:13" x14ac:dyDescent="0.2">
      <c r="L3447" s="4">
        <v>3441</v>
      </c>
      <c r="M3447" s="21">
        <v>24957.934300715569</v>
      </c>
    </row>
    <row r="3448" spans="12:13" x14ac:dyDescent="0.2">
      <c r="L3448" s="4">
        <v>3442</v>
      </c>
      <c r="M3448" s="21">
        <v>-183576.18300630525</v>
      </c>
    </row>
    <row r="3449" spans="12:13" x14ac:dyDescent="0.2">
      <c r="L3449" s="4">
        <v>3443</v>
      </c>
      <c r="M3449" s="21">
        <v>-87943.282658463693</v>
      </c>
    </row>
    <row r="3450" spans="12:13" x14ac:dyDescent="0.2">
      <c r="L3450" s="4">
        <v>3444</v>
      </c>
      <c r="M3450" s="21">
        <v>20308.259215086669</v>
      </c>
    </row>
    <row r="3451" spans="12:13" x14ac:dyDescent="0.2">
      <c r="L3451" s="4">
        <v>3445</v>
      </c>
      <c r="M3451" s="21">
        <v>-210516.13441220496</v>
      </c>
    </row>
    <row r="3452" spans="12:13" x14ac:dyDescent="0.2">
      <c r="L3452" s="4">
        <v>3446</v>
      </c>
      <c r="M3452" s="21">
        <v>-18455.456607680404</v>
      </c>
    </row>
    <row r="3453" spans="12:13" x14ac:dyDescent="0.2">
      <c r="L3453" s="4">
        <v>3447</v>
      </c>
      <c r="M3453" s="21">
        <v>-489120.03271813778</v>
      </c>
    </row>
    <row r="3454" spans="12:13" x14ac:dyDescent="0.2">
      <c r="L3454" s="4">
        <v>3448</v>
      </c>
      <c r="M3454" s="21">
        <v>308505.59467755654</v>
      </c>
    </row>
    <row r="3455" spans="12:13" x14ac:dyDescent="0.2">
      <c r="L3455" s="4">
        <v>3449</v>
      </c>
      <c r="M3455" s="21">
        <v>-40361.343060040963</v>
      </c>
    </row>
    <row r="3456" spans="12:13" x14ac:dyDescent="0.2">
      <c r="L3456" s="4">
        <v>3450</v>
      </c>
      <c r="M3456" s="21">
        <v>206679.60377899182</v>
      </c>
    </row>
    <row r="3457" spans="12:13" x14ac:dyDescent="0.2">
      <c r="L3457" s="4">
        <v>3451</v>
      </c>
      <c r="M3457" s="21">
        <v>-218277.0586158433</v>
      </c>
    </row>
    <row r="3458" spans="12:13" x14ac:dyDescent="0.2">
      <c r="L3458" s="4">
        <v>3452</v>
      </c>
      <c r="M3458" s="21">
        <v>-192673.95223100181</v>
      </c>
    </row>
    <row r="3459" spans="12:13" x14ac:dyDescent="0.2">
      <c r="L3459" s="4">
        <v>3453</v>
      </c>
      <c r="M3459" s="21">
        <v>-346938.13600952167</v>
      </c>
    </row>
    <row r="3460" spans="12:13" x14ac:dyDescent="0.2">
      <c r="L3460" s="4">
        <v>3454</v>
      </c>
      <c r="M3460" s="21">
        <v>-337627.42915847892</v>
      </c>
    </row>
    <row r="3461" spans="12:13" x14ac:dyDescent="0.2">
      <c r="L3461" s="4">
        <v>3455</v>
      </c>
      <c r="M3461" s="21">
        <v>84109.244218496169</v>
      </c>
    </row>
    <row r="3462" spans="12:13" x14ac:dyDescent="0.2">
      <c r="L3462" s="4">
        <v>3456</v>
      </c>
      <c r="M3462" s="21">
        <v>-38443.745498135686</v>
      </c>
    </row>
    <row r="3463" spans="12:13" x14ac:dyDescent="0.2">
      <c r="L3463" s="4">
        <v>3457</v>
      </c>
      <c r="M3463" s="21">
        <v>-60090.402608164353</v>
      </c>
    </row>
    <row r="3464" spans="12:13" x14ac:dyDescent="0.2">
      <c r="L3464" s="4">
        <v>3458</v>
      </c>
      <c r="M3464" s="21">
        <v>-97423.162379981324</v>
      </c>
    </row>
    <row r="3465" spans="12:13" x14ac:dyDescent="0.2">
      <c r="L3465" s="4">
        <v>3459</v>
      </c>
      <c r="M3465" s="21">
        <v>-242332.5335379192</v>
      </c>
    </row>
    <row r="3466" spans="12:13" x14ac:dyDescent="0.2">
      <c r="L3466" s="4">
        <v>3460</v>
      </c>
      <c r="M3466" s="21">
        <v>242090.96349842596</v>
      </c>
    </row>
    <row r="3467" spans="12:13" x14ac:dyDescent="0.2">
      <c r="L3467" s="4">
        <v>3461</v>
      </c>
      <c r="M3467" s="21">
        <v>-274.74498933012364</v>
      </c>
    </row>
    <row r="3468" spans="12:13" x14ac:dyDescent="0.2">
      <c r="L3468" s="4">
        <v>3462</v>
      </c>
      <c r="M3468" s="21">
        <v>-22068.504938187165</v>
      </c>
    </row>
    <row r="3469" spans="12:13" x14ac:dyDescent="0.2">
      <c r="L3469" s="4">
        <v>3463</v>
      </c>
      <c r="M3469" s="21">
        <v>-203205.41395476816</v>
      </c>
    </row>
    <row r="3470" spans="12:13" x14ac:dyDescent="0.2">
      <c r="L3470" s="4">
        <v>3464</v>
      </c>
      <c r="M3470" s="21">
        <v>-276698.69737225858</v>
      </c>
    </row>
    <row r="3471" spans="12:13" x14ac:dyDescent="0.2">
      <c r="L3471" s="4">
        <v>3465</v>
      </c>
      <c r="M3471" s="21">
        <v>16876.439623892045</v>
      </c>
    </row>
    <row r="3472" spans="12:13" x14ac:dyDescent="0.2">
      <c r="L3472" s="4">
        <v>3466</v>
      </c>
      <c r="M3472" s="21">
        <v>-138047.42105632654</v>
      </c>
    </row>
    <row r="3473" spans="12:13" x14ac:dyDescent="0.2">
      <c r="L3473" s="4">
        <v>3467</v>
      </c>
      <c r="M3473" s="21">
        <v>75128.116118178703</v>
      </c>
    </row>
    <row r="3474" spans="12:13" x14ac:dyDescent="0.2">
      <c r="L3474" s="4">
        <v>3468</v>
      </c>
      <c r="M3474" s="21">
        <v>191407.87356300987</v>
      </c>
    </row>
    <row r="3475" spans="12:13" x14ac:dyDescent="0.2">
      <c r="L3475" s="4">
        <v>3469</v>
      </c>
      <c r="M3475" s="21">
        <v>9482.0448813496332</v>
      </c>
    </row>
    <row r="3476" spans="12:13" x14ac:dyDescent="0.2">
      <c r="L3476" s="4">
        <v>3470</v>
      </c>
      <c r="M3476" s="21">
        <v>-34708.66661605722</v>
      </c>
    </row>
    <row r="3477" spans="12:13" x14ac:dyDescent="0.2">
      <c r="L3477" s="4">
        <v>3471</v>
      </c>
      <c r="M3477" s="21">
        <v>91603.976172753872</v>
      </c>
    </row>
    <row r="3478" spans="12:13" x14ac:dyDescent="0.2">
      <c r="L3478" s="4">
        <v>3472</v>
      </c>
      <c r="M3478" s="21">
        <v>-124327.72073176886</v>
      </c>
    </row>
    <row r="3479" spans="12:13" x14ac:dyDescent="0.2">
      <c r="L3479" s="4">
        <v>3473</v>
      </c>
      <c r="M3479" s="21">
        <v>-5245.7585516544495</v>
      </c>
    </row>
    <row r="3480" spans="12:13" x14ac:dyDescent="0.2">
      <c r="L3480" s="4">
        <v>3474</v>
      </c>
      <c r="M3480" s="21">
        <v>19623.689808992553</v>
      </c>
    </row>
    <row r="3481" spans="12:13" x14ac:dyDescent="0.2">
      <c r="L3481" s="4">
        <v>3475</v>
      </c>
      <c r="M3481" s="21">
        <v>-201683.5287364652</v>
      </c>
    </row>
    <row r="3482" spans="12:13" x14ac:dyDescent="0.2">
      <c r="L3482" s="4">
        <v>3476</v>
      </c>
      <c r="M3482" s="21">
        <v>-113518.12825700919</v>
      </c>
    </row>
    <row r="3483" spans="12:13" x14ac:dyDescent="0.2">
      <c r="L3483" s="4">
        <v>3477</v>
      </c>
      <c r="M3483" s="21">
        <v>-103978.71626969747</v>
      </c>
    </row>
    <row r="3484" spans="12:13" x14ac:dyDescent="0.2">
      <c r="L3484" s="4">
        <v>3478</v>
      </c>
      <c r="M3484" s="21">
        <v>172843.24702490182</v>
      </c>
    </row>
    <row r="3485" spans="12:13" x14ac:dyDescent="0.2">
      <c r="L3485" s="4">
        <v>3479</v>
      </c>
      <c r="M3485" s="21">
        <v>-138840.38370731726</v>
      </c>
    </row>
    <row r="3486" spans="12:13" x14ac:dyDescent="0.2">
      <c r="L3486" s="4">
        <v>3480</v>
      </c>
      <c r="M3486" s="21">
        <v>-182771.58874372079</v>
      </c>
    </row>
    <row r="3487" spans="12:13" x14ac:dyDescent="0.2">
      <c r="L3487" s="4">
        <v>3481</v>
      </c>
      <c r="M3487" s="21">
        <v>61052.177163019805</v>
      </c>
    </row>
    <row r="3488" spans="12:13" x14ac:dyDescent="0.2">
      <c r="L3488" s="4">
        <v>3482</v>
      </c>
      <c r="M3488" s="21">
        <v>60065.163467331207</v>
      </c>
    </row>
    <row r="3489" spans="12:13" x14ac:dyDescent="0.2">
      <c r="L3489" s="4">
        <v>3483</v>
      </c>
      <c r="M3489" s="21">
        <v>43286.219877507829</v>
      </c>
    </row>
    <row r="3490" spans="12:13" x14ac:dyDescent="0.2">
      <c r="L3490" s="4">
        <v>3484</v>
      </c>
      <c r="M3490" s="21">
        <v>-18026.791482363638</v>
      </c>
    </row>
    <row r="3491" spans="12:13" x14ac:dyDescent="0.2">
      <c r="L3491" s="4">
        <v>3485</v>
      </c>
      <c r="M3491" s="21">
        <v>89964.348632570414</v>
      </c>
    </row>
    <row r="3492" spans="12:13" x14ac:dyDescent="0.2">
      <c r="L3492" s="4">
        <v>3486</v>
      </c>
      <c r="M3492" s="21">
        <v>-196495.68156812299</v>
      </c>
    </row>
    <row r="3493" spans="12:13" x14ac:dyDescent="0.2">
      <c r="L3493" s="4">
        <v>3487</v>
      </c>
      <c r="M3493" s="21">
        <v>-121084.61986328564</v>
      </c>
    </row>
    <row r="3494" spans="12:13" x14ac:dyDescent="0.2">
      <c r="L3494" s="4">
        <v>3488</v>
      </c>
      <c r="M3494" s="21">
        <v>-25199.625636773519</v>
      </c>
    </row>
    <row r="3495" spans="12:13" x14ac:dyDescent="0.2">
      <c r="L3495" s="4">
        <v>3489</v>
      </c>
      <c r="M3495" s="21">
        <v>161207.78087547442</v>
      </c>
    </row>
    <row r="3496" spans="12:13" x14ac:dyDescent="0.2">
      <c r="L3496" s="4">
        <v>3490</v>
      </c>
      <c r="M3496" s="21">
        <v>-148711.93785744943</v>
      </c>
    </row>
    <row r="3497" spans="12:13" x14ac:dyDescent="0.2">
      <c r="L3497" s="4">
        <v>3491</v>
      </c>
      <c r="M3497" s="21">
        <v>188361.954220846</v>
      </c>
    </row>
    <row r="3498" spans="12:13" x14ac:dyDescent="0.2">
      <c r="L3498" s="4">
        <v>3492</v>
      </c>
      <c r="M3498" s="21">
        <v>-36940.981306780144</v>
      </c>
    </row>
    <row r="3499" spans="12:13" x14ac:dyDescent="0.2">
      <c r="L3499" s="4">
        <v>3493</v>
      </c>
      <c r="M3499" s="21">
        <v>-73028.820053431395</v>
      </c>
    </row>
    <row r="3500" spans="12:13" x14ac:dyDescent="0.2">
      <c r="L3500" s="4">
        <v>3494</v>
      </c>
      <c r="M3500" s="21">
        <v>-31954.200842186881</v>
      </c>
    </row>
    <row r="3501" spans="12:13" x14ac:dyDescent="0.2">
      <c r="L3501" s="4">
        <v>3495</v>
      </c>
      <c r="M3501" s="21">
        <v>74039.227835473255</v>
      </c>
    </row>
    <row r="3502" spans="12:13" x14ac:dyDescent="0.2">
      <c r="L3502" s="4">
        <v>3496</v>
      </c>
      <c r="M3502" s="21">
        <v>114061.72585409143</v>
      </c>
    </row>
    <row r="3503" spans="12:13" x14ac:dyDescent="0.2">
      <c r="L3503" s="4">
        <v>3497</v>
      </c>
      <c r="M3503" s="21">
        <v>42317.298052942555</v>
      </c>
    </row>
    <row r="3504" spans="12:13" x14ac:dyDescent="0.2">
      <c r="L3504" s="4">
        <v>3498</v>
      </c>
      <c r="M3504" s="21">
        <v>26213.032801460067</v>
      </c>
    </row>
    <row r="3505" spans="12:13" x14ac:dyDescent="0.2">
      <c r="L3505" s="4">
        <v>3499</v>
      </c>
      <c r="M3505" s="21">
        <v>153041.13307421212</v>
      </c>
    </row>
    <row r="3506" spans="12:13" x14ac:dyDescent="0.2">
      <c r="L3506" s="4">
        <v>3500</v>
      </c>
      <c r="M3506" s="21">
        <v>-190468.00388305192</v>
      </c>
    </row>
    <row r="3507" spans="12:13" x14ac:dyDescent="0.2">
      <c r="L3507" s="4">
        <v>3501</v>
      </c>
      <c r="M3507" s="21">
        <v>-272613.62029294565</v>
      </c>
    </row>
    <row r="3508" spans="12:13" x14ac:dyDescent="0.2">
      <c r="L3508" s="4">
        <v>3502</v>
      </c>
      <c r="M3508" s="21">
        <v>98011.92387940365</v>
      </c>
    </row>
    <row r="3509" spans="12:13" x14ac:dyDescent="0.2">
      <c r="L3509" s="4">
        <v>3503</v>
      </c>
      <c r="M3509" s="21">
        <v>-58147.259867953471</v>
      </c>
    </row>
    <row r="3510" spans="12:13" x14ac:dyDescent="0.2">
      <c r="L3510" s="4">
        <v>3504</v>
      </c>
      <c r="M3510" s="21">
        <v>-16773.529275371489</v>
      </c>
    </row>
    <row r="3511" spans="12:13" x14ac:dyDescent="0.2">
      <c r="L3511" s="4">
        <v>3505</v>
      </c>
      <c r="M3511" s="21">
        <v>-60977.049417683287</v>
      </c>
    </row>
    <row r="3512" spans="12:13" x14ac:dyDescent="0.2">
      <c r="L3512" s="4">
        <v>3506</v>
      </c>
      <c r="M3512" s="21">
        <v>60984.496944995568</v>
      </c>
    </row>
    <row r="3513" spans="12:13" x14ac:dyDescent="0.2">
      <c r="L3513" s="4">
        <v>3507</v>
      </c>
      <c r="M3513" s="21">
        <v>227206.75946860653</v>
      </c>
    </row>
    <row r="3514" spans="12:13" x14ac:dyDescent="0.2">
      <c r="L3514" s="4">
        <v>3508</v>
      </c>
      <c r="M3514" s="21">
        <v>53767.984630517254</v>
      </c>
    </row>
    <row r="3515" spans="12:13" x14ac:dyDescent="0.2">
      <c r="L3515" s="4">
        <v>3509</v>
      </c>
      <c r="M3515" s="21">
        <v>109267.95854004993</v>
      </c>
    </row>
    <row r="3516" spans="12:13" x14ac:dyDescent="0.2">
      <c r="L3516" s="4">
        <v>3510</v>
      </c>
      <c r="M3516" s="21">
        <v>-84386.889001158837</v>
      </c>
    </row>
    <row r="3517" spans="12:13" x14ac:dyDescent="0.2">
      <c r="L3517" s="4">
        <v>3511</v>
      </c>
      <c r="M3517" s="21">
        <v>-346154.49742907716</v>
      </c>
    </row>
    <row r="3518" spans="12:13" x14ac:dyDescent="0.2">
      <c r="L3518" s="4">
        <v>3512</v>
      </c>
      <c r="M3518" s="21">
        <v>52827.335289148177</v>
      </c>
    </row>
    <row r="3519" spans="12:13" x14ac:dyDescent="0.2">
      <c r="L3519" s="4">
        <v>3513</v>
      </c>
      <c r="M3519" s="21">
        <v>23976.270416468586</v>
      </c>
    </row>
    <row r="3520" spans="12:13" x14ac:dyDescent="0.2">
      <c r="L3520" s="4">
        <v>3514</v>
      </c>
      <c r="M3520" s="21">
        <v>47453.191892352625</v>
      </c>
    </row>
    <row r="3521" spans="12:13" x14ac:dyDescent="0.2">
      <c r="L3521" s="4">
        <v>3515</v>
      </c>
      <c r="M3521" s="21">
        <v>261137.7598370726</v>
      </c>
    </row>
    <row r="3522" spans="12:13" x14ac:dyDescent="0.2">
      <c r="L3522" s="4">
        <v>3516</v>
      </c>
      <c r="M3522" s="21">
        <v>46080.837913401279</v>
      </c>
    </row>
    <row r="3523" spans="12:13" x14ac:dyDescent="0.2">
      <c r="L3523" s="4">
        <v>3517</v>
      </c>
      <c r="M3523" s="21">
        <v>248128.5655489534</v>
      </c>
    </row>
    <row r="3524" spans="12:13" x14ac:dyDescent="0.2">
      <c r="L3524" s="4">
        <v>3518</v>
      </c>
      <c r="M3524" s="21">
        <v>172980.71361041552</v>
      </c>
    </row>
    <row r="3525" spans="12:13" x14ac:dyDescent="0.2">
      <c r="L3525" s="4">
        <v>3519</v>
      </c>
      <c r="M3525" s="21">
        <v>-98633.478498020602</v>
      </c>
    </row>
    <row r="3526" spans="12:13" x14ac:dyDescent="0.2">
      <c r="L3526" s="4">
        <v>3520</v>
      </c>
      <c r="M3526" s="21">
        <v>-29969.666402103598</v>
      </c>
    </row>
    <row r="3527" spans="12:13" x14ac:dyDescent="0.2">
      <c r="L3527" s="4">
        <v>3521</v>
      </c>
      <c r="M3527" s="21">
        <v>8120.1916121531394</v>
      </c>
    </row>
    <row r="3528" spans="12:13" x14ac:dyDescent="0.2">
      <c r="L3528" s="4">
        <v>3522</v>
      </c>
      <c r="M3528" s="21">
        <v>171269.5130186356</v>
      </c>
    </row>
    <row r="3529" spans="12:13" x14ac:dyDescent="0.2">
      <c r="L3529" s="4">
        <v>3523</v>
      </c>
      <c r="M3529" s="21">
        <v>-121926.35390004315</v>
      </c>
    </row>
    <row r="3530" spans="12:13" x14ac:dyDescent="0.2">
      <c r="L3530" s="4">
        <v>3524</v>
      </c>
      <c r="M3530" s="21">
        <v>-21741.615857470912</v>
      </c>
    </row>
    <row r="3531" spans="12:13" x14ac:dyDescent="0.2">
      <c r="L3531" s="4">
        <v>3525</v>
      </c>
      <c r="M3531" s="21">
        <v>20882.475288238144</v>
      </c>
    </row>
    <row r="3532" spans="12:13" x14ac:dyDescent="0.2">
      <c r="L3532" s="4">
        <v>3526</v>
      </c>
      <c r="M3532" s="21">
        <v>-225024.1873421731</v>
      </c>
    </row>
    <row r="3533" spans="12:13" x14ac:dyDescent="0.2">
      <c r="L3533" s="4">
        <v>3527</v>
      </c>
      <c r="M3533" s="21">
        <v>19532.765718258801</v>
      </c>
    </row>
    <row r="3534" spans="12:13" x14ac:dyDescent="0.2">
      <c r="L3534" s="4">
        <v>3528</v>
      </c>
      <c r="M3534" s="21">
        <v>24638.660164701432</v>
      </c>
    </row>
    <row r="3535" spans="12:13" x14ac:dyDescent="0.2">
      <c r="L3535" s="4">
        <v>3529</v>
      </c>
      <c r="M3535" s="21">
        <v>5019.3094444417802</v>
      </c>
    </row>
    <row r="3536" spans="12:13" x14ac:dyDescent="0.2">
      <c r="L3536" s="4">
        <v>3530</v>
      </c>
      <c r="M3536" s="21">
        <v>36140.023701390077</v>
      </c>
    </row>
    <row r="3537" spans="12:13" x14ac:dyDescent="0.2">
      <c r="L3537" s="4">
        <v>3531</v>
      </c>
      <c r="M3537" s="21">
        <v>88350.86682322147</v>
      </c>
    </row>
    <row r="3538" spans="12:13" x14ac:dyDescent="0.2">
      <c r="L3538" s="4">
        <v>3532</v>
      </c>
      <c r="M3538" s="21">
        <v>-99022.422829451549</v>
      </c>
    </row>
    <row r="3539" spans="12:13" x14ac:dyDescent="0.2">
      <c r="L3539" s="4">
        <v>3533</v>
      </c>
      <c r="M3539" s="21">
        <v>-15170.509195960345</v>
      </c>
    </row>
    <row r="3540" spans="12:13" x14ac:dyDescent="0.2">
      <c r="L3540" s="4">
        <v>3534</v>
      </c>
      <c r="M3540" s="21">
        <v>-63785.285559136828</v>
      </c>
    </row>
    <row r="3541" spans="12:13" x14ac:dyDescent="0.2">
      <c r="L3541" s="4">
        <v>3535</v>
      </c>
      <c r="M3541" s="21">
        <v>102380.46659531293</v>
      </c>
    </row>
    <row r="3542" spans="12:13" x14ac:dyDescent="0.2">
      <c r="L3542" s="4">
        <v>3536</v>
      </c>
      <c r="M3542" s="21">
        <v>-79446.53272648713</v>
      </c>
    </row>
    <row r="3543" spans="12:13" x14ac:dyDescent="0.2">
      <c r="L3543" s="4">
        <v>3537</v>
      </c>
      <c r="M3543" s="21">
        <v>-120008.70496698303</v>
      </c>
    </row>
    <row r="3544" spans="12:13" x14ac:dyDescent="0.2">
      <c r="L3544" s="4">
        <v>3538</v>
      </c>
      <c r="M3544" s="21">
        <v>16654.452591056703</v>
      </c>
    </row>
    <row r="3545" spans="12:13" x14ac:dyDescent="0.2">
      <c r="L3545" s="4">
        <v>3539</v>
      </c>
      <c r="M3545" s="21">
        <v>48698.181349124439</v>
      </c>
    </row>
    <row r="3546" spans="12:13" x14ac:dyDescent="0.2">
      <c r="L3546" s="4">
        <v>3540</v>
      </c>
      <c r="M3546" s="21">
        <v>-60464.319711330463</v>
      </c>
    </row>
    <row r="3547" spans="12:13" x14ac:dyDescent="0.2">
      <c r="L3547" s="4">
        <v>3541</v>
      </c>
      <c r="M3547" s="21">
        <v>88964.00476139519</v>
      </c>
    </row>
    <row r="3548" spans="12:13" x14ac:dyDescent="0.2">
      <c r="L3548" s="4">
        <v>3542</v>
      </c>
      <c r="M3548" s="21">
        <v>250866.46565204853</v>
      </c>
    </row>
    <row r="3549" spans="12:13" x14ac:dyDescent="0.2">
      <c r="L3549" s="4">
        <v>3543</v>
      </c>
      <c r="M3549" s="21">
        <v>35199.310316642543</v>
      </c>
    </row>
    <row r="3550" spans="12:13" x14ac:dyDescent="0.2">
      <c r="L3550" s="4">
        <v>3544</v>
      </c>
      <c r="M3550" s="21">
        <v>-167462.39473664813</v>
      </c>
    </row>
    <row r="3551" spans="12:13" x14ac:dyDescent="0.2">
      <c r="L3551" s="4">
        <v>3545</v>
      </c>
      <c r="M3551" s="21">
        <v>-42198.3747806014</v>
      </c>
    </row>
    <row r="3552" spans="12:13" x14ac:dyDescent="0.2">
      <c r="L3552" s="4">
        <v>3546</v>
      </c>
      <c r="M3552" s="21">
        <v>-62469.772330533495</v>
      </c>
    </row>
    <row r="3553" spans="12:13" x14ac:dyDescent="0.2">
      <c r="L3553" s="4">
        <v>3547</v>
      </c>
      <c r="M3553" s="21">
        <v>-9975.0376979618886</v>
      </c>
    </row>
    <row r="3554" spans="12:13" x14ac:dyDescent="0.2">
      <c r="L3554" s="4">
        <v>3548</v>
      </c>
      <c r="M3554" s="21">
        <v>44831.311319467874</v>
      </c>
    </row>
    <row r="3555" spans="12:13" x14ac:dyDescent="0.2">
      <c r="L3555" s="4">
        <v>3549</v>
      </c>
      <c r="M3555" s="21">
        <v>107553.49029837732</v>
      </c>
    </row>
    <row r="3556" spans="12:13" x14ac:dyDescent="0.2">
      <c r="L3556" s="4">
        <v>3550</v>
      </c>
      <c r="M3556" s="21">
        <v>-28773.537467430302</v>
      </c>
    </row>
    <row r="3557" spans="12:13" x14ac:dyDescent="0.2">
      <c r="L3557" s="4">
        <v>3551</v>
      </c>
      <c r="M3557" s="21">
        <v>107350.54823716226</v>
      </c>
    </row>
    <row r="3558" spans="12:13" x14ac:dyDescent="0.2">
      <c r="L3558" s="4">
        <v>3552</v>
      </c>
      <c r="M3558" s="21">
        <v>233586.83664243054</v>
      </c>
    </row>
    <row r="3559" spans="12:13" x14ac:dyDescent="0.2">
      <c r="L3559" s="4">
        <v>3553</v>
      </c>
      <c r="M3559" s="21">
        <v>-143.2958748593519</v>
      </c>
    </row>
    <row r="3560" spans="12:13" x14ac:dyDescent="0.2">
      <c r="L3560" s="4">
        <v>3554</v>
      </c>
      <c r="M3560" s="21">
        <v>-31709.713898113201</v>
      </c>
    </row>
    <row r="3561" spans="12:13" x14ac:dyDescent="0.2">
      <c r="L3561" s="4">
        <v>3555</v>
      </c>
      <c r="M3561" s="21">
        <v>-181784.90040859196</v>
      </c>
    </row>
    <row r="3562" spans="12:13" x14ac:dyDescent="0.2">
      <c r="L3562" s="4">
        <v>3556</v>
      </c>
      <c r="M3562" s="21">
        <v>85867.183258167875</v>
      </c>
    </row>
    <row r="3563" spans="12:13" x14ac:dyDescent="0.2">
      <c r="L3563" s="4">
        <v>3557</v>
      </c>
      <c r="M3563" s="21">
        <v>-191129.6362977394</v>
      </c>
    </row>
    <row r="3564" spans="12:13" x14ac:dyDescent="0.2">
      <c r="L3564" s="4">
        <v>3558</v>
      </c>
      <c r="M3564" s="21">
        <v>68453.662277312542</v>
      </c>
    </row>
    <row r="3565" spans="12:13" x14ac:dyDescent="0.2">
      <c r="L3565" s="4">
        <v>3559</v>
      </c>
      <c r="M3565" s="21">
        <v>9592.8990888521366</v>
      </c>
    </row>
    <row r="3566" spans="12:13" x14ac:dyDescent="0.2">
      <c r="L3566" s="4">
        <v>3560</v>
      </c>
      <c r="M3566" s="21">
        <v>-81525.046934345839</v>
      </c>
    </row>
    <row r="3567" spans="12:13" x14ac:dyDescent="0.2">
      <c r="L3567" s="4">
        <v>3561</v>
      </c>
      <c r="M3567" s="21">
        <v>-215482.94017694012</v>
      </c>
    </row>
    <row r="3568" spans="12:13" x14ac:dyDescent="0.2">
      <c r="L3568" s="4">
        <v>3562</v>
      </c>
      <c r="M3568" s="21">
        <v>-64612.331297979617</v>
      </c>
    </row>
    <row r="3569" spans="12:13" x14ac:dyDescent="0.2">
      <c r="L3569" s="4">
        <v>3563</v>
      </c>
      <c r="M3569" s="21">
        <v>5472.6443252392055</v>
      </c>
    </row>
    <row r="3570" spans="12:13" x14ac:dyDescent="0.2">
      <c r="L3570" s="4">
        <v>3564</v>
      </c>
      <c r="M3570" s="21">
        <v>277806.72852069879</v>
      </c>
    </row>
    <row r="3571" spans="12:13" x14ac:dyDescent="0.2">
      <c r="L3571" s="4">
        <v>3565</v>
      </c>
      <c r="M3571" s="21">
        <v>106019.47478205228</v>
      </c>
    </row>
    <row r="3572" spans="12:13" x14ac:dyDescent="0.2">
      <c r="L3572" s="4">
        <v>3566</v>
      </c>
      <c r="M3572" s="21">
        <v>44700.424803733797</v>
      </c>
    </row>
    <row r="3573" spans="12:13" x14ac:dyDescent="0.2">
      <c r="L3573" s="4">
        <v>3567</v>
      </c>
      <c r="M3573" s="21">
        <v>-131974.10694148001</v>
      </c>
    </row>
    <row r="3574" spans="12:13" x14ac:dyDescent="0.2">
      <c r="L3574" s="4">
        <v>3568</v>
      </c>
      <c r="M3574" s="21">
        <v>-201696.96615238144</v>
      </c>
    </row>
    <row r="3575" spans="12:13" x14ac:dyDescent="0.2">
      <c r="L3575" s="4">
        <v>3569</v>
      </c>
      <c r="M3575" s="21">
        <v>-169599.53732692997</v>
      </c>
    </row>
    <row r="3576" spans="12:13" x14ac:dyDescent="0.2">
      <c r="L3576" s="4">
        <v>3570</v>
      </c>
      <c r="M3576" s="21">
        <v>132422.57079172591</v>
      </c>
    </row>
    <row r="3577" spans="12:13" x14ac:dyDescent="0.2">
      <c r="L3577" s="4">
        <v>3571</v>
      </c>
      <c r="M3577" s="21">
        <v>-271892.40591597726</v>
      </c>
    </row>
    <row r="3578" spans="12:13" x14ac:dyDescent="0.2">
      <c r="L3578" s="4">
        <v>3572</v>
      </c>
      <c r="M3578" s="21">
        <v>12424.223722578899</v>
      </c>
    </row>
    <row r="3579" spans="12:13" x14ac:dyDescent="0.2">
      <c r="L3579" s="4">
        <v>3573</v>
      </c>
      <c r="M3579" s="21">
        <v>4703.5735756876529</v>
      </c>
    </row>
    <row r="3580" spans="12:13" x14ac:dyDescent="0.2">
      <c r="L3580" s="4">
        <v>3574</v>
      </c>
      <c r="M3580" s="21">
        <v>292076.33164264273</v>
      </c>
    </row>
    <row r="3581" spans="12:13" x14ac:dyDescent="0.2">
      <c r="L3581" s="4">
        <v>3575</v>
      </c>
      <c r="M3581" s="21">
        <v>-60903.703374049859</v>
      </c>
    </row>
    <row r="3582" spans="12:13" x14ac:dyDescent="0.2">
      <c r="L3582" s="4">
        <v>3576</v>
      </c>
      <c r="M3582" s="21">
        <v>3438.9813337080122</v>
      </c>
    </row>
    <row r="3583" spans="12:13" x14ac:dyDescent="0.2">
      <c r="L3583" s="4">
        <v>3577</v>
      </c>
      <c r="M3583" s="21">
        <v>-11925.404723797255</v>
      </c>
    </row>
    <row r="3584" spans="12:13" x14ac:dyDescent="0.2">
      <c r="L3584" s="4">
        <v>3578</v>
      </c>
      <c r="M3584" s="21">
        <v>-148953.57235436043</v>
      </c>
    </row>
    <row r="3585" spans="12:13" x14ac:dyDescent="0.2">
      <c r="L3585" s="4">
        <v>3579</v>
      </c>
      <c r="M3585" s="21">
        <v>102421.1181537894</v>
      </c>
    </row>
    <row r="3586" spans="12:13" x14ac:dyDescent="0.2">
      <c r="L3586" s="4">
        <v>3580</v>
      </c>
      <c r="M3586" s="21">
        <v>-52902.169032988953</v>
      </c>
    </row>
    <row r="3587" spans="12:13" x14ac:dyDescent="0.2">
      <c r="L3587" s="4">
        <v>3581</v>
      </c>
      <c r="M3587" s="21">
        <v>-192031.46131222002</v>
      </c>
    </row>
    <row r="3588" spans="12:13" x14ac:dyDescent="0.2">
      <c r="L3588" s="4">
        <v>3582</v>
      </c>
      <c r="M3588" s="21">
        <v>-217535.11232311741</v>
      </c>
    </row>
    <row r="3589" spans="12:13" x14ac:dyDescent="0.2">
      <c r="L3589" s="4">
        <v>3583</v>
      </c>
      <c r="M3589" s="21">
        <v>-61415.911739888179</v>
      </c>
    </row>
    <row r="3590" spans="12:13" x14ac:dyDescent="0.2">
      <c r="L3590" s="4">
        <v>3584</v>
      </c>
      <c r="M3590" s="21">
        <v>-116476.08577134777</v>
      </c>
    </row>
    <row r="3591" spans="12:13" x14ac:dyDescent="0.2">
      <c r="L3591" s="4">
        <v>3585</v>
      </c>
      <c r="M3591" s="21">
        <v>-267148.94230030966</v>
      </c>
    </row>
    <row r="3592" spans="12:13" x14ac:dyDescent="0.2">
      <c r="L3592" s="4">
        <v>3586</v>
      </c>
      <c r="M3592" s="21">
        <v>-259904.93539425946</v>
      </c>
    </row>
    <row r="3593" spans="12:13" x14ac:dyDescent="0.2">
      <c r="L3593" s="4">
        <v>3587</v>
      </c>
      <c r="M3593" s="21">
        <v>-345662.88506260212</v>
      </c>
    </row>
    <row r="3594" spans="12:13" x14ac:dyDescent="0.2">
      <c r="L3594" s="4">
        <v>3588</v>
      </c>
      <c r="M3594" s="21">
        <v>8672.7078520387004</v>
      </c>
    </row>
    <row r="3595" spans="12:13" x14ac:dyDescent="0.2">
      <c r="L3595" s="4">
        <v>3589</v>
      </c>
      <c r="M3595" s="21">
        <v>-233450.19329223852</v>
      </c>
    </row>
    <row r="3596" spans="12:13" x14ac:dyDescent="0.2">
      <c r="L3596" s="4">
        <v>3590</v>
      </c>
      <c r="M3596" s="21">
        <v>-186745.43440003719</v>
      </c>
    </row>
    <row r="3597" spans="12:13" x14ac:dyDescent="0.2">
      <c r="L3597" s="4">
        <v>3591</v>
      </c>
      <c r="M3597" s="21">
        <v>-100174.42725581948</v>
      </c>
    </row>
    <row r="3598" spans="12:13" x14ac:dyDescent="0.2">
      <c r="L3598" s="4">
        <v>3592</v>
      </c>
      <c r="M3598" s="21">
        <v>326147.12881757028</v>
      </c>
    </row>
    <row r="3599" spans="12:13" x14ac:dyDescent="0.2">
      <c r="L3599" s="4">
        <v>3593</v>
      </c>
      <c r="M3599" s="21">
        <v>-138612.58158627135</v>
      </c>
    </row>
    <row r="3600" spans="12:13" x14ac:dyDescent="0.2">
      <c r="L3600" s="4">
        <v>3594</v>
      </c>
      <c r="M3600" s="21">
        <v>213492.38680407219</v>
      </c>
    </row>
    <row r="3601" spans="12:13" x14ac:dyDescent="0.2">
      <c r="L3601" s="4">
        <v>3595</v>
      </c>
      <c r="M3601" s="21">
        <v>17933.24769004056</v>
      </c>
    </row>
    <row r="3602" spans="12:13" x14ac:dyDescent="0.2">
      <c r="L3602" s="4">
        <v>3596</v>
      </c>
      <c r="M3602" s="21">
        <v>-115375.3974878661</v>
      </c>
    </row>
    <row r="3603" spans="12:13" x14ac:dyDescent="0.2">
      <c r="L3603" s="4">
        <v>3597</v>
      </c>
      <c r="M3603" s="21">
        <v>58076.566019349732</v>
      </c>
    </row>
    <row r="3604" spans="12:13" x14ac:dyDescent="0.2">
      <c r="L3604" s="4">
        <v>3598</v>
      </c>
      <c r="M3604" s="21">
        <v>136845.96465857959</v>
      </c>
    </row>
    <row r="3605" spans="12:13" x14ac:dyDescent="0.2">
      <c r="L3605" s="4">
        <v>3599</v>
      </c>
      <c r="M3605" s="21">
        <v>129921.15269636159</v>
      </c>
    </row>
    <row r="3606" spans="12:13" x14ac:dyDescent="0.2">
      <c r="L3606" s="4">
        <v>3600</v>
      </c>
      <c r="M3606" s="21">
        <v>-141223.71313880139</v>
      </c>
    </row>
    <row r="3607" spans="12:13" x14ac:dyDescent="0.2">
      <c r="L3607" s="4">
        <v>3601</v>
      </c>
      <c r="M3607" s="21">
        <v>-305861.5169175932</v>
      </c>
    </row>
    <row r="3608" spans="12:13" x14ac:dyDescent="0.2">
      <c r="L3608" s="4">
        <v>3602</v>
      </c>
      <c r="M3608" s="21">
        <v>173752.07705065989</v>
      </c>
    </row>
    <row r="3609" spans="12:13" x14ac:dyDescent="0.2">
      <c r="L3609" s="4">
        <v>3603</v>
      </c>
      <c r="M3609" s="21">
        <v>11789.981879817875</v>
      </c>
    </row>
    <row r="3610" spans="12:13" x14ac:dyDescent="0.2">
      <c r="L3610" s="4">
        <v>3604</v>
      </c>
      <c r="M3610" s="21">
        <v>373612.15906100534</v>
      </c>
    </row>
    <row r="3611" spans="12:13" x14ac:dyDescent="0.2">
      <c r="L3611" s="4">
        <v>3605</v>
      </c>
      <c r="M3611" s="21">
        <v>-103288.5888088268</v>
      </c>
    </row>
    <row r="3612" spans="12:13" x14ac:dyDescent="0.2">
      <c r="L3612" s="4">
        <v>3606</v>
      </c>
      <c r="M3612" s="21">
        <v>280984.47322025313</v>
      </c>
    </row>
    <row r="3613" spans="12:13" x14ac:dyDescent="0.2">
      <c r="L3613" s="4">
        <v>3607</v>
      </c>
      <c r="M3613" s="21">
        <v>-277967.67137303686</v>
      </c>
    </row>
    <row r="3614" spans="12:13" x14ac:dyDescent="0.2">
      <c r="L3614" s="4">
        <v>3608</v>
      </c>
      <c r="M3614" s="21">
        <v>-109849.62643897042</v>
      </c>
    </row>
    <row r="3615" spans="12:13" x14ac:dyDescent="0.2">
      <c r="L3615" s="4">
        <v>3609</v>
      </c>
      <c r="M3615" s="21">
        <v>-109703.7748118794</v>
      </c>
    </row>
    <row r="3616" spans="12:13" x14ac:dyDescent="0.2">
      <c r="L3616" s="4">
        <v>3610</v>
      </c>
      <c r="M3616" s="21">
        <v>295155.53424367908</v>
      </c>
    </row>
    <row r="3617" spans="12:13" x14ac:dyDescent="0.2">
      <c r="L3617" s="4">
        <v>3611</v>
      </c>
      <c r="M3617" s="21">
        <v>68234.560465855437</v>
      </c>
    </row>
    <row r="3618" spans="12:13" x14ac:dyDescent="0.2">
      <c r="L3618" s="4">
        <v>3612</v>
      </c>
      <c r="M3618" s="21">
        <v>140085.47126851833</v>
      </c>
    </row>
    <row r="3619" spans="12:13" x14ac:dyDescent="0.2">
      <c r="L3619" s="4">
        <v>3613</v>
      </c>
      <c r="M3619" s="21">
        <v>-65902.583854221317</v>
      </c>
    </row>
    <row r="3620" spans="12:13" x14ac:dyDescent="0.2">
      <c r="L3620" s="4">
        <v>3614</v>
      </c>
      <c r="M3620" s="21">
        <v>209617.49194666804</v>
      </c>
    </row>
    <row r="3621" spans="12:13" x14ac:dyDescent="0.2">
      <c r="L3621" s="4">
        <v>3615</v>
      </c>
      <c r="M3621" s="21">
        <v>74057.691124464443</v>
      </c>
    </row>
    <row r="3622" spans="12:13" x14ac:dyDescent="0.2">
      <c r="L3622" s="4">
        <v>3616</v>
      </c>
      <c r="M3622" s="21">
        <v>163514.4287248156</v>
      </c>
    </row>
    <row r="3623" spans="12:13" x14ac:dyDescent="0.2">
      <c r="L3623" s="4">
        <v>3617</v>
      </c>
      <c r="M3623" s="21">
        <v>240574.9487442268</v>
      </c>
    </row>
    <row r="3624" spans="12:13" x14ac:dyDescent="0.2">
      <c r="L3624" s="4">
        <v>3618</v>
      </c>
      <c r="M3624" s="21">
        <v>-308729.57487801131</v>
      </c>
    </row>
    <row r="3625" spans="12:13" x14ac:dyDescent="0.2">
      <c r="L3625" s="4">
        <v>3619</v>
      </c>
      <c r="M3625" s="21">
        <v>-30373.176141525182</v>
      </c>
    </row>
    <row r="3626" spans="12:13" x14ac:dyDescent="0.2">
      <c r="L3626" s="4">
        <v>3620</v>
      </c>
      <c r="M3626" s="21">
        <v>-45907.305736936498</v>
      </c>
    </row>
    <row r="3627" spans="12:13" x14ac:dyDescent="0.2">
      <c r="L3627" s="4">
        <v>3621</v>
      </c>
      <c r="M3627" s="21">
        <v>189633.50137584709</v>
      </c>
    </row>
    <row r="3628" spans="12:13" x14ac:dyDescent="0.2">
      <c r="L3628" s="4">
        <v>3622</v>
      </c>
      <c r="M3628" s="21">
        <v>133416.96483465328</v>
      </c>
    </row>
    <row r="3629" spans="12:13" x14ac:dyDescent="0.2">
      <c r="L3629" s="4">
        <v>3623</v>
      </c>
      <c r="M3629" s="21">
        <v>16536.276275508135</v>
      </c>
    </row>
    <row r="3630" spans="12:13" x14ac:dyDescent="0.2">
      <c r="L3630" s="4">
        <v>3624</v>
      </c>
      <c r="M3630" s="21">
        <v>-107433.47482565849</v>
      </c>
    </row>
    <row r="3631" spans="12:13" x14ac:dyDescent="0.2">
      <c r="L3631" s="4">
        <v>3625</v>
      </c>
      <c r="M3631" s="21">
        <v>115718.43240634445</v>
      </c>
    </row>
    <row r="3632" spans="12:13" x14ac:dyDescent="0.2">
      <c r="L3632" s="4">
        <v>3626</v>
      </c>
      <c r="M3632" s="21">
        <v>-56563.949841136244</v>
      </c>
    </row>
    <row r="3633" spans="12:13" x14ac:dyDescent="0.2">
      <c r="L3633" s="4">
        <v>3627</v>
      </c>
      <c r="M3633" s="21">
        <v>21548.264214942843</v>
      </c>
    </row>
    <row r="3634" spans="12:13" x14ac:dyDescent="0.2">
      <c r="L3634" s="4">
        <v>3628</v>
      </c>
      <c r="M3634" s="21">
        <v>-95660.559598767592</v>
      </c>
    </row>
    <row r="3635" spans="12:13" x14ac:dyDescent="0.2">
      <c r="L3635" s="4">
        <v>3629</v>
      </c>
      <c r="M3635" s="21">
        <v>-218352.67892730224</v>
      </c>
    </row>
    <row r="3636" spans="12:13" x14ac:dyDescent="0.2">
      <c r="L3636" s="4">
        <v>3630</v>
      </c>
      <c r="M3636" s="21">
        <v>116955.20598986294</v>
      </c>
    </row>
    <row r="3637" spans="12:13" x14ac:dyDescent="0.2">
      <c r="L3637" s="4">
        <v>3631</v>
      </c>
      <c r="M3637" s="21">
        <v>-388231.26746420923</v>
      </c>
    </row>
    <row r="3638" spans="12:13" x14ac:dyDescent="0.2">
      <c r="L3638" s="4">
        <v>3632</v>
      </c>
      <c r="M3638" s="21">
        <v>17826.477252575103</v>
      </c>
    </row>
    <row r="3639" spans="12:13" x14ac:dyDescent="0.2">
      <c r="L3639" s="4">
        <v>3633</v>
      </c>
      <c r="M3639" s="21">
        <v>-3897.3607541121601</v>
      </c>
    </row>
    <row r="3640" spans="12:13" x14ac:dyDescent="0.2">
      <c r="L3640" s="4">
        <v>3634</v>
      </c>
      <c r="M3640" s="21">
        <v>-51382.800800822763</v>
      </c>
    </row>
    <row r="3641" spans="12:13" x14ac:dyDescent="0.2">
      <c r="L3641" s="4">
        <v>3635</v>
      </c>
      <c r="M3641" s="21">
        <v>79726.12215125488</v>
      </c>
    </row>
    <row r="3642" spans="12:13" x14ac:dyDescent="0.2">
      <c r="L3642" s="4">
        <v>3636</v>
      </c>
      <c r="M3642" s="21">
        <v>-33151.936761825986</v>
      </c>
    </row>
    <row r="3643" spans="12:13" x14ac:dyDescent="0.2">
      <c r="L3643" s="4">
        <v>3637</v>
      </c>
      <c r="M3643" s="21">
        <v>227319.45218615705</v>
      </c>
    </row>
    <row r="3644" spans="12:13" x14ac:dyDescent="0.2">
      <c r="L3644" s="4">
        <v>3638</v>
      </c>
      <c r="M3644" s="21">
        <v>-81554.537149752039</v>
      </c>
    </row>
    <row r="3645" spans="12:13" x14ac:dyDescent="0.2">
      <c r="L3645" s="4">
        <v>3639</v>
      </c>
      <c r="M3645" s="21">
        <v>-5830.8326713251154</v>
      </c>
    </row>
    <row r="3646" spans="12:13" x14ac:dyDescent="0.2">
      <c r="L3646" s="4">
        <v>3640</v>
      </c>
      <c r="M3646" s="21">
        <v>-55037.418051566259</v>
      </c>
    </row>
    <row r="3647" spans="12:13" x14ac:dyDescent="0.2">
      <c r="L3647" s="4">
        <v>3641</v>
      </c>
      <c r="M3647" s="21">
        <v>-29135.968326466958</v>
      </c>
    </row>
    <row r="3648" spans="12:13" x14ac:dyDescent="0.2">
      <c r="L3648" s="4">
        <v>3642</v>
      </c>
      <c r="M3648" s="21">
        <v>116892.89026635181</v>
      </c>
    </row>
    <row r="3649" spans="12:13" x14ac:dyDescent="0.2">
      <c r="L3649" s="4">
        <v>3643</v>
      </c>
      <c r="M3649" s="21">
        <v>-147165.06104317002</v>
      </c>
    </row>
    <row r="3650" spans="12:13" x14ac:dyDescent="0.2">
      <c r="L3650" s="4">
        <v>3644</v>
      </c>
      <c r="M3650" s="21">
        <v>184016.58008324666</v>
      </c>
    </row>
    <row r="3651" spans="12:13" x14ac:dyDescent="0.2">
      <c r="L3651" s="4">
        <v>3645</v>
      </c>
      <c r="M3651" s="21">
        <v>303092.43379606248</v>
      </c>
    </row>
    <row r="3652" spans="12:13" x14ac:dyDescent="0.2">
      <c r="L3652" s="4">
        <v>3646</v>
      </c>
      <c r="M3652" s="21">
        <v>133016.27493759937</v>
      </c>
    </row>
    <row r="3653" spans="12:13" x14ac:dyDescent="0.2">
      <c r="L3653" s="4">
        <v>3647</v>
      </c>
      <c r="M3653" s="21">
        <v>121337.49493989075</v>
      </c>
    </row>
    <row r="3654" spans="12:13" x14ac:dyDescent="0.2">
      <c r="L3654" s="4">
        <v>3648</v>
      </c>
      <c r="M3654" s="21">
        <v>201788.03576211352</v>
      </c>
    </row>
    <row r="3655" spans="12:13" x14ac:dyDescent="0.2">
      <c r="L3655" s="4">
        <v>3649</v>
      </c>
      <c r="M3655" s="21">
        <v>86470.284653036681</v>
      </c>
    </row>
    <row r="3656" spans="12:13" x14ac:dyDescent="0.2">
      <c r="L3656" s="4">
        <v>3650</v>
      </c>
      <c r="M3656" s="21">
        <v>168369.80028208013</v>
      </c>
    </row>
    <row r="3657" spans="12:13" x14ac:dyDescent="0.2">
      <c r="L3657" s="4">
        <v>3651</v>
      </c>
      <c r="M3657" s="21">
        <v>14341.636161412491</v>
      </c>
    </row>
    <row r="3658" spans="12:13" x14ac:dyDescent="0.2">
      <c r="L3658" s="4">
        <v>3652</v>
      </c>
      <c r="M3658" s="21">
        <v>-117454.33997110894</v>
      </c>
    </row>
    <row r="3659" spans="12:13" x14ac:dyDescent="0.2">
      <c r="L3659" s="4">
        <v>3653</v>
      </c>
      <c r="M3659" s="21">
        <v>-441553.72200994071</v>
      </c>
    </row>
    <row r="3660" spans="12:13" x14ac:dyDescent="0.2">
      <c r="L3660" s="4">
        <v>3654</v>
      </c>
      <c r="M3660" s="21">
        <v>-96730.339110535046</v>
      </c>
    </row>
    <row r="3661" spans="12:13" x14ac:dyDescent="0.2">
      <c r="L3661" s="4">
        <v>3655</v>
      </c>
      <c r="M3661" s="21">
        <v>-90587.588514243034</v>
      </c>
    </row>
    <row r="3662" spans="12:13" x14ac:dyDescent="0.2">
      <c r="L3662" s="4">
        <v>3656</v>
      </c>
      <c r="M3662" s="21">
        <v>-71210.245378368039</v>
      </c>
    </row>
    <row r="3663" spans="12:13" x14ac:dyDescent="0.2">
      <c r="L3663" s="4">
        <v>3657</v>
      </c>
      <c r="M3663" s="21">
        <v>-208481.24783172301</v>
      </c>
    </row>
    <row r="3664" spans="12:13" x14ac:dyDescent="0.2">
      <c r="L3664" s="4">
        <v>3658</v>
      </c>
      <c r="M3664" s="21">
        <v>54177.627677703887</v>
      </c>
    </row>
    <row r="3665" spans="12:13" x14ac:dyDescent="0.2">
      <c r="L3665" s="4">
        <v>3659</v>
      </c>
      <c r="M3665" s="21">
        <v>-217895.69511894515</v>
      </c>
    </row>
    <row r="3666" spans="12:13" x14ac:dyDescent="0.2">
      <c r="L3666" s="4">
        <v>3660</v>
      </c>
      <c r="M3666" s="21">
        <v>-129034.69012252003</v>
      </c>
    </row>
    <row r="3667" spans="12:13" x14ac:dyDescent="0.2">
      <c r="L3667" s="4">
        <v>3661</v>
      </c>
      <c r="M3667" s="21">
        <v>172269.35616294382</v>
      </c>
    </row>
    <row r="3668" spans="12:13" x14ac:dyDescent="0.2">
      <c r="L3668" s="4">
        <v>3662</v>
      </c>
      <c r="M3668" s="21">
        <v>-66671.975814744816</v>
      </c>
    </row>
    <row r="3669" spans="12:13" x14ac:dyDescent="0.2">
      <c r="L3669" s="4">
        <v>3663</v>
      </c>
      <c r="M3669" s="21">
        <v>199584.82425460208</v>
      </c>
    </row>
    <row r="3670" spans="12:13" x14ac:dyDescent="0.2">
      <c r="L3670" s="4">
        <v>3664</v>
      </c>
      <c r="M3670" s="21">
        <v>-173275.94849718735</v>
      </c>
    </row>
    <row r="3671" spans="12:13" x14ac:dyDescent="0.2">
      <c r="L3671" s="4">
        <v>3665</v>
      </c>
      <c r="M3671" s="21">
        <v>-65629.283304305412</v>
      </c>
    </row>
    <row r="3672" spans="12:13" x14ac:dyDescent="0.2">
      <c r="L3672" s="4">
        <v>3666</v>
      </c>
      <c r="M3672" s="21">
        <v>-104201.3375170738</v>
      </c>
    </row>
    <row r="3673" spans="12:13" x14ac:dyDescent="0.2">
      <c r="L3673" s="4">
        <v>3667</v>
      </c>
      <c r="M3673" s="21">
        <v>64508.635255151516</v>
      </c>
    </row>
    <row r="3674" spans="12:13" x14ac:dyDescent="0.2">
      <c r="L3674" s="4">
        <v>3668</v>
      </c>
      <c r="M3674" s="21">
        <v>362000.02289579198</v>
      </c>
    </row>
    <row r="3675" spans="12:13" x14ac:dyDescent="0.2">
      <c r="L3675" s="4">
        <v>3669</v>
      </c>
      <c r="M3675" s="21">
        <v>203983.79284203719</v>
      </c>
    </row>
    <row r="3676" spans="12:13" x14ac:dyDescent="0.2">
      <c r="L3676" s="4">
        <v>3670</v>
      </c>
      <c r="M3676" s="21">
        <v>-245533.7784365211</v>
      </c>
    </row>
    <row r="3677" spans="12:13" x14ac:dyDescent="0.2">
      <c r="L3677" s="4">
        <v>3671</v>
      </c>
      <c r="M3677" s="21">
        <v>-211827.99309038883</v>
      </c>
    </row>
    <row r="3678" spans="12:13" x14ac:dyDescent="0.2">
      <c r="L3678" s="4">
        <v>3672</v>
      </c>
      <c r="M3678" s="21">
        <v>-110319.81750378595</v>
      </c>
    </row>
    <row r="3679" spans="12:13" x14ac:dyDescent="0.2">
      <c r="L3679" s="4">
        <v>3673</v>
      </c>
      <c r="M3679" s="21">
        <v>112723.69122718342</v>
      </c>
    </row>
    <row r="3680" spans="12:13" x14ac:dyDescent="0.2">
      <c r="L3680" s="4">
        <v>3674</v>
      </c>
      <c r="M3680" s="21">
        <v>305282.6359752171</v>
      </c>
    </row>
    <row r="3681" spans="12:13" x14ac:dyDescent="0.2">
      <c r="L3681" s="4">
        <v>3675</v>
      </c>
      <c r="M3681" s="21">
        <v>-57447.623741360585</v>
      </c>
    </row>
    <row r="3682" spans="12:13" x14ac:dyDescent="0.2">
      <c r="L3682" s="4">
        <v>3676</v>
      </c>
      <c r="M3682" s="21">
        <v>149290.12817036544</v>
      </c>
    </row>
    <row r="3683" spans="12:13" x14ac:dyDescent="0.2">
      <c r="L3683" s="4">
        <v>3677</v>
      </c>
      <c r="M3683" s="21">
        <v>-36788.958090070737</v>
      </c>
    </row>
    <row r="3684" spans="12:13" x14ac:dyDescent="0.2">
      <c r="L3684" s="4">
        <v>3678</v>
      </c>
      <c r="M3684" s="21">
        <v>-59181.072773441934</v>
      </c>
    </row>
    <row r="3685" spans="12:13" x14ac:dyDescent="0.2">
      <c r="L3685" s="4">
        <v>3679</v>
      </c>
      <c r="M3685" s="21">
        <v>-252432.96206653593</v>
      </c>
    </row>
    <row r="3686" spans="12:13" x14ac:dyDescent="0.2">
      <c r="L3686" s="4">
        <v>3680</v>
      </c>
      <c r="M3686" s="21">
        <v>-178228.03644113004</v>
      </c>
    </row>
    <row r="3687" spans="12:13" x14ac:dyDescent="0.2">
      <c r="L3687" s="4">
        <v>3681</v>
      </c>
      <c r="M3687" s="21">
        <v>-232693.01105966294</v>
      </c>
    </row>
    <row r="3688" spans="12:13" x14ac:dyDescent="0.2">
      <c r="L3688" s="4">
        <v>3682</v>
      </c>
      <c r="M3688" s="21">
        <v>44726.816389359854</v>
      </c>
    </row>
    <row r="3689" spans="12:13" x14ac:dyDescent="0.2">
      <c r="L3689" s="4">
        <v>3683</v>
      </c>
      <c r="M3689" s="21">
        <v>-348249.87366142112</v>
      </c>
    </row>
    <row r="3690" spans="12:13" x14ac:dyDescent="0.2">
      <c r="L3690" s="4">
        <v>3684</v>
      </c>
      <c r="M3690" s="21">
        <v>181218.19418736928</v>
      </c>
    </row>
    <row r="3691" spans="12:13" x14ac:dyDescent="0.2">
      <c r="L3691" s="4">
        <v>3685</v>
      </c>
      <c r="M3691" s="21">
        <v>165498.60097638471</v>
      </c>
    </row>
    <row r="3692" spans="12:13" x14ac:dyDescent="0.2">
      <c r="L3692" s="4">
        <v>3686</v>
      </c>
      <c r="M3692" s="21">
        <v>47820.55007370864</v>
      </c>
    </row>
    <row r="3693" spans="12:13" x14ac:dyDescent="0.2">
      <c r="L3693" s="4">
        <v>3687</v>
      </c>
      <c r="M3693" s="21">
        <v>188864.2540968695</v>
      </c>
    </row>
    <row r="3694" spans="12:13" x14ac:dyDescent="0.2">
      <c r="L3694" s="4">
        <v>3688</v>
      </c>
      <c r="M3694" s="21">
        <v>46849.86585304371</v>
      </c>
    </row>
    <row r="3695" spans="12:13" x14ac:dyDescent="0.2">
      <c r="L3695" s="4">
        <v>3689</v>
      </c>
      <c r="M3695" s="21">
        <v>-6902.5180947269546</v>
      </c>
    </row>
    <row r="3696" spans="12:13" x14ac:dyDescent="0.2">
      <c r="L3696" s="4">
        <v>3690</v>
      </c>
      <c r="M3696" s="21">
        <v>70945.735267184617</v>
      </c>
    </row>
    <row r="3697" spans="12:13" x14ac:dyDescent="0.2">
      <c r="L3697" s="4">
        <v>3691</v>
      </c>
      <c r="M3697" s="21">
        <v>-123171.33876131407</v>
      </c>
    </row>
    <row r="3698" spans="12:13" x14ac:dyDescent="0.2">
      <c r="L3698" s="4">
        <v>3692</v>
      </c>
      <c r="M3698" s="21">
        <v>-304215.70152032957</v>
      </c>
    </row>
    <row r="3699" spans="12:13" x14ac:dyDescent="0.2">
      <c r="L3699" s="4">
        <v>3693</v>
      </c>
      <c r="M3699" s="21">
        <v>233810.21826030588</v>
      </c>
    </row>
    <row r="3700" spans="12:13" x14ac:dyDescent="0.2">
      <c r="L3700" s="4">
        <v>3694</v>
      </c>
      <c r="M3700" s="21">
        <v>-259630.85138353828</v>
      </c>
    </row>
    <row r="3701" spans="12:13" x14ac:dyDescent="0.2">
      <c r="L3701" s="4">
        <v>3695</v>
      </c>
      <c r="M3701" s="21">
        <v>-8262.3977372620866</v>
      </c>
    </row>
    <row r="3702" spans="12:13" x14ac:dyDescent="0.2">
      <c r="L3702" s="4">
        <v>3696</v>
      </c>
      <c r="M3702" s="21">
        <v>-107275.28610446895</v>
      </c>
    </row>
    <row r="3703" spans="12:13" x14ac:dyDescent="0.2">
      <c r="L3703" s="4">
        <v>3697</v>
      </c>
      <c r="M3703" s="21">
        <v>-92482.840197694444</v>
      </c>
    </row>
    <row r="3704" spans="12:13" x14ac:dyDescent="0.2">
      <c r="L3704" s="4">
        <v>3698</v>
      </c>
      <c r="M3704" s="21">
        <v>193659.98649671589</v>
      </c>
    </row>
    <row r="3705" spans="12:13" x14ac:dyDescent="0.2">
      <c r="L3705" s="4">
        <v>3699</v>
      </c>
      <c r="M3705" s="21">
        <v>234300.66524886212</v>
      </c>
    </row>
    <row r="3706" spans="12:13" x14ac:dyDescent="0.2">
      <c r="L3706" s="4">
        <v>3700</v>
      </c>
      <c r="M3706" s="21">
        <v>58329.83189304269</v>
      </c>
    </row>
    <row r="3707" spans="12:13" x14ac:dyDescent="0.2">
      <c r="L3707" s="4">
        <v>3701</v>
      </c>
      <c r="M3707" s="21">
        <v>-220450.65703307535</v>
      </c>
    </row>
    <row r="3708" spans="12:13" x14ac:dyDescent="0.2">
      <c r="L3708" s="4">
        <v>3702</v>
      </c>
      <c r="M3708" s="21">
        <v>-70368.726780774537</v>
      </c>
    </row>
    <row r="3709" spans="12:13" x14ac:dyDescent="0.2">
      <c r="L3709" s="4">
        <v>3703</v>
      </c>
      <c r="M3709" s="21">
        <v>-176867.44051349134</v>
      </c>
    </row>
    <row r="3710" spans="12:13" x14ac:dyDescent="0.2">
      <c r="L3710" s="4">
        <v>3704</v>
      </c>
      <c r="M3710" s="21">
        <v>-2523.0339146657643</v>
      </c>
    </row>
    <row r="3711" spans="12:13" x14ac:dyDescent="0.2">
      <c r="L3711" s="4">
        <v>3705</v>
      </c>
      <c r="M3711" s="21">
        <v>-305470.56124185299</v>
      </c>
    </row>
    <row r="3712" spans="12:13" x14ac:dyDescent="0.2">
      <c r="L3712" s="4">
        <v>3706</v>
      </c>
      <c r="M3712" s="21">
        <v>60608.847589113197</v>
      </c>
    </row>
    <row r="3713" spans="12:13" x14ac:dyDescent="0.2">
      <c r="L3713" s="4">
        <v>3707</v>
      </c>
      <c r="M3713" s="21">
        <v>8667.2088698352163</v>
      </c>
    </row>
    <row r="3714" spans="12:13" x14ac:dyDescent="0.2">
      <c r="L3714" s="4">
        <v>3708</v>
      </c>
      <c r="M3714" s="21">
        <v>-7220.8346760314598</v>
      </c>
    </row>
    <row r="3715" spans="12:13" x14ac:dyDescent="0.2">
      <c r="L3715" s="4">
        <v>3709</v>
      </c>
      <c r="M3715" s="21">
        <v>6862.4714443599223</v>
      </c>
    </row>
    <row r="3716" spans="12:13" x14ac:dyDescent="0.2">
      <c r="L3716" s="4">
        <v>3710</v>
      </c>
      <c r="M3716" s="21">
        <v>-35081.470491562432</v>
      </c>
    </row>
    <row r="3717" spans="12:13" x14ac:dyDescent="0.2">
      <c r="L3717" s="4">
        <v>3711</v>
      </c>
      <c r="M3717" s="21">
        <v>250417.97651681877</v>
      </c>
    </row>
    <row r="3718" spans="12:13" x14ac:dyDescent="0.2">
      <c r="L3718" s="4">
        <v>3712</v>
      </c>
      <c r="M3718" s="21">
        <v>50998.889314518572</v>
      </c>
    </row>
    <row r="3719" spans="12:13" x14ac:dyDescent="0.2">
      <c r="L3719" s="4">
        <v>3713</v>
      </c>
      <c r="M3719" s="21">
        <v>131939.77455566957</v>
      </c>
    </row>
    <row r="3720" spans="12:13" x14ac:dyDescent="0.2">
      <c r="L3720" s="4">
        <v>3714</v>
      </c>
      <c r="M3720" s="21">
        <v>-192198.51323469516</v>
      </c>
    </row>
    <row r="3721" spans="12:13" x14ac:dyDescent="0.2">
      <c r="L3721" s="4">
        <v>3715</v>
      </c>
      <c r="M3721" s="21">
        <v>-325567.18684552901</v>
      </c>
    </row>
    <row r="3722" spans="12:13" x14ac:dyDescent="0.2">
      <c r="L3722" s="4">
        <v>3716</v>
      </c>
      <c r="M3722" s="21">
        <v>-110928.35583827819</v>
      </c>
    </row>
    <row r="3723" spans="12:13" x14ac:dyDescent="0.2">
      <c r="L3723" s="4">
        <v>3717</v>
      </c>
      <c r="M3723" s="21">
        <v>17944.638895563141</v>
      </c>
    </row>
    <row r="3724" spans="12:13" x14ac:dyDescent="0.2">
      <c r="L3724" s="4">
        <v>3718</v>
      </c>
      <c r="M3724" s="21">
        <v>-23258.783808464505</v>
      </c>
    </row>
    <row r="3725" spans="12:13" x14ac:dyDescent="0.2">
      <c r="L3725" s="4">
        <v>3719</v>
      </c>
      <c r="M3725" s="21">
        <v>-154017.12043748877</v>
      </c>
    </row>
    <row r="3726" spans="12:13" x14ac:dyDescent="0.2">
      <c r="L3726" s="4">
        <v>3720</v>
      </c>
      <c r="M3726" s="21">
        <v>-74668.135718948542</v>
      </c>
    </row>
    <row r="3727" spans="12:13" x14ac:dyDescent="0.2">
      <c r="L3727" s="4">
        <v>3721</v>
      </c>
      <c r="M3727" s="21">
        <v>131691.15851132476</v>
      </c>
    </row>
    <row r="3728" spans="12:13" x14ac:dyDescent="0.2">
      <c r="L3728" s="4">
        <v>3722</v>
      </c>
      <c r="M3728" s="21">
        <v>-143803.53006683261</v>
      </c>
    </row>
    <row r="3729" spans="12:13" x14ac:dyDescent="0.2">
      <c r="L3729" s="4">
        <v>3723</v>
      </c>
      <c r="M3729" s="21">
        <v>104504.52406672473</v>
      </c>
    </row>
    <row r="3730" spans="12:13" x14ac:dyDescent="0.2">
      <c r="L3730" s="4">
        <v>3724</v>
      </c>
      <c r="M3730" s="21">
        <v>24332.87896573919</v>
      </c>
    </row>
    <row r="3731" spans="12:13" x14ac:dyDescent="0.2">
      <c r="L3731" s="4">
        <v>3725</v>
      </c>
      <c r="M3731" s="21">
        <v>-35112.235391565977</v>
      </c>
    </row>
    <row r="3732" spans="12:13" x14ac:dyDescent="0.2">
      <c r="L3732" s="4">
        <v>3726</v>
      </c>
      <c r="M3732" s="21">
        <v>55030.349723409425</v>
      </c>
    </row>
    <row r="3733" spans="12:13" x14ac:dyDescent="0.2">
      <c r="L3733" s="4">
        <v>3727</v>
      </c>
      <c r="M3733" s="21">
        <v>-70547.023672603085</v>
      </c>
    </row>
    <row r="3734" spans="12:13" x14ac:dyDescent="0.2">
      <c r="L3734" s="4">
        <v>3728</v>
      </c>
      <c r="M3734" s="21">
        <v>8461.114075985417</v>
      </c>
    </row>
    <row r="3735" spans="12:13" x14ac:dyDescent="0.2">
      <c r="L3735" s="4">
        <v>3729</v>
      </c>
      <c r="M3735" s="21">
        <v>96964.650251830084</v>
      </c>
    </row>
    <row r="3736" spans="12:13" x14ac:dyDescent="0.2">
      <c r="L3736" s="4">
        <v>3730</v>
      </c>
      <c r="M3736" s="21">
        <v>196021.60331924626</v>
      </c>
    </row>
    <row r="3737" spans="12:13" x14ac:dyDescent="0.2">
      <c r="L3737" s="4">
        <v>3731</v>
      </c>
      <c r="M3737" s="21">
        <v>179344.02345737282</v>
      </c>
    </row>
    <row r="3738" spans="12:13" x14ac:dyDescent="0.2">
      <c r="L3738" s="4">
        <v>3732</v>
      </c>
      <c r="M3738" s="21">
        <v>-91911.919487411025</v>
      </c>
    </row>
    <row r="3739" spans="12:13" x14ac:dyDescent="0.2">
      <c r="L3739" s="4">
        <v>3733</v>
      </c>
      <c r="M3739" s="21">
        <v>182339.58389379381</v>
      </c>
    </row>
    <row r="3740" spans="12:13" x14ac:dyDescent="0.2">
      <c r="L3740" s="4">
        <v>3734</v>
      </c>
      <c r="M3740" s="21">
        <v>57370.377614884957</v>
      </c>
    </row>
    <row r="3741" spans="12:13" x14ac:dyDescent="0.2">
      <c r="L3741" s="4">
        <v>3735</v>
      </c>
      <c r="M3741" s="21">
        <v>-182247.68068632999</v>
      </c>
    </row>
    <row r="3742" spans="12:13" x14ac:dyDescent="0.2">
      <c r="L3742" s="4">
        <v>3736</v>
      </c>
      <c r="M3742" s="21">
        <v>-149483.09894626378</v>
      </c>
    </row>
    <row r="3743" spans="12:13" x14ac:dyDescent="0.2">
      <c r="L3743" s="4">
        <v>3737</v>
      </c>
      <c r="M3743" s="21">
        <v>-49452.424100113742</v>
      </c>
    </row>
    <row r="3744" spans="12:13" x14ac:dyDescent="0.2">
      <c r="L3744" s="4">
        <v>3738</v>
      </c>
      <c r="M3744" s="21">
        <v>114772.70445938758</v>
      </c>
    </row>
    <row r="3745" spans="12:13" x14ac:dyDescent="0.2">
      <c r="L3745" s="4">
        <v>3739</v>
      </c>
      <c r="M3745" s="21">
        <v>191371.19545163235</v>
      </c>
    </row>
    <row r="3746" spans="12:13" x14ac:dyDescent="0.2">
      <c r="L3746" s="4">
        <v>3740</v>
      </c>
      <c r="M3746" s="21">
        <v>185457.94128382477</v>
      </c>
    </row>
    <row r="3747" spans="12:13" x14ac:dyDescent="0.2">
      <c r="L3747" s="4">
        <v>3741</v>
      </c>
      <c r="M3747" s="21">
        <v>-131734.87064191944</v>
      </c>
    </row>
    <row r="3748" spans="12:13" x14ac:dyDescent="0.2">
      <c r="L3748" s="4">
        <v>3742</v>
      </c>
      <c r="M3748" s="21">
        <v>-244394.35018088581</v>
      </c>
    </row>
    <row r="3749" spans="12:13" x14ac:dyDescent="0.2">
      <c r="L3749" s="4">
        <v>3743</v>
      </c>
      <c r="M3749" s="21">
        <v>-210328.47583776756</v>
      </c>
    </row>
    <row r="3750" spans="12:13" x14ac:dyDescent="0.2">
      <c r="L3750" s="4">
        <v>3744</v>
      </c>
      <c r="M3750" s="21">
        <v>61752.060498478939</v>
      </c>
    </row>
    <row r="3751" spans="12:13" x14ac:dyDescent="0.2">
      <c r="L3751" s="4">
        <v>3745</v>
      </c>
      <c r="M3751" s="21">
        <v>249383.79048206081</v>
      </c>
    </row>
    <row r="3752" spans="12:13" x14ac:dyDescent="0.2">
      <c r="L3752" s="4">
        <v>3746</v>
      </c>
      <c r="M3752" s="21">
        <v>-212523.13987260679</v>
      </c>
    </row>
    <row r="3753" spans="12:13" x14ac:dyDescent="0.2">
      <c r="L3753" s="4">
        <v>3747</v>
      </c>
      <c r="M3753" s="21">
        <v>153320.33133114662</v>
      </c>
    </row>
    <row r="3754" spans="12:13" x14ac:dyDescent="0.2">
      <c r="L3754" s="4">
        <v>3748</v>
      </c>
      <c r="M3754" s="21">
        <v>142012.94062426439</v>
      </c>
    </row>
    <row r="3755" spans="12:13" x14ac:dyDescent="0.2">
      <c r="L3755" s="4">
        <v>3749</v>
      </c>
      <c r="M3755" s="21">
        <v>62023.864251790248</v>
      </c>
    </row>
    <row r="3756" spans="12:13" x14ac:dyDescent="0.2">
      <c r="L3756" s="4">
        <v>3750</v>
      </c>
      <c r="M3756" s="21">
        <v>-249337.68574648822</v>
      </c>
    </row>
    <row r="3757" spans="12:13" x14ac:dyDescent="0.2">
      <c r="L3757" s="4">
        <v>3751</v>
      </c>
      <c r="M3757" s="21">
        <v>-67608.035421388297</v>
      </c>
    </row>
    <row r="3758" spans="12:13" x14ac:dyDescent="0.2">
      <c r="L3758" s="4">
        <v>3752</v>
      </c>
      <c r="M3758" s="21">
        <v>-55886.387622341339</v>
      </c>
    </row>
    <row r="3759" spans="12:13" x14ac:dyDescent="0.2">
      <c r="L3759" s="4">
        <v>3753</v>
      </c>
      <c r="M3759" s="21">
        <v>-38246.596668560873</v>
      </c>
    </row>
    <row r="3760" spans="12:13" x14ac:dyDescent="0.2">
      <c r="L3760" s="4">
        <v>3754</v>
      </c>
      <c r="M3760" s="21">
        <v>97525.776713145897</v>
      </c>
    </row>
    <row r="3761" spans="12:13" x14ac:dyDescent="0.2">
      <c r="L3761" s="4">
        <v>3755</v>
      </c>
      <c r="M3761" s="21">
        <v>-190700.0491758897</v>
      </c>
    </row>
    <row r="3762" spans="12:13" x14ac:dyDescent="0.2">
      <c r="L3762" s="4">
        <v>3756</v>
      </c>
      <c r="M3762" s="21">
        <v>-41752.805840812522</v>
      </c>
    </row>
    <row r="3763" spans="12:13" x14ac:dyDescent="0.2">
      <c r="L3763" s="4">
        <v>3757</v>
      </c>
      <c r="M3763" s="21">
        <v>-142692.123046953</v>
      </c>
    </row>
    <row r="3764" spans="12:13" x14ac:dyDescent="0.2">
      <c r="L3764" s="4">
        <v>3758</v>
      </c>
      <c r="M3764" s="21">
        <v>55177.02949772295</v>
      </c>
    </row>
    <row r="3765" spans="12:13" x14ac:dyDescent="0.2">
      <c r="L3765" s="4">
        <v>3759</v>
      </c>
      <c r="M3765" s="21">
        <v>48511.172080867225</v>
      </c>
    </row>
    <row r="3766" spans="12:13" x14ac:dyDescent="0.2">
      <c r="L3766" s="4">
        <v>3760</v>
      </c>
      <c r="M3766" s="21">
        <v>-17846.982456969243</v>
      </c>
    </row>
    <row r="3767" spans="12:13" x14ac:dyDescent="0.2">
      <c r="L3767" s="4">
        <v>3761</v>
      </c>
      <c r="M3767" s="21">
        <v>-201967.62659078607</v>
      </c>
    </row>
    <row r="3768" spans="12:13" x14ac:dyDescent="0.2">
      <c r="L3768" s="4">
        <v>3762</v>
      </c>
      <c r="M3768" s="21">
        <v>-26310.871511607882</v>
      </c>
    </row>
    <row r="3769" spans="12:13" x14ac:dyDescent="0.2">
      <c r="L3769" s="4">
        <v>3763</v>
      </c>
      <c r="M3769" s="21">
        <v>-57202.805166458929</v>
      </c>
    </row>
    <row r="3770" spans="12:13" x14ac:dyDescent="0.2">
      <c r="L3770" s="4">
        <v>3764</v>
      </c>
      <c r="M3770" s="21">
        <v>-53031.66117046251</v>
      </c>
    </row>
    <row r="3771" spans="12:13" x14ac:dyDescent="0.2">
      <c r="L3771" s="4">
        <v>3765</v>
      </c>
      <c r="M3771" s="21">
        <v>51110.001157628169</v>
      </c>
    </row>
    <row r="3772" spans="12:13" x14ac:dyDescent="0.2">
      <c r="L3772" s="4">
        <v>3766</v>
      </c>
      <c r="M3772" s="21">
        <v>56110.019198233087</v>
      </c>
    </row>
    <row r="3773" spans="12:13" x14ac:dyDescent="0.2">
      <c r="L3773" s="4">
        <v>3767</v>
      </c>
      <c r="M3773" s="21">
        <v>-71504.178180608185</v>
      </c>
    </row>
    <row r="3774" spans="12:13" x14ac:dyDescent="0.2">
      <c r="L3774" s="4">
        <v>3768</v>
      </c>
      <c r="M3774" s="21">
        <v>273523.41392378928</v>
      </c>
    </row>
    <row r="3775" spans="12:13" x14ac:dyDescent="0.2">
      <c r="L3775" s="4">
        <v>3769</v>
      </c>
      <c r="M3775" s="21">
        <v>136902.05913294994</v>
      </c>
    </row>
    <row r="3776" spans="12:13" x14ac:dyDescent="0.2">
      <c r="L3776" s="4">
        <v>3770</v>
      </c>
      <c r="M3776" s="21">
        <v>193698.02140310014</v>
      </c>
    </row>
    <row r="3777" spans="12:13" x14ac:dyDescent="0.2">
      <c r="L3777" s="4">
        <v>3771</v>
      </c>
      <c r="M3777" s="21">
        <v>-10176.780693105073</v>
      </c>
    </row>
    <row r="3778" spans="12:13" x14ac:dyDescent="0.2">
      <c r="L3778" s="4">
        <v>3772</v>
      </c>
      <c r="M3778" s="21">
        <v>-213485.53797976574</v>
      </c>
    </row>
    <row r="3779" spans="12:13" x14ac:dyDescent="0.2">
      <c r="L3779" s="4">
        <v>3773</v>
      </c>
      <c r="M3779" s="21">
        <v>182910.28790775785</v>
      </c>
    </row>
    <row r="3780" spans="12:13" x14ac:dyDescent="0.2">
      <c r="L3780" s="4">
        <v>3774</v>
      </c>
      <c r="M3780" s="21">
        <v>-29666.359639426504</v>
      </c>
    </row>
    <row r="3781" spans="12:13" x14ac:dyDescent="0.2">
      <c r="L3781" s="4">
        <v>3775</v>
      </c>
      <c r="M3781" s="21">
        <v>102849.00520119918</v>
      </c>
    </row>
    <row r="3782" spans="12:13" x14ac:dyDescent="0.2">
      <c r="L3782" s="4">
        <v>3776</v>
      </c>
      <c r="M3782" s="21">
        <v>215293.44518195829</v>
      </c>
    </row>
    <row r="3783" spans="12:13" x14ac:dyDescent="0.2">
      <c r="L3783" s="4">
        <v>3777</v>
      </c>
      <c r="M3783" s="21">
        <v>-54048.162635750487</v>
      </c>
    </row>
    <row r="3784" spans="12:13" x14ac:dyDescent="0.2">
      <c r="L3784" s="4">
        <v>3778</v>
      </c>
      <c r="M3784" s="21">
        <v>20382.936463505728</v>
      </c>
    </row>
    <row r="3785" spans="12:13" x14ac:dyDescent="0.2">
      <c r="L3785" s="4">
        <v>3779</v>
      </c>
      <c r="M3785" s="21">
        <v>264855.28987718845</v>
      </c>
    </row>
    <row r="3786" spans="12:13" x14ac:dyDescent="0.2">
      <c r="L3786" s="4">
        <v>3780</v>
      </c>
      <c r="M3786" s="21">
        <v>-160692.87174388929</v>
      </c>
    </row>
    <row r="3787" spans="12:13" x14ac:dyDescent="0.2">
      <c r="L3787" s="4">
        <v>3781</v>
      </c>
      <c r="M3787" s="21">
        <v>70449.883567314246</v>
      </c>
    </row>
    <row r="3788" spans="12:13" x14ac:dyDescent="0.2">
      <c r="L3788" s="4">
        <v>3782</v>
      </c>
      <c r="M3788" s="21">
        <v>-225658.5714177448</v>
      </c>
    </row>
    <row r="3789" spans="12:13" x14ac:dyDescent="0.2">
      <c r="L3789" s="4">
        <v>3783</v>
      </c>
      <c r="M3789" s="21">
        <v>-315670.09796452371</v>
      </c>
    </row>
    <row r="3790" spans="12:13" x14ac:dyDescent="0.2">
      <c r="L3790" s="4">
        <v>3784</v>
      </c>
      <c r="M3790" s="21">
        <v>15321.58389504248</v>
      </c>
    </row>
    <row r="3791" spans="12:13" x14ac:dyDescent="0.2">
      <c r="L3791" s="4">
        <v>3785</v>
      </c>
      <c r="M3791" s="21">
        <v>77229.191671869485</v>
      </c>
    </row>
    <row r="3792" spans="12:13" x14ac:dyDescent="0.2">
      <c r="L3792" s="4">
        <v>3786</v>
      </c>
      <c r="M3792" s="21">
        <v>-83265.556994524508</v>
      </c>
    </row>
    <row r="3793" spans="12:13" x14ac:dyDescent="0.2">
      <c r="L3793" s="4">
        <v>3787</v>
      </c>
      <c r="M3793" s="21">
        <v>112039.66026101864</v>
      </c>
    </row>
    <row r="3794" spans="12:13" x14ac:dyDescent="0.2">
      <c r="L3794" s="4">
        <v>3788</v>
      </c>
      <c r="M3794" s="21">
        <v>-6534.8671345508774</v>
      </c>
    </row>
    <row r="3795" spans="12:13" x14ac:dyDescent="0.2">
      <c r="L3795" s="4">
        <v>3789</v>
      </c>
      <c r="M3795" s="21">
        <v>-57571.040967111694</v>
      </c>
    </row>
    <row r="3796" spans="12:13" x14ac:dyDescent="0.2">
      <c r="L3796" s="4">
        <v>3790</v>
      </c>
      <c r="M3796" s="21">
        <v>106557.74870831537</v>
      </c>
    </row>
    <row r="3797" spans="12:13" x14ac:dyDescent="0.2">
      <c r="L3797" s="4">
        <v>3791</v>
      </c>
      <c r="M3797" s="21">
        <v>-218707.64085189285</v>
      </c>
    </row>
    <row r="3798" spans="12:13" x14ac:dyDescent="0.2">
      <c r="L3798" s="4">
        <v>3792</v>
      </c>
      <c r="M3798" s="21">
        <v>247387.83136312081</v>
      </c>
    </row>
    <row r="3799" spans="12:13" x14ac:dyDescent="0.2">
      <c r="L3799" s="4">
        <v>3793</v>
      </c>
      <c r="M3799" s="21">
        <v>-7636.7764797185664</v>
      </c>
    </row>
    <row r="3800" spans="12:13" x14ac:dyDescent="0.2">
      <c r="L3800" s="4">
        <v>3794</v>
      </c>
      <c r="M3800" s="21">
        <v>-135964.69420746231</v>
      </c>
    </row>
    <row r="3801" spans="12:13" x14ac:dyDescent="0.2">
      <c r="L3801" s="4">
        <v>3795</v>
      </c>
      <c r="M3801" s="21">
        <v>117453.95113019118</v>
      </c>
    </row>
    <row r="3802" spans="12:13" x14ac:dyDescent="0.2">
      <c r="L3802" s="4">
        <v>3796</v>
      </c>
      <c r="M3802" s="21">
        <v>17236.63547637203</v>
      </c>
    </row>
    <row r="3803" spans="12:13" x14ac:dyDescent="0.2">
      <c r="L3803" s="4">
        <v>3797</v>
      </c>
      <c r="M3803" s="21">
        <v>-102739.59681355621</v>
      </c>
    </row>
    <row r="3804" spans="12:13" x14ac:dyDescent="0.2">
      <c r="L3804" s="4">
        <v>3798</v>
      </c>
      <c r="M3804" s="21">
        <v>-67781.511546044974</v>
      </c>
    </row>
    <row r="3805" spans="12:13" x14ac:dyDescent="0.2">
      <c r="L3805" s="4">
        <v>3799</v>
      </c>
      <c r="M3805" s="21">
        <v>-73158.359660141607</v>
      </c>
    </row>
    <row r="3806" spans="12:13" x14ac:dyDescent="0.2">
      <c r="L3806" s="4">
        <v>3800</v>
      </c>
      <c r="M3806" s="21">
        <v>-52702.226781603167</v>
      </c>
    </row>
    <row r="3807" spans="12:13" x14ac:dyDescent="0.2">
      <c r="L3807" s="4">
        <v>3801</v>
      </c>
      <c r="M3807" s="21">
        <v>-104237.4496605552</v>
      </c>
    </row>
    <row r="3808" spans="12:13" x14ac:dyDescent="0.2">
      <c r="L3808" s="4">
        <v>3802</v>
      </c>
      <c r="M3808" s="21">
        <v>-17510.280881613566</v>
      </c>
    </row>
    <row r="3809" spans="12:13" x14ac:dyDescent="0.2">
      <c r="L3809" s="4">
        <v>3803</v>
      </c>
      <c r="M3809" s="21">
        <v>-148293.28057839134</v>
      </c>
    </row>
    <row r="3810" spans="12:13" x14ac:dyDescent="0.2">
      <c r="L3810" s="4">
        <v>3804</v>
      </c>
      <c r="M3810" s="21">
        <v>-148754.08500028966</v>
      </c>
    </row>
    <row r="3811" spans="12:13" x14ac:dyDescent="0.2">
      <c r="L3811" s="4">
        <v>3805</v>
      </c>
      <c r="M3811" s="21">
        <v>170862.17584694584</v>
      </c>
    </row>
    <row r="3812" spans="12:13" x14ac:dyDescent="0.2">
      <c r="L3812" s="4">
        <v>3806</v>
      </c>
      <c r="M3812" s="21">
        <v>29325.001285988605</v>
      </c>
    </row>
    <row r="3813" spans="12:13" x14ac:dyDescent="0.2">
      <c r="L3813" s="4">
        <v>3807</v>
      </c>
      <c r="M3813" s="21">
        <v>-3531.9449612456228</v>
      </c>
    </row>
    <row r="3814" spans="12:13" x14ac:dyDescent="0.2">
      <c r="L3814" s="4">
        <v>3808</v>
      </c>
      <c r="M3814" s="21">
        <v>-118568.83954279115</v>
      </c>
    </row>
    <row r="3815" spans="12:13" x14ac:dyDescent="0.2">
      <c r="L3815" s="4">
        <v>3809</v>
      </c>
      <c r="M3815" s="21">
        <v>-241909.98913902632</v>
      </c>
    </row>
    <row r="3816" spans="12:13" x14ac:dyDescent="0.2">
      <c r="L3816" s="4">
        <v>3810</v>
      </c>
      <c r="M3816" s="21">
        <v>-93110.080000639267</v>
      </c>
    </row>
    <row r="3817" spans="12:13" x14ac:dyDescent="0.2">
      <c r="L3817" s="4">
        <v>3811</v>
      </c>
      <c r="M3817" s="21">
        <v>54890.988951437699</v>
      </c>
    </row>
    <row r="3818" spans="12:13" x14ac:dyDescent="0.2">
      <c r="L3818" s="4">
        <v>3812</v>
      </c>
      <c r="M3818" s="21">
        <v>-49138.105614437271</v>
      </c>
    </row>
    <row r="3819" spans="12:13" x14ac:dyDescent="0.2">
      <c r="L3819" s="4">
        <v>3813</v>
      </c>
      <c r="M3819" s="21">
        <v>-130949.8153935499</v>
      </c>
    </row>
    <row r="3820" spans="12:13" x14ac:dyDescent="0.2">
      <c r="L3820" s="4">
        <v>3814</v>
      </c>
      <c r="M3820" s="21">
        <v>52743.599748583656</v>
      </c>
    </row>
    <row r="3821" spans="12:13" x14ac:dyDescent="0.2">
      <c r="L3821" s="4">
        <v>3815</v>
      </c>
      <c r="M3821" s="21">
        <v>91911.683518815553</v>
      </c>
    </row>
    <row r="3822" spans="12:13" x14ac:dyDescent="0.2">
      <c r="L3822" s="4">
        <v>3816</v>
      </c>
      <c r="M3822" s="21">
        <v>36811.521195027191</v>
      </c>
    </row>
    <row r="3823" spans="12:13" x14ac:dyDescent="0.2">
      <c r="L3823" s="4">
        <v>3817</v>
      </c>
      <c r="M3823" s="21">
        <v>17521.814631108748</v>
      </c>
    </row>
    <row r="3824" spans="12:13" x14ac:dyDescent="0.2">
      <c r="L3824" s="4">
        <v>3818</v>
      </c>
      <c r="M3824" s="21">
        <v>-88972.8206351892</v>
      </c>
    </row>
    <row r="3825" spans="12:13" x14ac:dyDescent="0.2">
      <c r="L3825" s="4">
        <v>3819</v>
      </c>
      <c r="M3825" s="21">
        <v>-50034.04685238919</v>
      </c>
    </row>
    <row r="3826" spans="12:13" x14ac:dyDescent="0.2">
      <c r="L3826" s="4">
        <v>3820</v>
      </c>
      <c r="M3826" s="21">
        <v>-175962.57236651162</v>
      </c>
    </row>
    <row r="3827" spans="12:13" x14ac:dyDescent="0.2">
      <c r="L3827" s="4">
        <v>3821</v>
      </c>
      <c r="M3827" s="21">
        <v>39107.115274386364</v>
      </c>
    </row>
    <row r="3828" spans="12:13" x14ac:dyDescent="0.2">
      <c r="L3828" s="4">
        <v>3822</v>
      </c>
      <c r="M3828" s="21">
        <v>-243863.49687124003</v>
      </c>
    </row>
    <row r="3829" spans="12:13" x14ac:dyDescent="0.2">
      <c r="L3829" s="4">
        <v>3823</v>
      </c>
      <c r="M3829" s="21">
        <v>83582.902842080628</v>
      </c>
    </row>
    <row r="3830" spans="12:13" x14ac:dyDescent="0.2">
      <c r="L3830" s="4">
        <v>3824</v>
      </c>
      <c r="M3830" s="21">
        <v>411445.12528696301</v>
      </c>
    </row>
    <row r="3831" spans="12:13" x14ac:dyDescent="0.2">
      <c r="L3831" s="4">
        <v>3825</v>
      </c>
      <c r="M3831" s="21">
        <v>-8040.2849122547486</v>
      </c>
    </row>
    <row r="3832" spans="12:13" x14ac:dyDescent="0.2">
      <c r="L3832" s="4">
        <v>3826</v>
      </c>
      <c r="M3832" s="21">
        <v>-306973.66286593268</v>
      </c>
    </row>
    <row r="3833" spans="12:13" x14ac:dyDescent="0.2">
      <c r="L3833" s="4">
        <v>3827</v>
      </c>
      <c r="M3833" s="21">
        <v>-155611.28929724568</v>
      </c>
    </row>
    <row r="3834" spans="12:13" x14ac:dyDescent="0.2">
      <c r="L3834" s="4">
        <v>3828</v>
      </c>
      <c r="M3834" s="21">
        <v>60163.608922552608</v>
      </c>
    </row>
    <row r="3835" spans="12:13" x14ac:dyDescent="0.2">
      <c r="L3835" s="4">
        <v>3829</v>
      </c>
      <c r="M3835" s="21">
        <v>-21895.367553466363</v>
      </c>
    </row>
    <row r="3836" spans="12:13" x14ac:dyDescent="0.2">
      <c r="L3836" s="4">
        <v>3830</v>
      </c>
      <c r="M3836" s="21">
        <v>-394586.23766294779</v>
      </c>
    </row>
    <row r="3837" spans="12:13" x14ac:dyDescent="0.2">
      <c r="L3837" s="4">
        <v>3831</v>
      </c>
      <c r="M3837" s="21">
        <v>-138879.64061008085</v>
      </c>
    </row>
    <row r="3838" spans="12:13" x14ac:dyDescent="0.2">
      <c r="L3838" s="4">
        <v>3832</v>
      </c>
      <c r="M3838" s="21">
        <v>145897.09027641441</v>
      </c>
    </row>
    <row r="3839" spans="12:13" x14ac:dyDescent="0.2">
      <c r="L3839" s="4">
        <v>3833</v>
      </c>
      <c r="M3839" s="21">
        <v>266851.09811977844</v>
      </c>
    </row>
    <row r="3840" spans="12:13" x14ac:dyDescent="0.2">
      <c r="L3840" s="4">
        <v>3834</v>
      </c>
      <c r="M3840" s="21">
        <v>246013.00984334783</v>
      </c>
    </row>
    <row r="3841" spans="12:13" x14ac:dyDescent="0.2">
      <c r="L3841" s="4">
        <v>3835</v>
      </c>
      <c r="M3841" s="21">
        <v>-240993.92331557727</v>
      </c>
    </row>
    <row r="3842" spans="12:13" x14ac:dyDescent="0.2">
      <c r="L3842" s="4">
        <v>3836</v>
      </c>
      <c r="M3842" s="21">
        <v>-168878.81529784435</v>
      </c>
    </row>
    <row r="3843" spans="12:13" x14ac:dyDescent="0.2">
      <c r="L3843" s="4">
        <v>3837</v>
      </c>
      <c r="M3843" s="21">
        <v>-146283.5730427496</v>
      </c>
    </row>
    <row r="3844" spans="12:13" x14ac:dyDescent="0.2">
      <c r="L3844" s="4">
        <v>3838</v>
      </c>
      <c r="M3844" s="21">
        <v>-105028.77033920307</v>
      </c>
    </row>
    <row r="3845" spans="12:13" x14ac:dyDescent="0.2">
      <c r="L3845" s="4">
        <v>3839</v>
      </c>
      <c r="M3845" s="21">
        <v>-56367.185510424926</v>
      </c>
    </row>
    <row r="3846" spans="12:13" x14ac:dyDescent="0.2">
      <c r="L3846" s="4">
        <v>3840</v>
      </c>
      <c r="M3846" s="21">
        <v>-61328.101123087486</v>
      </c>
    </row>
    <row r="3847" spans="12:13" x14ac:dyDescent="0.2">
      <c r="L3847" s="4">
        <v>3841</v>
      </c>
      <c r="M3847" s="21">
        <v>-83212.190107040704</v>
      </c>
    </row>
    <row r="3848" spans="12:13" x14ac:dyDescent="0.2">
      <c r="L3848" s="4">
        <v>3842</v>
      </c>
      <c r="M3848" s="21">
        <v>161340.68880322974</v>
      </c>
    </row>
    <row r="3849" spans="12:13" x14ac:dyDescent="0.2">
      <c r="L3849" s="4">
        <v>3843</v>
      </c>
      <c r="M3849" s="21">
        <v>151690.02907419184</v>
      </c>
    </row>
    <row r="3850" spans="12:13" x14ac:dyDescent="0.2">
      <c r="L3850" s="4">
        <v>3844</v>
      </c>
      <c r="M3850" s="21">
        <v>-25071.016138017701</v>
      </c>
    </row>
    <row r="3851" spans="12:13" x14ac:dyDescent="0.2">
      <c r="L3851" s="4">
        <v>3845</v>
      </c>
      <c r="M3851" s="21">
        <v>-171226.88197169194</v>
      </c>
    </row>
    <row r="3852" spans="12:13" x14ac:dyDescent="0.2">
      <c r="L3852" s="4">
        <v>3846</v>
      </c>
      <c r="M3852" s="21">
        <v>109808.57756408778</v>
      </c>
    </row>
    <row r="3853" spans="12:13" x14ac:dyDescent="0.2">
      <c r="L3853" s="4">
        <v>3847</v>
      </c>
      <c r="M3853" s="21">
        <v>-27780.022718845154</v>
      </c>
    </row>
    <row r="3854" spans="12:13" x14ac:dyDescent="0.2">
      <c r="L3854" s="4">
        <v>3848</v>
      </c>
      <c r="M3854" s="21">
        <v>-184861.2722195363</v>
      </c>
    </row>
    <row r="3855" spans="12:13" x14ac:dyDescent="0.2">
      <c r="L3855" s="4">
        <v>3849</v>
      </c>
      <c r="M3855" s="21">
        <v>69514.325086713245</v>
      </c>
    </row>
    <row r="3856" spans="12:13" x14ac:dyDescent="0.2">
      <c r="L3856" s="4">
        <v>3850</v>
      </c>
      <c r="M3856" s="21">
        <v>-320761.03157321829</v>
      </c>
    </row>
    <row r="3857" spans="12:13" x14ac:dyDescent="0.2">
      <c r="L3857" s="4">
        <v>3851</v>
      </c>
      <c r="M3857" s="21">
        <v>-35295.539742511261</v>
      </c>
    </row>
    <row r="3858" spans="12:13" x14ac:dyDescent="0.2">
      <c r="L3858" s="4">
        <v>3852</v>
      </c>
      <c r="M3858" s="21">
        <v>-140232.7910860976</v>
      </c>
    </row>
    <row r="3859" spans="12:13" x14ac:dyDescent="0.2">
      <c r="L3859" s="4">
        <v>3853</v>
      </c>
      <c r="M3859" s="21">
        <v>43819.892026418471</v>
      </c>
    </row>
    <row r="3860" spans="12:13" x14ac:dyDescent="0.2">
      <c r="L3860" s="4">
        <v>3854</v>
      </c>
      <c r="M3860" s="21">
        <v>-23557.537333521948</v>
      </c>
    </row>
    <row r="3861" spans="12:13" x14ac:dyDescent="0.2">
      <c r="L3861" s="4">
        <v>3855</v>
      </c>
      <c r="M3861" s="21">
        <v>-45097.667965821005</v>
      </c>
    </row>
    <row r="3862" spans="12:13" x14ac:dyDescent="0.2">
      <c r="L3862" s="4">
        <v>3856</v>
      </c>
      <c r="M3862" s="21">
        <v>-2746.4978646093659</v>
      </c>
    </row>
    <row r="3863" spans="12:13" x14ac:dyDescent="0.2">
      <c r="L3863" s="4">
        <v>3857</v>
      </c>
      <c r="M3863" s="21">
        <v>-116159.42702999451</v>
      </c>
    </row>
    <row r="3864" spans="12:13" x14ac:dyDescent="0.2">
      <c r="L3864" s="4">
        <v>3858</v>
      </c>
      <c r="M3864" s="21">
        <v>-195652.86347633714</v>
      </c>
    </row>
    <row r="3865" spans="12:13" x14ac:dyDescent="0.2">
      <c r="L3865" s="4">
        <v>3859</v>
      </c>
      <c r="M3865" s="21">
        <v>97651.104344891763</v>
      </c>
    </row>
    <row r="3866" spans="12:13" x14ac:dyDescent="0.2">
      <c r="L3866" s="4">
        <v>3860</v>
      </c>
      <c r="M3866" s="21">
        <v>-169304.84803707962</v>
      </c>
    </row>
    <row r="3867" spans="12:13" x14ac:dyDescent="0.2">
      <c r="L3867" s="4">
        <v>3861</v>
      </c>
      <c r="M3867" s="21">
        <v>-188664.29438352672</v>
      </c>
    </row>
    <row r="3868" spans="12:13" x14ac:dyDescent="0.2">
      <c r="L3868" s="4">
        <v>3862</v>
      </c>
      <c r="M3868" s="21">
        <v>-307314.40897892613</v>
      </c>
    </row>
    <row r="3869" spans="12:13" x14ac:dyDescent="0.2">
      <c r="L3869" s="4">
        <v>3863</v>
      </c>
      <c r="M3869" s="21">
        <v>79101.955218358315</v>
      </c>
    </row>
    <row r="3870" spans="12:13" x14ac:dyDescent="0.2">
      <c r="L3870" s="4">
        <v>3864</v>
      </c>
      <c r="M3870" s="21">
        <v>-47826.61982660825</v>
      </c>
    </row>
    <row r="3871" spans="12:13" x14ac:dyDescent="0.2">
      <c r="L3871" s="4">
        <v>3865</v>
      </c>
      <c r="M3871" s="21">
        <v>356754.94405251613</v>
      </c>
    </row>
    <row r="3872" spans="12:13" x14ac:dyDescent="0.2">
      <c r="L3872" s="4">
        <v>3866</v>
      </c>
      <c r="M3872" s="21">
        <v>-4784.6928486745019</v>
      </c>
    </row>
    <row r="3873" spans="12:13" x14ac:dyDescent="0.2">
      <c r="L3873" s="4">
        <v>3867</v>
      </c>
      <c r="M3873" s="21">
        <v>108068.01845908919</v>
      </c>
    </row>
    <row r="3874" spans="12:13" x14ac:dyDescent="0.2">
      <c r="L3874" s="4">
        <v>3868</v>
      </c>
      <c r="M3874" s="21">
        <v>46238.755926609359</v>
      </c>
    </row>
    <row r="3875" spans="12:13" x14ac:dyDescent="0.2">
      <c r="L3875" s="4">
        <v>3869</v>
      </c>
      <c r="M3875" s="21">
        <v>26008.188850200037</v>
      </c>
    </row>
    <row r="3876" spans="12:13" x14ac:dyDescent="0.2">
      <c r="L3876" s="4">
        <v>3870</v>
      </c>
      <c r="M3876" s="21">
        <v>-262957.47913314123</v>
      </c>
    </row>
    <row r="3877" spans="12:13" x14ac:dyDescent="0.2">
      <c r="L3877" s="4">
        <v>3871</v>
      </c>
      <c r="M3877" s="21">
        <v>187468.81190148616</v>
      </c>
    </row>
    <row r="3878" spans="12:13" x14ac:dyDescent="0.2">
      <c r="L3878" s="4">
        <v>3872</v>
      </c>
      <c r="M3878" s="21">
        <v>-46463.325036408321</v>
      </c>
    </row>
    <row r="3879" spans="12:13" x14ac:dyDescent="0.2">
      <c r="L3879" s="4">
        <v>3873</v>
      </c>
      <c r="M3879" s="21">
        <v>206958.10920262418</v>
      </c>
    </row>
    <row r="3880" spans="12:13" x14ac:dyDescent="0.2">
      <c r="L3880" s="4">
        <v>3874</v>
      </c>
      <c r="M3880" s="21">
        <v>-82451.338461542822</v>
      </c>
    </row>
    <row r="3881" spans="12:13" x14ac:dyDescent="0.2">
      <c r="L3881" s="4">
        <v>3875</v>
      </c>
      <c r="M3881" s="21">
        <v>-203956.61878645181</v>
      </c>
    </row>
    <row r="3882" spans="12:13" x14ac:dyDescent="0.2">
      <c r="L3882" s="4">
        <v>3876</v>
      </c>
      <c r="M3882" s="21">
        <v>-60300.129781609372</v>
      </c>
    </row>
    <row r="3883" spans="12:13" x14ac:dyDescent="0.2">
      <c r="L3883" s="4">
        <v>3877</v>
      </c>
      <c r="M3883" s="21">
        <v>-181658.47255613166</v>
      </c>
    </row>
    <row r="3884" spans="12:13" x14ac:dyDescent="0.2">
      <c r="L3884" s="4">
        <v>3878</v>
      </c>
      <c r="M3884" s="21">
        <v>43289.014213820745</v>
      </c>
    </row>
    <row r="3885" spans="12:13" x14ac:dyDescent="0.2">
      <c r="L3885" s="4">
        <v>3879</v>
      </c>
      <c r="M3885" s="21">
        <v>-125927.7566834717</v>
      </c>
    </row>
    <row r="3886" spans="12:13" x14ac:dyDescent="0.2">
      <c r="L3886" s="4">
        <v>3880</v>
      </c>
      <c r="M3886" s="21">
        <v>27023.284392195055</v>
      </c>
    </row>
    <row r="3887" spans="12:13" x14ac:dyDescent="0.2">
      <c r="L3887" s="4">
        <v>3881</v>
      </c>
      <c r="M3887" s="21">
        <v>85616.466976539436</v>
      </c>
    </row>
    <row r="3888" spans="12:13" x14ac:dyDescent="0.2">
      <c r="L3888" s="4">
        <v>3882</v>
      </c>
      <c r="M3888" s="21">
        <v>-12878.206626964791</v>
      </c>
    </row>
    <row r="3889" spans="12:13" x14ac:dyDescent="0.2">
      <c r="L3889" s="4">
        <v>3883</v>
      </c>
      <c r="M3889" s="21">
        <v>296893.24041402375</v>
      </c>
    </row>
    <row r="3890" spans="12:13" x14ac:dyDescent="0.2">
      <c r="L3890" s="4">
        <v>3884</v>
      </c>
      <c r="M3890" s="21">
        <v>144360.00620778205</v>
      </c>
    </row>
    <row r="3891" spans="12:13" x14ac:dyDescent="0.2">
      <c r="L3891" s="4">
        <v>3885</v>
      </c>
      <c r="M3891" s="21">
        <v>20896.6409640903</v>
      </c>
    </row>
    <row r="3892" spans="12:13" x14ac:dyDescent="0.2">
      <c r="L3892" s="4">
        <v>3886</v>
      </c>
      <c r="M3892" s="21">
        <v>35505.371888476104</v>
      </c>
    </row>
    <row r="3893" spans="12:13" x14ac:dyDescent="0.2">
      <c r="L3893" s="4">
        <v>3887</v>
      </c>
      <c r="M3893" s="21">
        <v>78585.775035259489</v>
      </c>
    </row>
    <row r="3894" spans="12:13" x14ac:dyDescent="0.2">
      <c r="L3894" s="4">
        <v>3888</v>
      </c>
      <c r="M3894" s="21">
        <v>76173.39942160013</v>
      </c>
    </row>
    <row r="3895" spans="12:13" x14ac:dyDescent="0.2">
      <c r="L3895" s="4">
        <v>3889</v>
      </c>
      <c r="M3895" s="21">
        <v>-173698.78997993137</v>
      </c>
    </row>
    <row r="3896" spans="12:13" x14ac:dyDescent="0.2">
      <c r="L3896" s="4">
        <v>3890</v>
      </c>
      <c r="M3896" s="21">
        <v>-32800.247566824881</v>
      </c>
    </row>
    <row r="3897" spans="12:13" x14ac:dyDescent="0.2">
      <c r="L3897" s="4">
        <v>3891</v>
      </c>
      <c r="M3897" s="21">
        <v>-154904.31215336936</v>
      </c>
    </row>
    <row r="3898" spans="12:13" x14ac:dyDescent="0.2">
      <c r="L3898" s="4">
        <v>3892</v>
      </c>
      <c r="M3898" s="21">
        <v>-70069.063348447322</v>
      </c>
    </row>
    <row r="3899" spans="12:13" x14ac:dyDescent="0.2">
      <c r="L3899" s="4">
        <v>3893</v>
      </c>
      <c r="M3899" s="21">
        <v>268547.68648860831</v>
      </c>
    </row>
    <row r="3900" spans="12:13" x14ac:dyDescent="0.2">
      <c r="L3900" s="4">
        <v>3894</v>
      </c>
      <c r="M3900" s="21">
        <v>-93944.463002495686</v>
      </c>
    </row>
    <row r="3901" spans="12:13" x14ac:dyDescent="0.2">
      <c r="L3901" s="4">
        <v>3895</v>
      </c>
      <c r="M3901" s="21">
        <v>28265.517322894913</v>
      </c>
    </row>
    <row r="3902" spans="12:13" x14ac:dyDescent="0.2">
      <c r="L3902" s="4">
        <v>3896</v>
      </c>
      <c r="M3902" s="21">
        <v>-21886.522407431286</v>
      </c>
    </row>
    <row r="3903" spans="12:13" x14ac:dyDescent="0.2">
      <c r="L3903" s="4">
        <v>3897</v>
      </c>
      <c r="M3903" s="21">
        <v>-283205.56215333956</v>
      </c>
    </row>
    <row r="3904" spans="12:13" x14ac:dyDescent="0.2">
      <c r="L3904" s="4">
        <v>3898</v>
      </c>
      <c r="M3904" s="21">
        <v>75911.316436392779</v>
      </c>
    </row>
    <row r="3905" spans="12:13" x14ac:dyDescent="0.2">
      <c r="L3905" s="4">
        <v>3899</v>
      </c>
      <c r="M3905" s="21">
        <v>-178723.64319331996</v>
      </c>
    </row>
    <row r="3906" spans="12:13" x14ac:dyDescent="0.2">
      <c r="L3906" s="4">
        <v>3900</v>
      </c>
      <c r="M3906" s="21">
        <v>-20982.006298943044</v>
      </c>
    </row>
    <row r="3907" spans="12:13" x14ac:dyDescent="0.2">
      <c r="L3907" s="4">
        <v>3901</v>
      </c>
      <c r="M3907" s="21">
        <v>100043.64636349559</v>
      </c>
    </row>
    <row r="3908" spans="12:13" x14ac:dyDescent="0.2">
      <c r="L3908" s="4">
        <v>3902</v>
      </c>
      <c r="M3908" s="21">
        <v>86884.457401719614</v>
      </c>
    </row>
    <row r="3909" spans="12:13" x14ac:dyDescent="0.2">
      <c r="L3909" s="4">
        <v>3903</v>
      </c>
      <c r="M3909" s="21">
        <v>-219761.16263315594</v>
      </c>
    </row>
    <row r="3910" spans="12:13" x14ac:dyDescent="0.2">
      <c r="L3910" s="4">
        <v>3904</v>
      </c>
      <c r="M3910" s="21">
        <v>74208.520531272079</v>
      </c>
    </row>
    <row r="3911" spans="12:13" x14ac:dyDescent="0.2">
      <c r="L3911" s="4">
        <v>3905</v>
      </c>
      <c r="M3911" s="21">
        <v>-24142.768731602016</v>
      </c>
    </row>
    <row r="3912" spans="12:13" x14ac:dyDescent="0.2">
      <c r="L3912" s="4">
        <v>3906</v>
      </c>
      <c r="M3912" s="21">
        <v>44046.090531222377</v>
      </c>
    </row>
    <row r="3913" spans="12:13" x14ac:dyDescent="0.2">
      <c r="L3913" s="4">
        <v>3907</v>
      </c>
      <c r="M3913" s="21">
        <v>198543.22801337429</v>
      </c>
    </row>
    <row r="3914" spans="12:13" x14ac:dyDescent="0.2">
      <c r="L3914" s="4">
        <v>3908</v>
      </c>
      <c r="M3914" s="21">
        <v>-38978.360391028909</v>
      </c>
    </row>
    <row r="3915" spans="12:13" x14ac:dyDescent="0.2">
      <c r="L3915" s="4">
        <v>3909</v>
      </c>
      <c r="M3915" s="21">
        <v>-100908.15528910253</v>
      </c>
    </row>
    <row r="3916" spans="12:13" x14ac:dyDescent="0.2">
      <c r="L3916" s="4">
        <v>3910</v>
      </c>
      <c r="M3916" s="21">
        <v>129998.19052728324</v>
      </c>
    </row>
    <row r="3917" spans="12:13" x14ac:dyDescent="0.2">
      <c r="L3917" s="4">
        <v>3911</v>
      </c>
      <c r="M3917" s="21">
        <v>183371.77013875273</v>
      </c>
    </row>
    <row r="3918" spans="12:13" x14ac:dyDescent="0.2">
      <c r="L3918" s="4">
        <v>3912</v>
      </c>
      <c r="M3918" s="21">
        <v>-90492.862155928669</v>
      </c>
    </row>
    <row r="3919" spans="12:13" x14ac:dyDescent="0.2">
      <c r="L3919" s="4">
        <v>3913</v>
      </c>
      <c r="M3919" s="21">
        <v>-207233.99876757071</v>
      </c>
    </row>
    <row r="3920" spans="12:13" x14ac:dyDescent="0.2">
      <c r="L3920" s="4">
        <v>3914</v>
      </c>
      <c r="M3920" s="21">
        <v>-13826.395723150825</v>
      </c>
    </row>
    <row r="3921" spans="12:13" x14ac:dyDescent="0.2">
      <c r="L3921" s="4">
        <v>3915</v>
      </c>
      <c r="M3921" s="21">
        <v>-154180.41105213243</v>
      </c>
    </row>
    <row r="3922" spans="12:13" x14ac:dyDescent="0.2">
      <c r="L3922" s="4">
        <v>3916</v>
      </c>
      <c r="M3922" s="21">
        <v>92270.146596829494</v>
      </c>
    </row>
    <row r="3923" spans="12:13" x14ac:dyDescent="0.2">
      <c r="L3923" s="4">
        <v>3917</v>
      </c>
      <c r="M3923" s="21">
        <v>165262.61472989889</v>
      </c>
    </row>
    <row r="3924" spans="12:13" x14ac:dyDescent="0.2">
      <c r="L3924" s="4">
        <v>3918</v>
      </c>
      <c r="M3924" s="21">
        <v>106802.3591510565</v>
      </c>
    </row>
    <row r="3925" spans="12:13" x14ac:dyDescent="0.2">
      <c r="L3925" s="4">
        <v>3919</v>
      </c>
      <c r="M3925" s="21">
        <v>-24438.957252437991</v>
      </c>
    </row>
    <row r="3926" spans="12:13" x14ac:dyDescent="0.2">
      <c r="L3926" s="4">
        <v>3920</v>
      </c>
      <c r="M3926" s="21">
        <v>-142249.30583096284</v>
      </c>
    </row>
    <row r="3927" spans="12:13" x14ac:dyDescent="0.2">
      <c r="L3927" s="4">
        <v>3921</v>
      </c>
      <c r="M3927" s="21">
        <v>76843.804076326633</v>
      </c>
    </row>
    <row r="3928" spans="12:13" x14ac:dyDescent="0.2">
      <c r="L3928" s="4">
        <v>3922</v>
      </c>
      <c r="M3928" s="21">
        <v>13962.20205218278</v>
      </c>
    </row>
    <row r="3929" spans="12:13" x14ac:dyDescent="0.2">
      <c r="L3929" s="4">
        <v>3923</v>
      </c>
      <c r="M3929" s="21">
        <v>-207634.51799494072</v>
      </c>
    </row>
    <row r="3930" spans="12:13" x14ac:dyDescent="0.2">
      <c r="L3930" s="4">
        <v>3924</v>
      </c>
      <c r="M3930" s="21">
        <v>138055.10174986726</v>
      </c>
    </row>
    <row r="3931" spans="12:13" x14ac:dyDescent="0.2">
      <c r="L3931" s="4">
        <v>3925</v>
      </c>
      <c r="M3931" s="21">
        <v>-196472.16856144337</v>
      </c>
    </row>
    <row r="3932" spans="12:13" x14ac:dyDescent="0.2">
      <c r="L3932" s="4">
        <v>3926</v>
      </c>
      <c r="M3932" s="21">
        <v>-25378.024561638929</v>
      </c>
    </row>
    <row r="3933" spans="12:13" x14ac:dyDescent="0.2">
      <c r="L3933" s="4">
        <v>3927</v>
      </c>
      <c r="M3933" s="21">
        <v>110324.14498272777</v>
      </c>
    </row>
    <row r="3934" spans="12:13" x14ac:dyDescent="0.2">
      <c r="L3934" s="4">
        <v>3928</v>
      </c>
      <c r="M3934" s="21">
        <v>-157521.56580155334</v>
      </c>
    </row>
    <row r="3935" spans="12:13" x14ac:dyDescent="0.2">
      <c r="L3935" s="4">
        <v>3929</v>
      </c>
      <c r="M3935" s="21">
        <v>112277.16603422095</v>
      </c>
    </row>
    <row r="3936" spans="12:13" x14ac:dyDescent="0.2">
      <c r="L3936" s="4">
        <v>3930</v>
      </c>
      <c r="M3936" s="21">
        <v>185551.2717410331</v>
      </c>
    </row>
    <row r="3937" spans="12:13" x14ac:dyDescent="0.2">
      <c r="L3937" s="4">
        <v>3931</v>
      </c>
      <c r="M3937" s="21">
        <v>-58162.977169544887</v>
      </c>
    </row>
    <row r="3938" spans="12:13" x14ac:dyDescent="0.2">
      <c r="L3938" s="4">
        <v>3932</v>
      </c>
      <c r="M3938" s="21">
        <v>-11639.71799335297</v>
      </c>
    </row>
    <row r="3939" spans="12:13" x14ac:dyDescent="0.2">
      <c r="L3939" s="4">
        <v>3933</v>
      </c>
      <c r="M3939" s="21">
        <v>118589.67107598949</v>
      </c>
    </row>
    <row r="3940" spans="12:13" x14ac:dyDescent="0.2">
      <c r="L3940" s="4">
        <v>3934</v>
      </c>
      <c r="M3940" s="21">
        <v>-189277.30407868797</v>
      </c>
    </row>
    <row r="3941" spans="12:13" x14ac:dyDescent="0.2">
      <c r="L3941" s="4">
        <v>3935</v>
      </c>
      <c r="M3941" s="21">
        <v>139145.75246553193</v>
      </c>
    </row>
    <row r="3942" spans="12:13" x14ac:dyDescent="0.2">
      <c r="L3942" s="4">
        <v>3936</v>
      </c>
      <c r="M3942" s="21">
        <v>168174.11757229763</v>
      </c>
    </row>
    <row r="3943" spans="12:13" x14ac:dyDescent="0.2">
      <c r="L3943" s="4">
        <v>3937</v>
      </c>
      <c r="M3943" s="21">
        <v>19556.835026584798</v>
      </c>
    </row>
    <row r="3944" spans="12:13" x14ac:dyDescent="0.2">
      <c r="L3944" s="4">
        <v>3938</v>
      </c>
      <c r="M3944" s="21">
        <v>-384042.06258192251</v>
      </c>
    </row>
    <row r="3945" spans="12:13" x14ac:dyDescent="0.2">
      <c r="L3945" s="4">
        <v>3939</v>
      </c>
      <c r="M3945" s="21">
        <v>-115085.68098008477</v>
      </c>
    </row>
    <row r="3946" spans="12:13" x14ac:dyDescent="0.2">
      <c r="L3946" s="4">
        <v>3940</v>
      </c>
      <c r="M3946" s="21">
        <v>-188407.38324968156</v>
      </c>
    </row>
    <row r="3947" spans="12:13" x14ac:dyDescent="0.2">
      <c r="L3947" s="4">
        <v>3941</v>
      </c>
      <c r="M3947" s="21">
        <v>-64449.34259817269</v>
      </c>
    </row>
    <row r="3948" spans="12:13" x14ac:dyDescent="0.2">
      <c r="L3948" s="4">
        <v>3942</v>
      </c>
      <c r="M3948" s="21">
        <v>18359.464397084259</v>
      </c>
    </row>
    <row r="3949" spans="12:13" x14ac:dyDescent="0.2">
      <c r="L3949" s="4">
        <v>3943</v>
      </c>
      <c r="M3949" s="21">
        <v>-60728.02507995104</v>
      </c>
    </row>
    <row r="3950" spans="12:13" x14ac:dyDescent="0.2">
      <c r="L3950" s="4">
        <v>3944</v>
      </c>
      <c r="M3950" s="21">
        <v>85940.92833420253</v>
      </c>
    </row>
    <row r="3951" spans="12:13" x14ac:dyDescent="0.2">
      <c r="L3951" s="4">
        <v>3945</v>
      </c>
      <c r="M3951" s="21">
        <v>105540.79790593233</v>
      </c>
    </row>
    <row r="3952" spans="12:13" x14ac:dyDescent="0.2">
      <c r="L3952" s="4">
        <v>3946</v>
      </c>
      <c r="M3952" s="21">
        <v>125228.44285637725</v>
      </c>
    </row>
    <row r="3953" spans="12:13" x14ac:dyDescent="0.2">
      <c r="L3953" s="4">
        <v>3947</v>
      </c>
      <c r="M3953" s="21">
        <v>-99700.694394703154</v>
      </c>
    </row>
    <row r="3954" spans="12:13" x14ac:dyDescent="0.2">
      <c r="L3954" s="4">
        <v>3948</v>
      </c>
      <c r="M3954" s="21">
        <v>153737.84298903149</v>
      </c>
    </row>
    <row r="3955" spans="12:13" x14ac:dyDescent="0.2">
      <c r="L3955" s="4">
        <v>3949</v>
      </c>
      <c r="M3955" s="21">
        <v>58141.287048035243</v>
      </c>
    </row>
    <row r="3956" spans="12:13" x14ac:dyDescent="0.2">
      <c r="L3956" s="4">
        <v>3950</v>
      </c>
      <c r="M3956" s="21">
        <v>-279912.16874768236</v>
      </c>
    </row>
    <row r="3957" spans="12:13" x14ac:dyDescent="0.2">
      <c r="L3957" s="4">
        <v>3951</v>
      </c>
      <c r="M3957" s="21">
        <v>-132115.97626113752</v>
      </c>
    </row>
    <row r="3958" spans="12:13" x14ac:dyDescent="0.2">
      <c r="L3958" s="4">
        <v>3952</v>
      </c>
      <c r="M3958" s="21">
        <v>108526.10837865708</v>
      </c>
    </row>
    <row r="3959" spans="12:13" x14ac:dyDescent="0.2">
      <c r="L3959" s="4">
        <v>3953</v>
      </c>
      <c r="M3959" s="21">
        <v>-401060.42976999556</v>
      </c>
    </row>
    <row r="3960" spans="12:13" x14ac:dyDescent="0.2">
      <c r="L3960" s="4">
        <v>3954</v>
      </c>
      <c r="M3960" s="21">
        <v>-191527.17543266559</v>
      </c>
    </row>
    <row r="3961" spans="12:13" x14ac:dyDescent="0.2">
      <c r="L3961" s="4">
        <v>3955</v>
      </c>
      <c r="M3961" s="21">
        <v>83526.767184001044</v>
      </c>
    </row>
    <row r="3962" spans="12:13" x14ac:dyDescent="0.2">
      <c r="L3962" s="4">
        <v>3956</v>
      </c>
      <c r="M3962" s="21">
        <v>-28709.71978930234</v>
      </c>
    </row>
    <row r="3963" spans="12:13" x14ac:dyDescent="0.2">
      <c r="L3963" s="4">
        <v>3957</v>
      </c>
      <c r="M3963" s="21">
        <v>31969.448630627681</v>
      </c>
    </row>
    <row r="3964" spans="12:13" x14ac:dyDescent="0.2">
      <c r="L3964" s="4">
        <v>3958</v>
      </c>
      <c r="M3964" s="21">
        <v>-154141.75905028341</v>
      </c>
    </row>
    <row r="3965" spans="12:13" x14ac:dyDescent="0.2">
      <c r="L3965" s="4">
        <v>3959</v>
      </c>
      <c r="M3965" s="21">
        <v>-68374.576973437535</v>
      </c>
    </row>
    <row r="3966" spans="12:13" x14ac:dyDescent="0.2">
      <c r="L3966" s="4">
        <v>3960</v>
      </c>
      <c r="M3966" s="21">
        <v>-51749.705820850431</v>
      </c>
    </row>
    <row r="3967" spans="12:13" x14ac:dyDescent="0.2">
      <c r="L3967" s="4">
        <v>3961</v>
      </c>
      <c r="M3967" s="21">
        <v>-3905.0349721713428</v>
      </c>
    </row>
    <row r="3968" spans="12:13" x14ac:dyDescent="0.2">
      <c r="L3968" s="4">
        <v>3962</v>
      </c>
      <c r="M3968" s="21">
        <v>178659.62351798586</v>
      </c>
    </row>
    <row r="3969" spans="12:13" x14ac:dyDescent="0.2">
      <c r="L3969" s="4">
        <v>3963</v>
      </c>
      <c r="M3969" s="21">
        <v>118645.47794802295</v>
      </c>
    </row>
    <row r="3970" spans="12:13" x14ac:dyDescent="0.2">
      <c r="L3970" s="4">
        <v>3964</v>
      </c>
      <c r="M3970" s="21">
        <v>-61159.554286685103</v>
      </c>
    </row>
    <row r="3971" spans="12:13" x14ac:dyDescent="0.2">
      <c r="L3971" s="4">
        <v>3965</v>
      </c>
      <c r="M3971" s="21">
        <v>415949.84346362029</v>
      </c>
    </row>
    <row r="3972" spans="12:13" x14ac:dyDescent="0.2">
      <c r="L3972" s="4">
        <v>3966</v>
      </c>
      <c r="M3972" s="21">
        <v>-27038.719617593801</v>
      </c>
    </row>
    <row r="3973" spans="12:13" x14ac:dyDescent="0.2">
      <c r="L3973" s="4">
        <v>3967</v>
      </c>
      <c r="M3973" s="21">
        <v>-124589.76557350252</v>
      </c>
    </row>
    <row r="3974" spans="12:13" x14ac:dyDescent="0.2">
      <c r="L3974" s="4">
        <v>3968</v>
      </c>
      <c r="M3974" s="21">
        <v>103172.10453102717</v>
      </c>
    </row>
    <row r="3975" spans="12:13" x14ac:dyDescent="0.2">
      <c r="L3975" s="4">
        <v>3969</v>
      </c>
      <c r="M3975" s="21">
        <v>-30407.857545904364</v>
      </c>
    </row>
    <row r="3976" spans="12:13" x14ac:dyDescent="0.2">
      <c r="L3976" s="4">
        <v>3970</v>
      </c>
      <c r="M3976" s="21">
        <v>18281.731615150697</v>
      </c>
    </row>
    <row r="3977" spans="12:13" x14ac:dyDescent="0.2">
      <c r="L3977" s="4">
        <v>3971</v>
      </c>
      <c r="M3977" s="21">
        <v>137040.60928199999</v>
      </c>
    </row>
    <row r="3978" spans="12:13" x14ac:dyDescent="0.2">
      <c r="L3978" s="4">
        <v>3972</v>
      </c>
      <c r="M3978" s="21">
        <v>273518.86152814038</v>
      </c>
    </row>
    <row r="3979" spans="12:13" x14ac:dyDescent="0.2">
      <c r="L3979" s="4">
        <v>3973</v>
      </c>
      <c r="M3979" s="21">
        <v>9764.9832622005488</v>
      </c>
    </row>
    <row r="3980" spans="12:13" x14ac:dyDescent="0.2">
      <c r="L3980" s="4">
        <v>3974</v>
      </c>
      <c r="M3980" s="21">
        <v>-122080.80613796001</v>
      </c>
    </row>
    <row r="3981" spans="12:13" x14ac:dyDescent="0.2">
      <c r="L3981" s="4">
        <v>3975</v>
      </c>
      <c r="M3981" s="21">
        <v>36075.967759555817</v>
      </c>
    </row>
    <row r="3982" spans="12:13" x14ac:dyDescent="0.2">
      <c r="L3982" s="4">
        <v>3976</v>
      </c>
      <c r="M3982" s="21">
        <v>-206456.13032046799</v>
      </c>
    </row>
    <row r="3983" spans="12:13" x14ac:dyDescent="0.2">
      <c r="L3983" s="4">
        <v>3977</v>
      </c>
      <c r="M3983" s="21">
        <v>148448.72902089893</v>
      </c>
    </row>
    <row r="3984" spans="12:13" x14ac:dyDescent="0.2">
      <c r="L3984" s="4">
        <v>3978</v>
      </c>
      <c r="M3984" s="21">
        <v>-178437.542790682</v>
      </c>
    </row>
    <row r="3985" spans="12:13" x14ac:dyDescent="0.2">
      <c r="L3985" s="4">
        <v>3979</v>
      </c>
      <c r="M3985" s="21">
        <v>60969.709280977841</v>
      </c>
    </row>
    <row r="3986" spans="12:13" x14ac:dyDescent="0.2">
      <c r="L3986" s="4">
        <v>3980</v>
      </c>
      <c r="M3986" s="21">
        <v>-106996.62795521837</v>
      </c>
    </row>
    <row r="3987" spans="12:13" x14ac:dyDescent="0.2">
      <c r="L3987" s="4">
        <v>3981</v>
      </c>
      <c r="M3987" s="21">
        <v>33019.489569040015</v>
      </c>
    </row>
    <row r="3988" spans="12:13" x14ac:dyDescent="0.2">
      <c r="L3988" s="4">
        <v>3982</v>
      </c>
      <c r="M3988" s="21">
        <v>-101310.80043694949</v>
      </c>
    </row>
    <row r="3989" spans="12:13" x14ac:dyDescent="0.2">
      <c r="L3989" s="4">
        <v>3983</v>
      </c>
      <c r="M3989" s="21">
        <v>-275752.90912874375</v>
      </c>
    </row>
    <row r="3990" spans="12:13" x14ac:dyDescent="0.2">
      <c r="L3990" s="4">
        <v>3984</v>
      </c>
      <c r="M3990" s="21">
        <v>43253.437324986473</v>
      </c>
    </row>
    <row r="3991" spans="12:13" x14ac:dyDescent="0.2">
      <c r="L3991" s="4">
        <v>3985</v>
      </c>
      <c r="M3991" s="21">
        <v>-14795.345530763007</v>
      </c>
    </row>
    <row r="3992" spans="12:13" x14ac:dyDescent="0.2">
      <c r="L3992" s="4">
        <v>3986</v>
      </c>
      <c r="M3992" s="21">
        <v>-178711.43173909379</v>
      </c>
    </row>
    <row r="3993" spans="12:13" x14ac:dyDescent="0.2">
      <c r="L3993" s="4">
        <v>3987</v>
      </c>
      <c r="M3993" s="21">
        <v>-154181.28278678103</v>
      </c>
    </row>
    <row r="3994" spans="12:13" x14ac:dyDescent="0.2">
      <c r="L3994" s="4">
        <v>3988</v>
      </c>
      <c r="M3994" s="21">
        <v>-163325.22583470732</v>
      </c>
    </row>
    <row r="3995" spans="12:13" x14ac:dyDescent="0.2">
      <c r="L3995" s="4">
        <v>3989</v>
      </c>
      <c r="M3995" s="21">
        <v>1049.4211133702192</v>
      </c>
    </row>
    <row r="3996" spans="12:13" x14ac:dyDescent="0.2">
      <c r="L3996" s="4">
        <v>3990</v>
      </c>
      <c r="M3996" s="21">
        <v>13380.339641721919</v>
      </c>
    </row>
    <row r="3997" spans="12:13" x14ac:dyDescent="0.2">
      <c r="L3997" s="4">
        <v>3991</v>
      </c>
      <c r="M3997" s="21">
        <v>38127.171190884168</v>
      </c>
    </row>
    <row r="3998" spans="12:13" x14ac:dyDescent="0.2">
      <c r="L3998" s="4">
        <v>3992</v>
      </c>
      <c r="M3998" s="21">
        <v>-188732.22827450326</v>
      </c>
    </row>
    <row r="3999" spans="12:13" x14ac:dyDescent="0.2">
      <c r="L3999" s="4">
        <v>3993</v>
      </c>
      <c r="M3999" s="21">
        <v>17918.427685668401</v>
      </c>
    </row>
    <row r="4000" spans="12:13" x14ac:dyDescent="0.2">
      <c r="L4000" s="4">
        <v>3994</v>
      </c>
      <c r="M4000" s="21">
        <v>-67063.666073249551</v>
      </c>
    </row>
    <row r="4001" spans="12:13" x14ac:dyDescent="0.2">
      <c r="L4001" s="4">
        <v>3995</v>
      </c>
      <c r="M4001" s="21">
        <v>83322.905720717827</v>
      </c>
    </row>
    <row r="4002" spans="12:13" x14ac:dyDescent="0.2">
      <c r="L4002" s="4">
        <v>3996</v>
      </c>
      <c r="M4002" s="21">
        <v>188655.14634322887</v>
      </c>
    </row>
    <row r="4003" spans="12:13" x14ac:dyDescent="0.2">
      <c r="L4003" s="4">
        <v>3997</v>
      </c>
      <c r="M4003" s="21">
        <v>19812.69195692669</v>
      </c>
    </row>
    <row r="4004" spans="12:13" x14ac:dyDescent="0.2">
      <c r="L4004" s="4">
        <v>3998</v>
      </c>
      <c r="M4004" s="21">
        <v>-306439.47705923207</v>
      </c>
    </row>
    <row r="4005" spans="12:13" x14ac:dyDescent="0.2">
      <c r="L4005" s="4">
        <v>3999</v>
      </c>
      <c r="M4005" s="21">
        <v>-69127.810000175639</v>
      </c>
    </row>
    <row r="4006" spans="12:13" x14ac:dyDescent="0.2">
      <c r="L4006" s="4">
        <v>4000</v>
      </c>
      <c r="M4006" s="21">
        <v>45164.985803714779</v>
      </c>
    </row>
    <row r="4007" spans="12:13" x14ac:dyDescent="0.2">
      <c r="L4007" s="4">
        <v>4001</v>
      </c>
      <c r="M4007" s="21">
        <v>106322.42835519067</v>
      </c>
    </row>
    <row r="4008" spans="12:13" x14ac:dyDescent="0.2">
      <c r="L4008" s="4">
        <v>4002</v>
      </c>
      <c r="M4008" s="21">
        <v>43173.283793349488</v>
      </c>
    </row>
    <row r="4009" spans="12:13" x14ac:dyDescent="0.2">
      <c r="L4009" s="4">
        <v>4003</v>
      </c>
      <c r="M4009" s="21">
        <v>-54556.481497104032</v>
      </c>
    </row>
    <row r="4010" spans="12:13" x14ac:dyDescent="0.2">
      <c r="L4010" s="4">
        <v>4004</v>
      </c>
      <c r="M4010" s="21">
        <v>-100998.71251134922</v>
      </c>
    </row>
    <row r="4011" spans="12:13" x14ac:dyDescent="0.2">
      <c r="L4011" s="4">
        <v>4005</v>
      </c>
      <c r="M4011" s="21">
        <v>81379.965140297223</v>
      </c>
    </row>
    <row r="4012" spans="12:13" x14ac:dyDescent="0.2">
      <c r="L4012" s="4">
        <v>4006</v>
      </c>
      <c r="M4012" s="21">
        <v>-103555.26366600179</v>
      </c>
    </row>
    <row r="4013" spans="12:13" x14ac:dyDescent="0.2">
      <c r="L4013" s="4">
        <v>4007</v>
      </c>
      <c r="M4013" s="21">
        <v>-18983.767872482509</v>
      </c>
    </row>
    <row r="4014" spans="12:13" x14ac:dyDescent="0.2">
      <c r="L4014" s="4">
        <v>4008</v>
      </c>
      <c r="M4014" s="21">
        <v>-44400.000170446801</v>
      </c>
    </row>
    <row r="4015" spans="12:13" x14ac:dyDescent="0.2">
      <c r="L4015" s="4">
        <v>4009</v>
      </c>
      <c r="M4015" s="21">
        <v>-170348.75142657806</v>
      </c>
    </row>
    <row r="4016" spans="12:13" x14ac:dyDescent="0.2">
      <c r="L4016" s="4">
        <v>4010</v>
      </c>
      <c r="M4016" s="21">
        <v>-152422.71890311688</v>
      </c>
    </row>
    <row r="4017" spans="12:13" x14ac:dyDescent="0.2">
      <c r="L4017" s="4">
        <v>4011</v>
      </c>
      <c r="M4017" s="21">
        <v>-36934.735890654134</v>
      </c>
    </row>
    <row r="4018" spans="12:13" x14ac:dyDescent="0.2">
      <c r="L4018" s="4">
        <v>4012</v>
      </c>
      <c r="M4018" s="21">
        <v>-295515.68378756969</v>
      </c>
    </row>
    <row r="4019" spans="12:13" x14ac:dyDescent="0.2">
      <c r="L4019" s="4">
        <v>4013</v>
      </c>
      <c r="M4019" s="21">
        <v>-105226.97710317696</v>
      </c>
    </row>
    <row r="4020" spans="12:13" x14ac:dyDescent="0.2">
      <c r="L4020" s="4">
        <v>4014</v>
      </c>
      <c r="M4020" s="21">
        <v>-485989.54732763069</v>
      </c>
    </row>
    <row r="4021" spans="12:13" x14ac:dyDescent="0.2">
      <c r="L4021" s="4">
        <v>4015</v>
      </c>
      <c r="M4021" s="21">
        <v>-47201.283914796688</v>
      </c>
    </row>
    <row r="4022" spans="12:13" x14ac:dyDescent="0.2">
      <c r="L4022" s="4">
        <v>4016</v>
      </c>
      <c r="M4022" s="21">
        <v>-103124.66028964116</v>
      </c>
    </row>
    <row r="4023" spans="12:13" x14ac:dyDescent="0.2">
      <c r="L4023" s="4">
        <v>4017</v>
      </c>
      <c r="M4023" s="21">
        <v>200877.99537343107</v>
      </c>
    </row>
    <row r="4024" spans="12:13" x14ac:dyDescent="0.2">
      <c r="L4024" s="4">
        <v>4018</v>
      </c>
      <c r="M4024" s="21">
        <v>124385.35806483432</v>
      </c>
    </row>
    <row r="4025" spans="12:13" x14ac:dyDescent="0.2">
      <c r="L4025" s="4">
        <v>4019</v>
      </c>
      <c r="M4025" s="21">
        <v>-116291.30776631339</v>
      </c>
    </row>
    <row r="4026" spans="12:13" x14ac:dyDescent="0.2">
      <c r="L4026" s="4">
        <v>4020</v>
      </c>
      <c r="M4026" s="21">
        <v>-308932.62676565343</v>
      </c>
    </row>
    <row r="4027" spans="12:13" x14ac:dyDescent="0.2">
      <c r="L4027" s="4">
        <v>4021</v>
      </c>
      <c r="M4027" s="21">
        <v>66919.320081464364</v>
      </c>
    </row>
    <row r="4028" spans="12:13" x14ac:dyDescent="0.2">
      <c r="L4028" s="4">
        <v>4022</v>
      </c>
      <c r="M4028" s="21">
        <v>151247.54497662076</v>
      </c>
    </row>
    <row r="4029" spans="12:13" x14ac:dyDescent="0.2">
      <c r="L4029" s="4">
        <v>4023</v>
      </c>
      <c r="M4029" s="21">
        <v>-155022.14352461271</v>
      </c>
    </row>
    <row r="4030" spans="12:13" x14ac:dyDescent="0.2">
      <c r="L4030" s="4">
        <v>4024</v>
      </c>
      <c r="M4030" s="21">
        <v>82110.918380413932</v>
      </c>
    </row>
    <row r="4031" spans="12:13" x14ac:dyDescent="0.2">
      <c r="L4031" s="4">
        <v>4025</v>
      </c>
      <c r="M4031" s="21">
        <v>-154583.94783600542</v>
      </c>
    </row>
    <row r="4032" spans="12:13" x14ac:dyDescent="0.2">
      <c r="L4032" s="4">
        <v>4026</v>
      </c>
      <c r="M4032" s="21">
        <v>127968.72320255107</v>
      </c>
    </row>
    <row r="4033" spans="12:13" x14ac:dyDescent="0.2">
      <c r="L4033" s="4">
        <v>4027</v>
      </c>
      <c r="M4033" s="21">
        <v>-2334.6209183413885</v>
      </c>
    </row>
    <row r="4034" spans="12:13" x14ac:dyDescent="0.2">
      <c r="L4034" s="4">
        <v>4028</v>
      </c>
      <c r="M4034" s="21">
        <v>240894.46356789547</v>
      </c>
    </row>
    <row r="4035" spans="12:13" x14ac:dyDescent="0.2">
      <c r="L4035" s="4">
        <v>4029</v>
      </c>
      <c r="M4035" s="21">
        <v>-221780.45214120657</v>
      </c>
    </row>
    <row r="4036" spans="12:13" x14ac:dyDescent="0.2">
      <c r="L4036" s="4">
        <v>4030</v>
      </c>
      <c r="M4036" s="21">
        <v>135686.27706511281</v>
      </c>
    </row>
    <row r="4037" spans="12:13" x14ac:dyDescent="0.2">
      <c r="L4037" s="4">
        <v>4031</v>
      </c>
      <c r="M4037" s="21">
        <v>-41216.116469850123</v>
      </c>
    </row>
    <row r="4038" spans="12:13" x14ac:dyDescent="0.2">
      <c r="L4038" s="4">
        <v>4032</v>
      </c>
      <c r="M4038" s="21">
        <v>-15251.201302472575</v>
      </c>
    </row>
    <row r="4039" spans="12:13" x14ac:dyDescent="0.2">
      <c r="L4039" s="4">
        <v>4033</v>
      </c>
      <c r="M4039" s="21">
        <v>52520.848227299604</v>
      </c>
    </row>
    <row r="4040" spans="12:13" x14ac:dyDescent="0.2">
      <c r="L4040" s="4">
        <v>4034</v>
      </c>
      <c r="M4040" s="21">
        <v>-133595.00611412828</v>
      </c>
    </row>
    <row r="4041" spans="12:13" x14ac:dyDescent="0.2">
      <c r="L4041" s="4">
        <v>4035</v>
      </c>
      <c r="M4041" s="21">
        <v>-181704.80559923931</v>
      </c>
    </row>
    <row r="4042" spans="12:13" x14ac:dyDescent="0.2">
      <c r="L4042" s="4">
        <v>4036</v>
      </c>
      <c r="M4042" s="21">
        <v>-11952.317102895831</v>
      </c>
    </row>
    <row r="4043" spans="12:13" x14ac:dyDescent="0.2">
      <c r="L4043" s="4">
        <v>4037</v>
      </c>
      <c r="M4043" s="21">
        <v>-83858.107243826802</v>
      </c>
    </row>
    <row r="4044" spans="12:13" x14ac:dyDescent="0.2">
      <c r="L4044" s="4">
        <v>4038</v>
      </c>
      <c r="M4044" s="21">
        <v>-98355.807261833979</v>
      </c>
    </row>
    <row r="4045" spans="12:13" x14ac:dyDescent="0.2">
      <c r="L4045" s="4">
        <v>4039</v>
      </c>
      <c r="M4045" s="21">
        <v>-226746.06139565533</v>
      </c>
    </row>
    <row r="4046" spans="12:13" x14ac:dyDescent="0.2">
      <c r="L4046" s="4">
        <v>4040</v>
      </c>
      <c r="M4046" s="21">
        <v>-33642.705244601297</v>
      </c>
    </row>
    <row r="4047" spans="12:13" x14ac:dyDescent="0.2">
      <c r="L4047" s="4">
        <v>4041</v>
      </c>
      <c r="M4047" s="21">
        <v>128966.66176902404</v>
      </c>
    </row>
    <row r="4048" spans="12:13" x14ac:dyDescent="0.2">
      <c r="L4048" s="4">
        <v>4042</v>
      </c>
      <c r="M4048" s="21">
        <v>-395310.7636930921</v>
      </c>
    </row>
    <row r="4049" spans="12:13" x14ac:dyDescent="0.2">
      <c r="L4049" s="4">
        <v>4043</v>
      </c>
      <c r="M4049" s="21">
        <v>-60636.914041259821</v>
      </c>
    </row>
    <row r="4050" spans="12:13" x14ac:dyDescent="0.2">
      <c r="L4050" s="4">
        <v>4044</v>
      </c>
      <c r="M4050" s="21">
        <v>175785.89363069116</v>
      </c>
    </row>
    <row r="4051" spans="12:13" x14ac:dyDescent="0.2">
      <c r="L4051" s="4">
        <v>4045</v>
      </c>
      <c r="M4051" s="21">
        <v>203623.71766880114</v>
      </c>
    </row>
    <row r="4052" spans="12:13" x14ac:dyDescent="0.2">
      <c r="L4052" s="4">
        <v>4046</v>
      </c>
      <c r="M4052" s="21">
        <v>-4218.1078036714025</v>
      </c>
    </row>
    <row r="4053" spans="12:13" x14ac:dyDescent="0.2">
      <c r="L4053" s="4">
        <v>4047</v>
      </c>
      <c r="M4053" s="21">
        <v>62006.009086842736</v>
      </c>
    </row>
    <row r="4054" spans="12:13" x14ac:dyDescent="0.2">
      <c r="L4054" s="4">
        <v>4048</v>
      </c>
      <c r="M4054" s="21">
        <v>147597.32086157179</v>
      </c>
    </row>
    <row r="4055" spans="12:13" x14ac:dyDescent="0.2">
      <c r="L4055" s="4">
        <v>4049</v>
      </c>
      <c r="M4055" s="21">
        <v>121596.34397651555</v>
      </c>
    </row>
    <row r="4056" spans="12:13" x14ac:dyDescent="0.2">
      <c r="L4056" s="4">
        <v>4050</v>
      </c>
      <c r="M4056" s="21">
        <v>220764.93321669323</v>
      </c>
    </row>
    <row r="4057" spans="12:13" x14ac:dyDescent="0.2">
      <c r="L4057" s="4">
        <v>4051</v>
      </c>
      <c r="M4057" s="21">
        <v>177198.95960359415</v>
      </c>
    </row>
    <row r="4058" spans="12:13" x14ac:dyDescent="0.2">
      <c r="L4058" s="4">
        <v>4052</v>
      </c>
      <c r="M4058" s="21">
        <v>-332047.94608323224</v>
      </c>
    </row>
    <row r="4059" spans="12:13" x14ac:dyDescent="0.2">
      <c r="L4059" s="4">
        <v>4053</v>
      </c>
      <c r="M4059" s="21">
        <v>82221.399559281679</v>
      </c>
    </row>
    <row r="4060" spans="12:13" x14ac:dyDescent="0.2">
      <c r="L4060" s="4">
        <v>4054</v>
      </c>
      <c r="M4060" s="21">
        <v>160708.35109314322</v>
      </c>
    </row>
    <row r="4061" spans="12:13" x14ac:dyDescent="0.2">
      <c r="L4061" s="4">
        <v>4055</v>
      </c>
      <c r="M4061" s="21">
        <v>40095.099357282161</v>
      </c>
    </row>
    <row r="4062" spans="12:13" x14ac:dyDescent="0.2">
      <c r="L4062" s="4">
        <v>4056</v>
      </c>
      <c r="M4062" s="21">
        <v>-183991.1607578093</v>
      </c>
    </row>
    <row r="4063" spans="12:13" x14ac:dyDescent="0.2">
      <c r="L4063" s="4">
        <v>4057</v>
      </c>
      <c r="M4063" s="21">
        <v>-308244.90667238116</v>
      </c>
    </row>
    <row r="4064" spans="12:13" x14ac:dyDescent="0.2">
      <c r="L4064" s="4">
        <v>4058</v>
      </c>
      <c r="M4064" s="21">
        <v>59434.216244429408</v>
      </c>
    </row>
    <row r="4065" spans="12:13" x14ac:dyDescent="0.2">
      <c r="L4065" s="4">
        <v>4059</v>
      </c>
      <c r="M4065" s="21">
        <v>-44054.117057845433</v>
      </c>
    </row>
    <row r="4066" spans="12:13" x14ac:dyDescent="0.2">
      <c r="L4066" s="4">
        <v>4060</v>
      </c>
      <c r="M4066" s="21">
        <v>92259.616031332553</v>
      </c>
    </row>
    <row r="4067" spans="12:13" x14ac:dyDescent="0.2">
      <c r="L4067" s="4">
        <v>4061</v>
      </c>
      <c r="M4067" s="21">
        <v>20262.637723559979</v>
      </c>
    </row>
    <row r="4068" spans="12:13" x14ac:dyDescent="0.2">
      <c r="L4068" s="4">
        <v>4062</v>
      </c>
      <c r="M4068" s="21">
        <v>187196.89167707023</v>
      </c>
    </row>
    <row r="4069" spans="12:13" x14ac:dyDescent="0.2">
      <c r="L4069" s="4">
        <v>4063</v>
      </c>
      <c r="M4069" s="21">
        <v>-186154.87955783715</v>
      </c>
    </row>
    <row r="4070" spans="12:13" x14ac:dyDescent="0.2">
      <c r="L4070" s="4">
        <v>4064</v>
      </c>
      <c r="M4070" s="21">
        <v>112463.73457515976</v>
      </c>
    </row>
    <row r="4071" spans="12:13" x14ac:dyDescent="0.2">
      <c r="L4071" s="4">
        <v>4065</v>
      </c>
      <c r="M4071" s="21">
        <v>-199064.46963216062</v>
      </c>
    </row>
    <row r="4072" spans="12:13" x14ac:dyDescent="0.2">
      <c r="L4072" s="4">
        <v>4066</v>
      </c>
      <c r="M4072" s="21">
        <v>96412.397194966819</v>
      </c>
    </row>
    <row r="4073" spans="12:13" x14ac:dyDescent="0.2">
      <c r="L4073" s="4">
        <v>4067</v>
      </c>
      <c r="M4073" s="21">
        <v>97524.126628652011</v>
      </c>
    </row>
    <row r="4074" spans="12:13" x14ac:dyDescent="0.2">
      <c r="L4074" s="4">
        <v>4068</v>
      </c>
      <c r="M4074" s="21">
        <v>307954.2021503906</v>
      </c>
    </row>
    <row r="4075" spans="12:13" x14ac:dyDescent="0.2">
      <c r="L4075" s="4">
        <v>4069</v>
      </c>
      <c r="M4075" s="21">
        <v>50725.348005004576</v>
      </c>
    </row>
    <row r="4076" spans="12:13" x14ac:dyDescent="0.2">
      <c r="L4076" s="4">
        <v>4070</v>
      </c>
      <c r="M4076" s="21">
        <v>-98457.098754398772</v>
      </c>
    </row>
    <row r="4077" spans="12:13" x14ac:dyDescent="0.2">
      <c r="L4077" s="4">
        <v>4071</v>
      </c>
      <c r="M4077" s="21">
        <v>-115561.19927055258</v>
      </c>
    </row>
    <row r="4078" spans="12:13" x14ac:dyDescent="0.2">
      <c r="L4078" s="4">
        <v>4072</v>
      </c>
      <c r="M4078" s="21">
        <v>111842.8421576762</v>
      </c>
    </row>
    <row r="4079" spans="12:13" x14ac:dyDescent="0.2">
      <c r="L4079" s="4">
        <v>4073</v>
      </c>
      <c r="M4079" s="21">
        <v>287795.20887736382</v>
      </c>
    </row>
    <row r="4080" spans="12:13" x14ac:dyDescent="0.2">
      <c r="L4080" s="4">
        <v>4074</v>
      </c>
      <c r="M4080" s="21">
        <v>-163815.52036863196</v>
      </c>
    </row>
    <row r="4081" spans="12:13" x14ac:dyDescent="0.2">
      <c r="L4081" s="4">
        <v>4075</v>
      </c>
      <c r="M4081" s="21">
        <v>424617.16723519959</v>
      </c>
    </row>
    <row r="4082" spans="12:13" x14ac:dyDescent="0.2">
      <c r="L4082" s="4">
        <v>4076</v>
      </c>
      <c r="M4082" s="21">
        <v>121076.69464657968</v>
      </c>
    </row>
    <row r="4083" spans="12:13" x14ac:dyDescent="0.2">
      <c r="L4083" s="4">
        <v>4077</v>
      </c>
      <c r="M4083" s="21">
        <v>83161.186624658993</v>
      </c>
    </row>
    <row r="4084" spans="12:13" x14ac:dyDescent="0.2">
      <c r="L4084" s="4">
        <v>4078</v>
      </c>
      <c r="M4084" s="21">
        <v>36975.609126633761</v>
      </c>
    </row>
    <row r="4085" spans="12:13" x14ac:dyDescent="0.2">
      <c r="L4085" s="4">
        <v>4079</v>
      </c>
      <c r="M4085" s="21">
        <v>-113179.422252467</v>
      </c>
    </row>
    <row r="4086" spans="12:13" x14ac:dyDescent="0.2">
      <c r="L4086" s="4">
        <v>4080</v>
      </c>
      <c r="M4086" s="21">
        <v>-79582.625579750631</v>
      </c>
    </row>
    <row r="4087" spans="12:13" x14ac:dyDescent="0.2">
      <c r="L4087" s="4">
        <v>4081</v>
      </c>
      <c r="M4087" s="21">
        <v>-2628.7468047444418</v>
      </c>
    </row>
    <row r="4088" spans="12:13" x14ac:dyDescent="0.2">
      <c r="L4088" s="4">
        <v>4082</v>
      </c>
      <c r="M4088" s="21">
        <v>-309995.60166190827</v>
      </c>
    </row>
    <row r="4089" spans="12:13" x14ac:dyDescent="0.2">
      <c r="L4089" s="4">
        <v>4083</v>
      </c>
      <c r="M4089" s="21">
        <v>-230615.63417431415</v>
      </c>
    </row>
    <row r="4090" spans="12:13" x14ac:dyDescent="0.2">
      <c r="L4090" s="4">
        <v>4084</v>
      </c>
      <c r="M4090" s="21">
        <v>14309.3311686464</v>
      </c>
    </row>
    <row r="4091" spans="12:13" x14ac:dyDescent="0.2">
      <c r="L4091" s="4">
        <v>4085</v>
      </c>
      <c r="M4091" s="21">
        <v>240092.45007964905</v>
      </c>
    </row>
    <row r="4092" spans="12:13" x14ac:dyDescent="0.2">
      <c r="L4092" s="4">
        <v>4086</v>
      </c>
      <c r="M4092" s="21">
        <v>-215448.04355438164</v>
      </c>
    </row>
    <row r="4093" spans="12:13" x14ac:dyDescent="0.2">
      <c r="L4093" s="4">
        <v>4087</v>
      </c>
      <c r="M4093" s="21">
        <v>84420.417041278415</v>
      </c>
    </row>
    <row r="4094" spans="12:13" x14ac:dyDescent="0.2">
      <c r="L4094" s="4">
        <v>4088</v>
      </c>
      <c r="M4094" s="21">
        <v>-8616.6677983954287</v>
      </c>
    </row>
    <row r="4095" spans="12:13" x14ac:dyDescent="0.2">
      <c r="L4095" s="4">
        <v>4089</v>
      </c>
      <c r="M4095" s="21">
        <v>308109.93017524597</v>
      </c>
    </row>
    <row r="4096" spans="12:13" x14ac:dyDescent="0.2">
      <c r="L4096" s="4">
        <v>4090</v>
      </c>
      <c r="M4096" s="21">
        <v>-87912.397373229353</v>
      </c>
    </row>
    <row r="4097" spans="12:13" x14ac:dyDescent="0.2">
      <c r="L4097" s="4">
        <v>4091</v>
      </c>
      <c r="M4097" s="21">
        <v>-34259.935938262133</v>
      </c>
    </row>
    <row r="4098" spans="12:13" x14ac:dyDescent="0.2">
      <c r="L4098" s="4">
        <v>4092</v>
      </c>
      <c r="M4098" s="21">
        <v>-75239.939562144573</v>
      </c>
    </row>
    <row r="4099" spans="12:13" x14ac:dyDescent="0.2">
      <c r="L4099" s="4">
        <v>4093</v>
      </c>
      <c r="M4099" s="21">
        <v>-147183.70500862249</v>
      </c>
    </row>
    <row r="4100" spans="12:13" x14ac:dyDescent="0.2">
      <c r="L4100" s="4">
        <v>4094</v>
      </c>
      <c r="M4100" s="21">
        <v>-27090.364426297107</v>
      </c>
    </row>
    <row r="4101" spans="12:13" x14ac:dyDescent="0.2">
      <c r="L4101" s="4">
        <v>4095</v>
      </c>
      <c r="M4101" s="21">
        <v>-52987.037570803979</v>
      </c>
    </row>
    <row r="4102" spans="12:13" x14ac:dyDescent="0.2">
      <c r="L4102" s="4">
        <v>4096</v>
      </c>
      <c r="M4102" s="21">
        <v>-51194.799770730635</v>
      </c>
    </row>
    <row r="4103" spans="12:13" x14ac:dyDescent="0.2">
      <c r="L4103" s="4">
        <v>4097</v>
      </c>
      <c r="M4103" s="21">
        <v>-134457.4480012632</v>
      </c>
    </row>
    <row r="4104" spans="12:13" x14ac:dyDescent="0.2">
      <c r="L4104" s="4">
        <v>4098</v>
      </c>
      <c r="M4104" s="21">
        <v>-181418.35504365514</v>
      </c>
    </row>
    <row r="4105" spans="12:13" x14ac:dyDescent="0.2">
      <c r="L4105" s="4">
        <v>4099</v>
      </c>
      <c r="M4105" s="21">
        <v>-128400.47562748838</v>
      </c>
    </row>
    <row r="4106" spans="12:13" x14ac:dyDescent="0.2">
      <c r="L4106" s="4">
        <v>4100</v>
      </c>
      <c r="M4106" s="21">
        <v>-79207.72266062221</v>
      </c>
    </row>
    <row r="4107" spans="12:13" x14ac:dyDescent="0.2">
      <c r="L4107" s="4">
        <v>4101</v>
      </c>
      <c r="M4107" s="21">
        <v>59516.56772694533</v>
      </c>
    </row>
    <row r="4108" spans="12:13" x14ac:dyDescent="0.2">
      <c r="L4108" s="4">
        <v>4102</v>
      </c>
      <c r="M4108" s="21">
        <v>180661.30000181191</v>
      </c>
    </row>
    <row r="4109" spans="12:13" x14ac:dyDescent="0.2">
      <c r="L4109" s="4">
        <v>4103</v>
      </c>
      <c r="M4109" s="21">
        <v>87346.715500971884</v>
      </c>
    </row>
    <row r="4110" spans="12:13" x14ac:dyDescent="0.2">
      <c r="L4110" s="4">
        <v>4104</v>
      </c>
      <c r="M4110" s="21">
        <v>-262685.282386509</v>
      </c>
    </row>
    <row r="4111" spans="12:13" x14ac:dyDescent="0.2">
      <c r="L4111" s="4">
        <v>4105</v>
      </c>
      <c r="M4111" s="21">
        <v>162117.710125098</v>
      </c>
    </row>
    <row r="4112" spans="12:13" x14ac:dyDescent="0.2">
      <c r="L4112" s="4">
        <v>4106</v>
      </c>
      <c r="M4112" s="21">
        <v>78183.695791145758</v>
      </c>
    </row>
    <row r="4113" spans="12:13" x14ac:dyDescent="0.2">
      <c r="L4113" s="4">
        <v>4107</v>
      </c>
      <c r="M4113" s="21">
        <v>130474.71317163747</v>
      </c>
    </row>
    <row r="4114" spans="12:13" x14ac:dyDescent="0.2">
      <c r="L4114" s="4">
        <v>4108</v>
      </c>
      <c r="M4114" s="21">
        <v>280272.42025932635</v>
      </c>
    </row>
    <row r="4115" spans="12:13" x14ac:dyDescent="0.2">
      <c r="L4115" s="4">
        <v>4109</v>
      </c>
      <c r="M4115" s="21">
        <v>15739.361980749789</v>
      </c>
    </row>
    <row r="4116" spans="12:13" x14ac:dyDescent="0.2">
      <c r="L4116" s="4">
        <v>4110</v>
      </c>
      <c r="M4116" s="21">
        <v>-14281.35377790418</v>
      </c>
    </row>
    <row r="4117" spans="12:13" x14ac:dyDescent="0.2">
      <c r="L4117" s="4">
        <v>4111</v>
      </c>
      <c r="M4117" s="21">
        <v>-173914.97264651058</v>
      </c>
    </row>
    <row r="4118" spans="12:13" x14ac:dyDescent="0.2">
      <c r="L4118" s="4">
        <v>4112</v>
      </c>
      <c r="M4118" s="21">
        <v>-49062.657637448268</v>
      </c>
    </row>
    <row r="4119" spans="12:13" x14ac:dyDescent="0.2">
      <c r="L4119" s="4">
        <v>4113</v>
      </c>
      <c r="M4119" s="21">
        <v>88073.816102538549</v>
      </c>
    </row>
    <row r="4120" spans="12:13" x14ac:dyDescent="0.2">
      <c r="L4120" s="4">
        <v>4114</v>
      </c>
      <c r="M4120" s="21">
        <v>-21389.121481909751</v>
      </c>
    </row>
    <row r="4121" spans="12:13" x14ac:dyDescent="0.2">
      <c r="L4121" s="4">
        <v>4115</v>
      </c>
      <c r="M4121" s="21">
        <v>-90589.944894605636</v>
      </c>
    </row>
    <row r="4122" spans="12:13" x14ac:dyDescent="0.2">
      <c r="L4122" s="4">
        <v>4116</v>
      </c>
      <c r="M4122" s="21">
        <v>-60430.823179856292</v>
      </c>
    </row>
    <row r="4123" spans="12:13" x14ac:dyDescent="0.2">
      <c r="L4123" s="4">
        <v>4117</v>
      </c>
      <c r="M4123" s="21">
        <v>30235.533319338574</v>
      </c>
    </row>
    <row r="4124" spans="12:13" x14ac:dyDescent="0.2">
      <c r="L4124" s="4">
        <v>4118</v>
      </c>
      <c r="M4124" s="21">
        <v>17586.209867433936</v>
      </c>
    </row>
    <row r="4125" spans="12:13" x14ac:dyDescent="0.2">
      <c r="L4125" s="4">
        <v>4119</v>
      </c>
      <c r="M4125" s="21">
        <v>-46903.750518394023</v>
      </c>
    </row>
    <row r="4126" spans="12:13" x14ac:dyDescent="0.2">
      <c r="L4126" s="4">
        <v>4120</v>
      </c>
      <c r="M4126" s="21">
        <v>-310966.83448036242</v>
      </c>
    </row>
    <row r="4127" spans="12:13" x14ac:dyDescent="0.2">
      <c r="L4127" s="4">
        <v>4121</v>
      </c>
      <c r="M4127" s="21">
        <v>-273405.40508910676</v>
      </c>
    </row>
    <row r="4128" spans="12:13" x14ac:dyDescent="0.2">
      <c r="L4128" s="4">
        <v>4122</v>
      </c>
      <c r="M4128" s="21">
        <v>-135171.48790333309</v>
      </c>
    </row>
    <row r="4129" spans="12:13" x14ac:dyDescent="0.2">
      <c r="L4129" s="4">
        <v>4123</v>
      </c>
      <c r="M4129" s="21">
        <v>3474.664351234358</v>
      </c>
    </row>
    <row r="4130" spans="12:13" x14ac:dyDescent="0.2">
      <c r="L4130" s="4">
        <v>4124</v>
      </c>
      <c r="M4130" s="21">
        <v>15594.288316475606</v>
      </c>
    </row>
    <row r="4131" spans="12:13" x14ac:dyDescent="0.2">
      <c r="L4131" s="4">
        <v>4125</v>
      </c>
      <c r="M4131" s="21">
        <v>56578.425125782844</v>
      </c>
    </row>
    <row r="4132" spans="12:13" x14ac:dyDescent="0.2">
      <c r="L4132" s="4">
        <v>4126</v>
      </c>
      <c r="M4132" s="21">
        <v>177271.59712039013</v>
      </c>
    </row>
    <row r="4133" spans="12:13" x14ac:dyDescent="0.2">
      <c r="L4133" s="4">
        <v>4127</v>
      </c>
      <c r="M4133" s="21">
        <v>204256.50590238327</v>
      </c>
    </row>
    <row r="4134" spans="12:13" x14ac:dyDescent="0.2">
      <c r="L4134" s="4">
        <v>4128</v>
      </c>
      <c r="M4134" s="21">
        <v>-215338.68365804554</v>
      </c>
    </row>
    <row r="4135" spans="12:13" x14ac:dyDescent="0.2">
      <c r="L4135" s="4">
        <v>4129</v>
      </c>
      <c r="M4135" s="21">
        <v>-27172.180453444351</v>
      </c>
    </row>
    <row r="4136" spans="12:13" x14ac:dyDescent="0.2">
      <c r="L4136" s="4">
        <v>4130</v>
      </c>
      <c r="M4136" s="21">
        <v>-101709.96770583549</v>
      </c>
    </row>
    <row r="4137" spans="12:13" x14ac:dyDescent="0.2">
      <c r="L4137" s="4">
        <v>4131</v>
      </c>
      <c r="M4137" s="21">
        <v>-104409.2941476124</v>
      </c>
    </row>
    <row r="4138" spans="12:13" x14ac:dyDescent="0.2">
      <c r="L4138" s="4">
        <v>4132</v>
      </c>
      <c r="M4138" s="21">
        <v>105985.7140710825</v>
      </c>
    </row>
    <row r="4139" spans="12:13" x14ac:dyDescent="0.2">
      <c r="L4139" s="4">
        <v>4133</v>
      </c>
      <c r="M4139" s="21">
        <v>89133.843856931548</v>
      </c>
    </row>
    <row r="4140" spans="12:13" x14ac:dyDescent="0.2">
      <c r="L4140" s="4">
        <v>4134</v>
      </c>
      <c r="M4140" s="21">
        <v>-169872.27724837911</v>
      </c>
    </row>
    <row r="4141" spans="12:13" x14ac:dyDescent="0.2">
      <c r="L4141" s="4">
        <v>4135</v>
      </c>
      <c r="M4141" s="21">
        <v>45628.358584387781</v>
      </c>
    </row>
    <row r="4142" spans="12:13" x14ac:dyDescent="0.2">
      <c r="L4142" s="4">
        <v>4136</v>
      </c>
      <c r="M4142" s="21">
        <v>-109183.46273545377</v>
      </c>
    </row>
    <row r="4143" spans="12:13" x14ac:dyDescent="0.2">
      <c r="L4143" s="4">
        <v>4137</v>
      </c>
      <c r="M4143" s="21">
        <v>57880.455104342225</v>
      </c>
    </row>
    <row r="4144" spans="12:13" x14ac:dyDescent="0.2">
      <c r="L4144" s="4">
        <v>4138</v>
      </c>
      <c r="M4144" s="21">
        <v>-36322.555479650371</v>
      </c>
    </row>
    <row r="4145" spans="12:13" x14ac:dyDescent="0.2">
      <c r="L4145" s="4">
        <v>4139</v>
      </c>
      <c r="M4145" s="21">
        <v>118004.90344966503</v>
      </c>
    </row>
    <row r="4146" spans="12:13" x14ac:dyDescent="0.2">
      <c r="L4146" s="4">
        <v>4140</v>
      </c>
      <c r="M4146" s="21">
        <v>214581.99397845758</v>
      </c>
    </row>
    <row r="4147" spans="12:13" x14ac:dyDescent="0.2">
      <c r="L4147" s="4">
        <v>4141</v>
      </c>
      <c r="M4147" s="21">
        <v>-10717.828881041583</v>
      </c>
    </row>
    <row r="4148" spans="12:13" x14ac:dyDescent="0.2">
      <c r="L4148" s="4">
        <v>4142</v>
      </c>
      <c r="M4148" s="21">
        <v>33639.814925193728</v>
      </c>
    </row>
    <row r="4149" spans="12:13" x14ac:dyDescent="0.2">
      <c r="L4149" s="4">
        <v>4143</v>
      </c>
      <c r="M4149" s="21">
        <v>203107.701144149</v>
      </c>
    </row>
    <row r="4150" spans="12:13" x14ac:dyDescent="0.2">
      <c r="L4150" s="4">
        <v>4144</v>
      </c>
      <c r="M4150" s="21">
        <v>-33265.050009928294</v>
      </c>
    </row>
    <row r="4151" spans="12:13" x14ac:dyDescent="0.2">
      <c r="L4151" s="4">
        <v>4145</v>
      </c>
      <c r="M4151" s="21">
        <v>90012.848745025403</v>
      </c>
    </row>
    <row r="4152" spans="12:13" x14ac:dyDescent="0.2">
      <c r="L4152" s="4">
        <v>4146</v>
      </c>
      <c r="M4152" s="21">
        <v>222274.09631152073</v>
      </c>
    </row>
    <row r="4153" spans="12:13" x14ac:dyDescent="0.2">
      <c r="L4153" s="4">
        <v>4147</v>
      </c>
      <c r="M4153" s="21">
        <v>-96700.166072406413</v>
      </c>
    </row>
    <row r="4154" spans="12:13" x14ac:dyDescent="0.2">
      <c r="L4154" s="4">
        <v>4148</v>
      </c>
      <c r="M4154" s="21">
        <v>177938.55045766797</v>
      </c>
    </row>
    <row r="4155" spans="12:13" x14ac:dyDescent="0.2">
      <c r="L4155" s="4">
        <v>4149</v>
      </c>
      <c r="M4155" s="21">
        <v>-168912.9437883285</v>
      </c>
    </row>
    <row r="4156" spans="12:13" x14ac:dyDescent="0.2">
      <c r="L4156" s="4">
        <v>4150</v>
      </c>
      <c r="M4156" s="21">
        <v>162039.45885293966</v>
      </c>
    </row>
    <row r="4157" spans="12:13" x14ac:dyDescent="0.2">
      <c r="L4157" s="4">
        <v>4151</v>
      </c>
      <c r="M4157" s="21">
        <v>23223.035271086817</v>
      </c>
    </row>
    <row r="4158" spans="12:13" x14ac:dyDescent="0.2">
      <c r="L4158" s="4">
        <v>4152</v>
      </c>
      <c r="M4158" s="21">
        <v>-34084.319121706212</v>
      </c>
    </row>
    <row r="4159" spans="12:13" x14ac:dyDescent="0.2">
      <c r="L4159" s="4">
        <v>4153</v>
      </c>
      <c r="M4159" s="21">
        <v>71479.270439400658</v>
      </c>
    </row>
    <row r="4160" spans="12:13" x14ac:dyDescent="0.2">
      <c r="L4160" s="4">
        <v>4154</v>
      </c>
      <c r="M4160" s="21">
        <v>-182663.27589749734</v>
      </c>
    </row>
    <row r="4161" spans="12:13" x14ac:dyDescent="0.2">
      <c r="L4161" s="4">
        <v>4155</v>
      </c>
      <c r="M4161" s="21">
        <v>-54397.754920195803</v>
      </c>
    </row>
    <row r="4162" spans="12:13" x14ac:dyDescent="0.2">
      <c r="L4162" s="4">
        <v>4156</v>
      </c>
      <c r="M4162" s="21">
        <v>212591.2365132891</v>
      </c>
    </row>
    <row r="4163" spans="12:13" x14ac:dyDescent="0.2">
      <c r="L4163" s="4">
        <v>4157</v>
      </c>
      <c r="M4163" s="21">
        <v>-73314.732832418784</v>
      </c>
    </row>
    <row r="4164" spans="12:13" x14ac:dyDescent="0.2">
      <c r="L4164" s="4">
        <v>4158</v>
      </c>
      <c r="M4164" s="21">
        <v>-42576.232730506323</v>
      </c>
    </row>
    <row r="4165" spans="12:13" x14ac:dyDescent="0.2">
      <c r="L4165" s="4">
        <v>4159</v>
      </c>
      <c r="M4165" s="21">
        <v>-226196.21527270143</v>
      </c>
    </row>
    <row r="4166" spans="12:13" x14ac:dyDescent="0.2">
      <c r="L4166" s="4">
        <v>4160</v>
      </c>
      <c r="M4166" s="21">
        <v>104272.75829258078</v>
      </c>
    </row>
    <row r="4167" spans="12:13" x14ac:dyDescent="0.2">
      <c r="L4167" s="4">
        <v>4161</v>
      </c>
      <c r="M4167" s="21">
        <v>-286501.00958785636</v>
      </c>
    </row>
    <row r="4168" spans="12:13" x14ac:dyDescent="0.2">
      <c r="L4168" s="4">
        <v>4162</v>
      </c>
      <c r="M4168" s="21">
        <v>-2527.9129535875836</v>
      </c>
    </row>
    <row r="4169" spans="12:13" x14ac:dyDescent="0.2">
      <c r="L4169" s="4">
        <v>4163</v>
      </c>
      <c r="M4169" s="21">
        <v>-98777.973178426779</v>
      </c>
    </row>
    <row r="4170" spans="12:13" x14ac:dyDescent="0.2">
      <c r="L4170" s="4">
        <v>4164</v>
      </c>
      <c r="M4170" s="21">
        <v>149202.22653235812</v>
      </c>
    </row>
    <row r="4171" spans="12:13" x14ac:dyDescent="0.2">
      <c r="L4171" s="4">
        <v>4165</v>
      </c>
      <c r="M4171" s="21">
        <v>-179047.0538419449</v>
      </c>
    </row>
    <row r="4172" spans="12:13" x14ac:dyDescent="0.2">
      <c r="L4172" s="4">
        <v>4166</v>
      </c>
      <c r="M4172" s="21">
        <v>-192943.54072831915</v>
      </c>
    </row>
    <row r="4173" spans="12:13" x14ac:dyDescent="0.2">
      <c r="L4173" s="4">
        <v>4167</v>
      </c>
      <c r="M4173" s="21">
        <v>227500.76020128999</v>
      </c>
    </row>
    <row r="4174" spans="12:13" x14ac:dyDescent="0.2">
      <c r="L4174" s="4">
        <v>4168</v>
      </c>
      <c r="M4174" s="21">
        <v>-113187.23095555113</v>
      </c>
    </row>
    <row r="4175" spans="12:13" x14ac:dyDescent="0.2">
      <c r="L4175" s="4">
        <v>4169</v>
      </c>
      <c r="M4175" s="21">
        <v>-76558.103641971669</v>
      </c>
    </row>
    <row r="4176" spans="12:13" x14ac:dyDescent="0.2">
      <c r="L4176" s="4">
        <v>4170</v>
      </c>
      <c r="M4176" s="21">
        <v>16857.848366085615</v>
      </c>
    </row>
    <row r="4177" spans="12:13" x14ac:dyDescent="0.2">
      <c r="L4177" s="4">
        <v>4171</v>
      </c>
      <c r="M4177" s="21">
        <v>-86741.112806889374</v>
      </c>
    </row>
    <row r="4178" spans="12:13" x14ac:dyDescent="0.2">
      <c r="L4178" s="4">
        <v>4172</v>
      </c>
      <c r="M4178" s="21">
        <v>35380.615529267932</v>
      </c>
    </row>
    <row r="4179" spans="12:13" x14ac:dyDescent="0.2">
      <c r="L4179" s="4">
        <v>4173</v>
      </c>
      <c r="M4179" s="21">
        <v>31078.474969638308</v>
      </c>
    </row>
    <row r="4180" spans="12:13" x14ac:dyDescent="0.2">
      <c r="L4180" s="4">
        <v>4174</v>
      </c>
      <c r="M4180" s="21">
        <v>224964.64853930194</v>
      </c>
    </row>
    <row r="4181" spans="12:13" x14ac:dyDescent="0.2">
      <c r="L4181" s="4">
        <v>4175</v>
      </c>
      <c r="M4181" s="21">
        <v>-206482.39293097926</v>
      </c>
    </row>
    <row r="4182" spans="12:13" x14ac:dyDescent="0.2">
      <c r="L4182" s="4">
        <v>4176</v>
      </c>
      <c r="M4182" s="21">
        <v>35251.420712228195</v>
      </c>
    </row>
    <row r="4183" spans="12:13" x14ac:dyDescent="0.2">
      <c r="L4183" s="4">
        <v>4177</v>
      </c>
      <c r="M4183" s="21">
        <v>53701.453983798914</v>
      </c>
    </row>
    <row r="4184" spans="12:13" x14ac:dyDescent="0.2">
      <c r="L4184" s="4">
        <v>4178</v>
      </c>
      <c r="M4184" s="21">
        <v>-58072.82778973745</v>
      </c>
    </row>
    <row r="4185" spans="12:13" x14ac:dyDescent="0.2">
      <c r="L4185" s="4">
        <v>4179</v>
      </c>
      <c r="M4185" s="21">
        <v>40383.748043353</v>
      </c>
    </row>
    <row r="4186" spans="12:13" x14ac:dyDescent="0.2">
      <c r="L4186" s="4">
        <v>4180</v>
      </c>
      <c r="M4186" s="21">
        <v>-247039.65286466733</v>
      </c>
    </row>
    <row r="4187" spans="12:13" x14ac:dyDescent="0.2">
      <c r="L4187" s="4">
        <v>4181</v>
      </c>
      <c r="M4187" s="21">
        <v>124447.25697196953</v>
      </c>
    </row>
    <row r="4188" spans="12:13" x14ac:dyDescent="0.2">
      <c r="L4188" s="4">
        <v>4182</v>
      </c>
      <c r="M4188" s="21">
        <v>-92533.532983980564</v>
      </c>
    </row>
    <row r="4189" spans="12:13" x14ac:dyDescent="0.2">
      <c r="L4189" s="4">
        <v>4183</v>
      </c>
      <c r="M4189" s="21">
        <v>-51805.47728608358</v>
      </c>
    </row>
    <row r="4190" spans="12:13" x14ac:dyDescent="0.2">
      <c r="L4190" s="4">
        <v>4184</v>
      </c>
      <c r="M4190" s="21">
        <v>64789.852290393028</v>
      </c>
    </row>
    <row r="4191" spans="12:13" x14ac:dyDescent="0.2">
      <c r="L4191" s="4">
        <v>4185</v>
      </c>
      <c r="M4191" s="21">
        <v>-94235.44410155584</v>
      </c>
    </row>
    <row r="4192" spans="12:13" x14ac:dyDescent="0.2">
      <c r="L4192" s="4">
        <v>4186</v>
      </c>
      <c r="M4192" s="21">
        <v>-47682.88423522313</v>
      </c>
    </row>
    <row r="4193" spans="12:13" x14ac:dyDescent="0.2">
      <c r="L4193" s="4">
        <v>4187</v>
      </c>
      <c r="M4193" s="21">
        <v>16853.072492052219</v>
      </c>
    </row>
    <row r="4194" spans="12:13" x14ac:dyDescent="0.2">
      <c r="L4194" s="4">
        <v>4188</v>
      </c>
      <c r="M4194" s="21">
        <v>170397.05705078234</v>
      </c>
    </row>
    <row r="4195" spans="12:13" x14ac:dyDescent="0.2">
      <c r="L4195" s="4">
        <v>4189</v>
      </c>
      <c r="M4195" s="21">
        <v>172856.38658164695</v>
      </c>
    </row>
    <row r="4196" spans="12:13" x14ac:dyDescent="0.2">
      <c r="L4196" s="4">
        <v>4190</v>
      </c>
      <c r="M4196" s="21">
        <v>33391.642212674138</v>
      </c>
    </row>
    <row r="4197" spans="12:13" x14ac:dyDescent="0.2">
      <c r="L4197" s="4">
        <v>4191</v>
      </c>
      <c r="M4197" s="21">
        <v>-88578.677848726831</v>
      </c>
    </row>
    <row r="4198" spans="12:13" x14ac:dyDescent="0.2">
      <c r="L4198" s="4">
        <v>4192</v>
      </c>
      <c r="M4198" s="21">
        <v>-229696.76760489069</v>
      </c>
    </row>
    <row r="4199" spans="12:13" x14ac:dyDescent="0.2">
      <c r="L4199" s="4">
        <v>4193</v>
      </c>
      <c r="M4199" s="21">
        <v>-166564.81944061804</v>
      </c>
    </row>
    <row r="4200" spans="12:13" x14ac:dyDescent="0.2">
      <c r="L4200" s="4">
        <v>4194</v>
      </c>
      <c r="M4200" s="21">
        <v>-130667.40300325745</v>
      </c>
    </row>
    <row r="4201" spans="12:13" x14ac:dyDescent="0.2">
      <c r="L4201" s="4">
        <v>4195</v>
      </c>
      <c r="M4201" s="21">
        <v>37096.202132036531</v>
      </c>
    </row>
    <row r="4202" spans="12:13" x14ac:dyDescent="0.2">
      <c r="L4202" s="4">
        <v>4196</v>
      </c>
      <c r="M4202" s="21">
        <v>-11320.599346774063</v>
      </c>
    </row>
    <row r="4203" spans="12:13" x14ac:dyDescent="0.2">
      <c r="L4203" s="4">
        <v>4197</v>
      </c>
      <c r="M4203" s="21">
        <v>40414.030108004692</v>
      </c>
    </row>
    <row r="4204" spans="12:13" x14ac:dyDescent="0.2">
      <c r="L4204" s="4">
        <v>4198</v>
      </c>
      <c r="M4204" s="21">
        <v>-4404.6953558743844</v>
      </c>
    </row>
    <row r="4205" spans="12:13" x14ac:dyDescent="0.2">
      <c r="L4205" s="4">
        <v>4199</v>
      </c>
      <c r="M4205" s="21">
        <v>26379.145874170586</v>
      </c>
    </row>
    <row r="4206" spans="12:13" x14ac:dyDescent="0.2">
      <c r="L4206" s="4">
        <v>4200</v>
      </c>
      <c r="M4206" s="21">
        <v>135741.38029583666</v>
      </c>
    </row>
    <row r="4207" spans="12:13" x14ac:dyDescent="0.2">
      <c r="L4207" s="4">
        <v>4201</v>
      </c>
      <c r="M4207" s="21">
        <v>-234771.62974597572</v>
      </c>
    </row>
    <row r="4208" spans="12:13" x14ac:dyDescent="0.2">
      <c r="L4208" s="4">
        <v>4202</v>
      </c>
      <c r="M4208" s="21">
        <v>-80005.58792159018</v>
      </c>
    </row>
    <row r="4209" spans="12:13" x14ac:dyDescent="0.2">
      <c r="L4209" s="4">
        <v>4203</v>
      </c>
      <c r="M4209" s="21">
        <v>-24457.592852494941</v>
      </c>
    </row>
    <row r="4210" spans="12:13" x14ac:dyDescent="0.2">
      <c r="L4210" s="4">
        <v>4204</v>
      </c>
      <c r="M4210" s="21">
        <v>24909.921716472716</v>
      </c>
    </row>
    <row r="4211" spans="12:13" x14ac:dyDescent="0.2">
      <c r="L4211" s="4">
        <v>4205</v>
      </c>
      <c r="M4211" s="21">
        <v>216908.17625526292</v>
      </c>
    </row>
    <row r="4212" spans="12:13" x14ac:dyDescent="0.2">
      <c r="L4212" s="4">
        <v>4206</v>
      </c>
      <c r="M4212" s="21">
        <v>-182988.87113441728</v>
      </c>
    </row>
    <row r="4213" spans="12:13" x14ac:dyDescent="0.2">
      <c r="L4213" s="4">
        <v>4207</v>
      </c>
      <c r="M4213" s="21">
        <v>-404146.3362779608</v>
      </c>
    </row>
    <row r="4214" spans="12:13" x14ac:dyDescent="0.2">
      <c r="L4214" s="4">
        <v>4208</v>
      </c>
      <c r="M4214" s="21">
        <v>-46484.772046257625</v>
      </c>
    </row>
    <row r="4215" spans="12:13" x14ac:dyDescent="0.2">
      <c r="L4215" s="4">
        <v>4209</v>
      </c>
      <c r="M4215" s="21">
        <v>-104068.14767384845</v>
      </c>
    </row>
    <row r="4216" spans="12:13" x14ac:dyDescent="0.2">
      <c r="L4216" s="4">
        <v>4210</v>
      </c>
      <c r="M4216" s="21">
        <v>-21147.125324579305</v>
      </c>
    </row>
    <row r="4217" spans="12:13" x14ac:dyDescent="0.2">
      <c r="L4217" s="4">
        <v>4211</v>
      </c>
      <c r="M4217" s="21">
        <v>-16742.503817713528</v>
      </c>
    </row>
    <row r="4218" spans="12:13" x14ac:dyDescent="0.2">
      <c r="L4218" s="4">
        <v>4212</v>
      </c>
      <c r="M4218" s="21">
        <v>-96409.674856396829</v>
      </c>
    </row>
    <row r="4219" spans="12:13" x14ac:dyDescent="0.2">
      <c r="L4219" s="4">
        <v>4213</v>
      </c>
      <c r="M4219" s="21">
        <v>-104886.67564483933</v>
      </c>
    </row>
    <row r="4220" spans="12:13" x14ac:dyDescent="0.2">
      <c r="L4220" s="4">
        <v>4214</v>
      </c>
      <c r="M4220" s="21">
        <v>76625.267245845404</v>
      </c>
    </row>
    <row r="4221" spans="12:13" x14ac:dyDescent="0.2">
      <c r="L4221" s="4">
        <v>4215</v>
      </c>
      <c r="M4221" s="21">
        <v>360102.72546939587</v>
      </c>
    </row>
    <row r="4222" spans="12:13" x14ac:dyDescent="0.2">
      <c r="L4222" s="4">
        <v>4216</v>
      </c>
      <c r="M4222" s="21">
        <v>-27773.632083149438</v>
      </c>
    </row>
    <row r="4223" spans="12:13" x14ac:dyDescent="0.2">
      <c r="L4223" s="4">
        <v>4217</v>
      </c>
      <c r="M4223" s="21">
        <v>169446.17941042193</v>
      </c>
    </row>
    <row r="4224" spans="12:13" x14ac:dyDescent="0.2">
      <c r="L4224" s="4">
        <v>4218</v>
      </c>
      <c r="M4224" s="21">
        <v>-101534.19757811844</v>
      </c>
    </row>
    <row r="4225" spans="12:13" x14ac:dyDescent="0.2">
      <c r="L4225" s="4">
        <v>4219</v>
      </c>
      <c r="M4225" s="21">
        <v>-187437.08034754259</v>
      </c>
    </row>
    <row r="4226" spans="12:13" x14ac:dyDescent="0.2">
      <c r="L4226" s="4">
        <v>4220</v>
      </c>
      <c r="M4226" s="21">
        <v>362413.85504848923</v>
      </c>
    </row>
    <row r="4227" spans="12:13" x14ac:dyDescent="0.2">
      <c r="L4227" s="4">
        <v>4221</v>
      </c>
      <c r="M4227" s="21">
        <v>202759.52395013836</v>
      </c>
    </row>
    <row r="4228" spans="12:13" x14ac:dyDescent="0.2">
      <c r="L4228" s="4">
        <v>4222</v>
      </c>
      <c r="M4228" s="21">
        <v>16810.879986755375</v>
      </c>
    </row>
    <row r="4229" spans="12:13" x14ac:dyDescent="0.2">
      <c r="L4229" s="4">
        <v>4223</v>
      </c>
      <c r="M4229" s="21">
        <v>-212405.31561125693</v>
      </c>
    </row>
    <row r="4230" spans="12:13" x14ac:dyDescent="0.2">
      <c r="L4230" s="4">
        <v>4224</v>
      </c>
      <c r="M4230" s="21">
        <v>-156289.50301694701</v>
      </c>
    </row>
    <row r="4231" spans="12:13" x14ac:dyDescent="0.2">
      <c r="L4231" s="4">
        <v>4225</v>
      </c>
      <c r="M4231" s="21">
        <v>127622.12520544339</v>
      </c>
    </row>
    <row r="4232" spans="12:13" x14ac:dyDescent="0.2">
      <c r="L4232" s="4">
        <v>4226</v>
      </c>
      <c r="M4232" s="21">
        <v>187589.02516588199</v>
      </c>
    </row>
    <row r="4233" spans="12:13" x14ac:dyDescent="0.2">
      <c r="L4233" s="4">
        <v>4227</v>
      </c>
      <c r="M4233" s="21">
        <v>39208.609189163457</v>
      </c>
    </row>
    <row r="4234" spans="12:13" x14ac:dyDescent="0.2">
      <c r="L4234" s="4">
        <v>4228</v>
      </c>
      <c r="M4234" s="21">
        <v>-158080.23325635388</v>
      </c>
    </row>
    <row r="4235" spans="12:13" x14ac:dyDescent="0.2">
      <c r="L4235" s="4">
        <v>4229</v>
      </c>
      <c r="M4235" s="21">
        <v>-162980.84409631795</v>
      </c>
    </row>
    <row r="4236" spans="12:13" x14ac:dyDescent="0.2">
      <c r="L4236" s="4">
        <v>4230</v>
      </c>
      <c r="M4236" s="21">
        <v>45750.636189115205</v>
      </c>
    </row>
    <row r="4237" spans="12:13" x14ac:dyDescent="0.2">
      <c r="L4237" s="4">
        <v>4231</v>
      </c>
      <c r="M4237" s="21">
        <v>-139386.89981312916</v>
      </c>
    </row>
    <row r="4238" spans="12:13" x14ac:dyDescent="0.2">
      <c r="L4238" s="4">
        <v>4232</v>
      </c>
      <c r="M4238" s="21">
        <v>-192151.53386937486</v>
      </c>
    </row>
    <row r="4239" spans="12:13" x14ac:dyDescent="0.2">
      <c r="L4239" s="4">
        <v>4233</v>
      </c>
      <c r="M4239" s="21">
        <v>-121060.71864258123</v>
      </c>
    </row>
    <row r="4240" spans="12:13" x14ac:dyDescent="0.2">
      <c r="L4240" s="4">
        <v>4234</v>
      </c>
      <c r="M4240" s="21">
        <v>-2334.5885473302187</v>
      </c>
    </row>
    <row r="4241" spans="12:13" x14ac:dyDescent="0.2">
      <c r="L4241" s="4">
        <v>4235</v>
      </c>
      <c r="M4241" s="21">
        <v>-133809.36182312976</v>
      </c>
    </row>
    <row r="4242" spans="12:13" x14ac:dyDescent="0.2">
      <c r="L4242" s="4">
        <v>4236</v>
      </c>
      <c r="M4242" s="21">
        <v>-219368.59026975284</v>
      </c>
    </row>
    <row r="4243" spans="12:13" x14ac:dyDescent="0.2">
      <c r="L4243" s="4">
        <v>4237</v>
      </c>
      <c r="M4243" s="21">
        <v>86823.201002971618</v>
      </c>
    </row>
    <row r="4244" spans="12:13" x14ac:dyDescent="0.2">
      <c r="L4244" s="4">
        <v>4238</v>
      </c>
      <c r="M4244" s="21">
        <v>-175699.53661840261</v>
      </c>
    </row>
    <row r="4245" spans="12:13" x14ac:dyDescent="0.2">
      <c r="L4245" s="4">
        <v>4239</v>
      </c>
      <c r="M4245" s="21">
        <v>-46381.999263172373</v>
      </c>
    </row>
    <row r="4246" spans="12:13" x14ac:dyDescent="0.2">
      <c r="L4246" s="4">
        <v>4240</v>
      </c>
      <c r="M4246" s="21">
        <v>-116637.23577885608</v>
      </c>
    </row>
    <row r="4247" spans="12:13" x14ac:dyDescent="0.2">
      <c r="L4247" s="4">
        <v>4241</v>
      </c>
      <c r="M4247" s="21">
        <v>185006.85750321299</v>
      </c>
    </row>
    <row r="4248" spans="12:13" x14ac:dyDescent="0.2">
      <c r="L4248" s="4">
        <v>4242</v>
      </c>
      <c r="M4248" s="21">
        <v>-228286.1076539529</v>
      </c>
    </row>
    <row r="4249" spans="12:13" x14ac:dyDescent="0.2">
      <c r="L4249" s="4">
        <v>4243</v>
      </c>
      <c r="M4249" s="21">
        <v>-103804.47065538695</v>
      </c>
    </row>
    <row r="4250" spans="12:13" x14ac:dyDescent="0.2">
      <c r="L4250" s="4">
        <v>4244</v>
      </c>
      <c r="M4250" s="21">
        <v>322961.83333962894</v>
      </c>
    </row>
    <row r="4251" spans="12:13" x14ac:dyDescent="0.2">
      <c r="L4251" s="4">
        <v>4245</v>
      </c>
      <c r="M4251" s="21">
        <v>117533.19469048397</v>
      </c>
    </row>
    <row r="4252" spans="12:13" x14ac:dyDescent="0.2">
      <c r="L4252" s="4">
        <v>4246</v>
      </c>
      <c r="M4252" s="21">
        <v>-71768.148285305419</v>
      </c>
    </row>
    <row r="4253" spans="12:13" x14ac:dyDescent="0.2">
      <c r="L4253" s="4">
        <v>4247</v>
      </c>
      <c r="M4253" s="21">
        <v>-94444.818011644165</v>
      </c>
    </row>
    <row r="4254" spans="12:13" x14ac:dyDescent="0.2">
      <c r="L4254" s="4">
        <v>4248</v>
      </c>
      <c r="M4254" s="21">
        <v>33711.035778370511</v>
      </c>
    </row>
    <row r="4255" spans="12:13" x14ac:dyDescent="0.2">
      <c r="L4255" s="4">
        <v>4249</v>
      </c>
      <c r="M4255" s="21">
        <v>-157596.56941597132</v>
      </c>
    </row>
    <row r="4256" spans="12:13" x14ac:dyDescent="0.2">
      <c r="L4256" s="4">
        <v>4250</v>
      </c>
      <c r="M4256" s="21">
        <v>-42970.940015304586</v>
      </c>
    </row>
    <row r="4257" spans="12:13" x14ac:dyDescent="0.2">
      <c r="L4257" s="4">
        <v>4251</v>
      </c>
      <c r="M4257" s="21">
        <v>-488.32632055573049</v>
      </c>
    </row>
    <row r="4258" spans="12:13" x14ac:dyDescent="0.2">
      <c r="L4258" s="4">
        <v>4252</v>
      </c>
      <c r="M4258" s="21">
        <v>-332187.4770077517</v>
      </c>
    </row>
    <row r="4259" spans="12:13" x14ac:dyDescent="0.2">
      <c r="L4259" s="4">
        <v>4253</v>
      </c>
      <c r="M4259" s="21">
        <v>207336.32629620514</v>
      </c>
    </row>
    <row r="4260" spans="12:13" x14ac:dyDescent="0.2">
      <c r="L4260" s="4">
        <v>4254</v>
      </c>
      <c r="M4260" s="21">
        <v>219211.3553336605</v>
      </c>
    </row>
    <row r="4261" spans="12:13" x14ac:dyDescent="0.2">
      <c r="L4261" s="4">
        <v>4255</v>
      </c>
      <c r="M4261" s="21">
        <v>-43491.431001137564</v>
      </c>
    </row>
    <row r="4262" spans="12:13" x14ac:dyDescent="0.2">
      <c r="L4262" s="4">
        <v>4256</v>
      </c>
      <c r="M4262" s="21">
        <v>105390.87344183962</v>
      </c>
    </row>
    <row r="4263" spans="12:13" x14ac:dyDescent="0.2">
      <c r="L4263" s="4">
        <v>4257</v>
      </c>
      <c r="M4263" s="21">
        <v>231394.20199642036</v>
      </c>
    </row>
    <row r="4264" spans="12:13" x14ac:dyDescent="0.2">
      <c r="L4264" s="4">
        <v>4258</v>
      </c>
      <c r="M4264" s="21">
        <v>368839.54280766431</v>
      </c>
    </row>
    <row r="4265" spans="12:13" x14ac:dyDescent="0.2">
      <c r="L4265" s="4">
        <v>4259</v>
      </c>
      <c r="M4265" s="21">
        <v>-32701.311991928451</v>
      </c>
    </row>
    <row r="4266" spans="12:13" x14ac:dyDescent="0.2">
      <c r="L4266" s="4">
        <v>4260</v>
      </c>
      <c r="M4266" s="21">
        <v>-105968.63822901761</v>
      </c>
    </row>
    <row r="4267" spans="12:13" x14ac:dyDescent="0.2">
      <c r="L4267" s="4">
        <v>4261</v>
      </c>
      <c r="M4267" s="21">
        <v>74565.16117145741</v>
      </c>
    </row>
    <row r="4268" spans="12:13" x14ac:dyDescent="0.2">
      <c r="L4268" s="4">
        <v>4262</v>
      </c>
      <c r="M4268" s="21">
        <v>272003.14539258892</v>
      </c>
    </row>
    <row r="4269" spans="12:13" x14ac:dyDescent="0.2">
      <c r="L4269" s="4">
        <v>4263</v>
      </c>
      <c r="M4269" s="21">
        <v>67829.47098041643</v>
      </c>
    </row>
    <row r="4270" spans="12:13" x14ac:dyDescent="0.2">
      <c r="L4270" s="4">
        <v>4264</v>
      </c>
      <c r="M4270" s="21">
        <v>151853.12819844193</v>
      </c>
    </row>
    <row r="4271" spans="12:13" x14ac:dyDescent="0.2">
      <c r="L4271" s="4">
        <v>4265</v>
      </c>
      <c r="M4271" s="21">
        <v>11827.490604181919</v>
      </c>
    </row>
    <row r="4272" spans="12:13" x14ac:dyDescent="0.2">
      <c r="L4272" s="4">
        <v>4266</v>
      </c>
      <c r="M4272" s="21">
        <v>-119840.19466878135</v>
      </c>
    </row>
    <row r="4273" spans="12:13" x14ac:dyDescent="0.2">
      <c r="L4273" s="4">
        <v>4267</v>
      </c>
      <c r="M4273" s="21">
        <v>-85965.536158561925</v>
      </c>
    </row>
    <row r="4274" spans="12:13" x14ac:dyDescent="0.2">
      <c r="L4274" s="4">
        <v>4268</v>
      </c>
      <c r="M4274" s="21">
        <v>-20829.149855307434</v>
      </c>
    </row>
    <row r="4275" spans="12:13" x14ac:dyDescent="0.2">
      <c r="L4275" s="4">
        <v>4269</v>
      </c>
      <c r="M4275" s="21">
        <v>-78146.683647359911</v>
      </c>
    </row>
    <row r="4276" spans="12:13" x14ac:dyDescent="0.2">
      <c r="L4276" s="4">
        <v>4270</v>
      </c>
      <c r="M4276" s="21">
        <v>-119600.81569369338</v>
      </c>
    </row>
    <row r="4277" spans="12:13" x14ac:dyDescent="0.2">
      <c r="L4277" s="4">
        <v>4271</v>
      </c>
      <c r="M4277" s="21">
        <v>-189798.61628031707</v>
      </c>
    </row>
    <row r="4278" spans="12:13" x14ac:dyDescent="0.2">
      <c r="L4278" s="4">
        <v>4272</v>
      </c>
      <c r="M4278" s="21">
        <v>-67233.224944580157</v>
      </c>
    </row>
    <row r="4279" spans="12:13" x14ac:dyDescent="0.2">
      <c r="L4279" s="4">
        <v>4273</v>
      </c>
      <c r="M4279" s="21">
        <v>-208696.36130617803</v>
      </c>
    </row>
    <row r="4280" spans="12:13" x14ac:dyDescent="0.2">
      <c r="L4280" s="4">
        <v>4274</v>
      </c>
      <c r="M4280" s="21">
        <v>343517.26302777504</v>
      </c>
    </row>
    <row r="4281" spans="12:13" x14ac:dyDescent="0.2">
      <c r="L4281" s="4">
        <v>4275</v>
      </c>
      <c r="M4281" s="21">
        <v>-235656.73883934398</v>
      </c>
    </row>
    <row r="4282" spans="12:13" x14ac:dyDescent="0.2">
      <c r="L4282" s="4">
        <v>4276</v>
      </c>
      <c r="M4282" s="21">
        <v>-79958.9372510127</v>
      </c>
    </row>
    <row r="4283" spans="12:13" x14ac:dyDescent="0.2">
      <c r="L4283" s="4">
        <v>4277</v>
      </c>
      <c r="M4283" s="21">
        <v>-39014.638527818766</v>
      </c>
    </row>
    <row r="4284" spans="12:13" x14ac:dyDescent="0.2">
      <c r="L4284" s="4">
        <v>4278</v>
      </c>
      <c r="M4284" s="21">
        <v>-17687.893834159622</v>
      </c>
    </row>
    <row r="4285" spans="12:13" x14ac:dyDescent="0.2">
      <c r="L4285" s="4">
        <v>4279</v>
      </c>
      <c r="M4285" s="21">
        <v>-34381.361748832962</v>
      </c>
    </row>
    <row r="4286" spans="12:13" x14ac:dyDescent="0.2">
      <c r="L4286" s="4">
        <v>4280</v>
      </c>
      <c r="M4286" s="21">
        <v>-175700.78980673093</v>
      </c>
    </row>
    <row r="4287" spans="12:13" x14ac:dyDescent="0.2">
      <c r="L4287" s="4">
        <v>4281</v>
      </c>
      <c r="M4287" s="21">
        <v>-144907.73287238501</v>
      </c>
    </row>
    <row r="4288" spans="12:13" x14ac:dyDescent="0.2">
      <c r="L4288" s="4">
        <v>4282</v>
      </c>
      <c r="M4288" s="21">
        <v>-185056.54413642141</v>
      </c>
    </row>
    <row r="4289" spans="12:13" x14ac:dyDescent="0.2">
      <c r="L4289" s="4">
        <v>4283</v>
      </c>
      <c r="M4289" s="21">
        <v>-104269.53823352016</v>
      </c>
    </row>
    <row r="4290" spans="12:13" x14ac:dyDescent="0.2">
      <c r="L4290" s="4">
        <v>4284</v>
      </c>
      <c r="M4290" s="21">
        <v>-5726.288338725295</v>
      </c>
    </row>
    <row r="4291" spans="12:13" x14ac:dyDescent="0.2">
      <c r="L4291" s="4">
        <v>4285</v>
      </c>
      <c r="M4291" s="21">
        <v>169916.77222345621</v>
      </c>
    </row>
    <row r="4292" spans="12:13" x14ac:dyDescent="0.2">
      <c r="L4292" s="4">
        <v>4286</v>
      </c>
      <c r="M4292" s="21">
        <v>-62421.038826696938</v>
      </c>
    </row>
    <row r="4293" spans="12:13" x14ac:dyDescent="0.2">
      <c r="L4293" s="4">
        <v>4287</v>
      </c>
      <c r="M4293" s="21">
        <v>-59322.514375151266</v>
      </c>
    </row>
    <row r="4294" spans="12:13" x14ac:dyDescent="0.2">
      <c r="L4294" s="4">
        <v>4288</v>
      </c>
      <c r="M4294" s="21">
        <v>62514.970039322186</v>
      </c>
    </row>
    <row r="4295" spans="12:13" x14ac:dyDescent="0.2">
      <c r="L4295" s="4">
        <v>4289</v>
      </c>
      <c r="M4295" s="21">
        <v>-272689.29392257775</v>
      </c>
    </row>
    <row r="4296" spans="12:13" x14ac:dyDescent="0.2">
      <c r="L4296" s="4">
        <v>4290</v>
      </c>
      <c r="M4296" s="21">
        <v>200679.54316141756</v>
      </c>
    </row>
    <row r="4297" spans="12:13" x14ac:dyDescent="0.2">
      <c r="L4297" s="4">
        <v>4291</v>
      </c>
      <c r="M4297" s="21">
        <v>-62758.261587745481</v>
      </c>
    </row>
    <row r="4298" spans="12:13" x14ac:dyDescent="0.2">
      <c r="L4298" s="4">
        <v>4292</v>
      </c>
      <c r="M4298" s="21">
        <v>-1840.8916833242256</v>
      </c>
    </row>
    <row r="4299" spans="12:13" x14ac:dyDescent="0.2">
      <c r="L4299" s="4">
        <v>4293</v>
      </c>
      <c r="M4299" s="21">
        <v>-11231.683454878308</v>
      </c>
    </row>
    <row r="4300" spans="12:13" x14ac:dyDescent="0.2">
      <c r="L4300" s="4">
        <v>4294</v>
      </c>
      <c r="M4300" s="21">
        <v>53795.095872385195</v>
      </c>
    </row>
    <row r="4301" spans="12:13" x14ac:dyDescent="0.2">
      <c r="L4301" s="4">
        <v>4295</v>
      </c>
      <c r="M4301" s="21">
        <v>-209815.41277125722</v>
      </c>
    </row>
    <row r="4302" spans="12:13" x14ac:dyDescent="0.2">
      <c r="L4302" s="4">
        <v>4296</v>
      </c>
      <c r="M4302" s="21">
        <v>-268316.02824258246</v>
      </c>
    </row>
    <row r="4303" spans="12:13" x14ac:dyDescent="0.2">
      <c r="L4303" s="4">
        <v>4297</v>
      </c>
      <c r="M4303" s="21">
        <v>-259618.73772682861</v>
      </c>
    </row>
    <row r="4304" spans="12:13" x14ac:dyDescent="0.2">
      <c r="L4304" s="4">
        <v>4298</v>
      </c>
      <c r="M4304" s="21">
        <v>-88752.078952509051</v>
      </c>
    </row>
    <row r="4305" spans="12:13" x14ac:dyDescent="0.2">
      <c r="L4305" s="4">
        <v>4299</v>
      </c>
      <c r="M4305" s="21">
        <v>-269433.60791822692</v>
      </c>
    </row>
    <row r="4306" spans="12:13" x14ac:dyDescent="0.2">
      <c r="L4306" s="4">
        <v>4300</v>
      </c>
      <c r="M4306" s="21">
        <v>81521.02229245982</v>
      </c>
    </row>
    <row r="4307" spans="12:13" x14ac:dyDescent="0.2">
      <c r="L4307" s="4">
        <v>4301</v>
      </c>
      <c r="M4307" s="21">
        <v>33521.54449752369</v>
      </c>
    </row>
    <row r="4308" spans="12:13" x14ac:dyDescent="0.2">
      <c r="L4308" s="4">
        <v>4302</v>
      </c>
      <c r="M4308" s="21">
        <v>-81.840134546306217</v>
      </c>
    </row>
    <row r="4309" spans="12:13" x14ac:dyDescent="0.2">
      <c r="L4309" s="4">
        <v>4303</v>
      </c>
      <c r="M4309" s="21">
        <v>31461.101367663505</v>
      </c>
    </row>
    <row r="4310" spans="12:13" x14ac:dyDescent="0.2">
      <c r="L4310" s="4">
        <v>4304</v>
      </c>
      <c r="M4310" s="21">
        <v>-41164.977708006758</v>
      </c>
    </row>
    <row r="4311" spans="12:13" x14ac:dyDescent="0.2">
      <c r="L4311" s="4">
        <v>4305</v>
      </c>
      <c r="M4311" s="21">
        <v>91967.925680832152</v>
      </c>
    </row>
    <row r="4312" spans="12:13" x14ac:dyDescent="0.2">
      <c r="L4312" s="4">
        <v>4306</v>
      </c>
      <c r="M4312" s="21">
        <v>-114801.18468295947</v>
      </c>
    </row>
    <row r="4313" spans="12:13" x14ac:dyDescent="0.2">
      <c r="L4313" s="4">
        <v>4307</v>
      </c>
      <c r="M4313" s="21">
        <v>-90462.229574848054</v>
      </c>
    </row>
    <row r="4314" spans="12:13" x14ac:dyDescent="0.2">
      <c r="L4314" s="4">
        <v>4308</v>
      </c>
      <c r="M4314" s="21">
        <v>63172.564728891448</v>
      </c>
    </row>
    <row r="4315" spans="12:13" x14ac:dyDescent="0.2">
      <c r="L4315" s="4">
        <v>4309</v>
      </c>
      <c r="M4315" s="21">
        <v>-11129.168041846933</v>
      </c>
    </row>
    <row r="4316" spans="12:13" x14ac:dyDescent="0.2">
      <c r="L4316" s="4">
        <v>4310</v>
      </c>
      <c r="M4316" s="21">
        <v>253847.00679472985</v>
      </c>
    </row>
    <row r="4317" spans="12:13" x14ac:dyDescent="0.2">
      <c r="L4317" s="4">
        <v>4311</v>
      </c>
      <c r="M4317" s="21">
        <v>-114242.38853775704</v>
      </c>
    </row>
    <row r="4318" spans="12:13" x14ac:dyDescent="0.2">
      <c r="L4318" s="4">
        <v>4312</v>
      </c>
      <c r="M4318" s="21">
        <v>-67023.429134382328</v>
      </c>
    </row>
    <row r="4319" spans="12:13" x14ac:dyDescent="0.2">
      <c r="L4319" s="4">
        <v>4313</v>
      </c>
      <c r="M4319" s="21">
        <v>-329419.6296095046</v>
      </c>
    </row>
    <row r="4320" spans="12:13" x14ac:dyDescent="0.2">
      <c r="L4320" s="4">
        <v>4314</v>
      </c>
      <c r="M4320" s="21">
        <v>166251.62573518805</v>
      </c>
    </row>
    <row r="4321" spans="12:13" x14ac:dyDescent="0.2">
      <c r="L4321" s="4">
        <v>4315</v>
      </c>
      <c r="M4321" s="21">
        <v>290473.28263740352</v>
      </c>
    </row>
    <row r="4322" spans="12:13" x14ac:dyDescent="0.2">
      <c r="L4322" s="4">
        <v>4316</v>
      </c>
      <c r="M4322" s="21">
        <v>258701.39509398377</v>
      </c>
    </row>
    <row r="4323" spans="12:13" x14ac:dyDescent="0.2">
      <c r="L4323" s="4">
        <v>4317</v>
      </c>
      <c r="M4323" s="21">
        <v>9326.3214189111895</v>
      </c>
    </row>
    <row r="4324" spans="12:13" x14ac:dyDescent="0.2">
      <c r="L4324" s="4">
        <v>4318</v>
      </c>
      <c r="M4324" s="21">
        <v>-43014.161990914494</v>
      </c>
    </row>
    <row r="4325" spans="12:13" x14ac:dyDescent="0.2">
      <c r="L4325" s="4">
        <v>4319</v>
      </c>
      <c r="M4325" s="21">
        <v>-70090.285934219937</v>
      </c>
    </row>
    <row r="4326" spans="12:13" x14ac:dyDescent="0.2">
      <c r="L4326" s="4">
        <v>4320</v>
      </c>
      <c r="M4326" s="21">
        <v>-83972.533534744245</v>
      </c>
    </row>
    <row r="4327" spans="12:13" x14ac:dyDescent="0.2">
      <c r="L4327" s="4">
        <v>4321</v>
      </c>
      <c r="M4327" s="21">
        <v>-207091.92296430847</v>
      </c>
    </row>
    <row r="4328" spans="12:13" x14ac:dyDescent="0.2">
      <c r="L4328" s="4">
        <v>4322</v>
      </c>
      <c r="M4328" s="21">
        <v>-133556.78107845673</v>
      </c>
    </row>
    <row r="4329" spans="12:13" x14ac:dyDescent="0.2">
      <c r="L4329" s="4">
        <v>4323</v>
      </c>
      <c r="M4329" s="21">
        <v>-4356.20907428395</v>
      </c>
    </row>
    <row r="4330" spans="12:13" x14ac:dyDescent="0.2">
      <c r="L4330" s="4">
        <v>4324</v>
      </c>
      <c r="M4330" s="21">
        <v>-186780.77583850344</v>
      </c>
    </row>
    <row r="4331" spans="12:13" x14ac:dyDescent="0.2">
      <c r="L4331" s="4">
        <v>4325</v>
      </c>
      <c r="M4331" s="21">
        <v>80438.452097008674</v>
      </c>
    </row>
    <row r="4332" spans="12:13" x14ac:dyDescent="0.2">
      <c r="L4332" s="4">
        <v>4326</v>
      </c>
      <c r="M4332" s="21">
        <v>322922.73892948788</v>
      </c>
    </row>
    <row r="4333" spans="12:13" x14ac:dyDescent="0.2">
      <c r="L4333" s="4">
        <v>4327</v>
      </c>
      <c r="M4333" s="21">
        <v>-266538.03971719352</v>
      </c>
    </row>
    <row r="4334" spans="12:13" x14ac:dyDescent="0.2">
      <c r="L4334" s="4">
        <v>4328</v>
      </c>
      <c r="M4334" s="21">
        <v>-36717.078731225556</v>
      </c>
    </row>
    <row r="4335" spans="12:13" x14ac:dyDescent="0.2">
      <c r="L4335" s="4">
        <v>4329</v>
      </c>
      <c r="M4335" s="21">
        <v>2643.0220461448771</v>
      </c>
    </row>
    <row r="4336" spans="12:13" x14ac:dyDescent="0.2">
      <c r="L4336" s="4">
        <v>4330</v>
      </c>
      <c r="M4336" s="21">
        <v>-161691.16702506895</v>
      </c>
    </row>
    <row r="4337" spans="12:13" x14ac:dyDescent="0.2">
      <c r="L4337" s="4">
        <v>4331</v>
      </c>
      <c r="M4337" s="21">
        <v>44465.05962437726</v>
      </c>
    </row>
    <row r="4338" spans="12:13" x14ac:dyDescent="0.2">
      <c r="L4338" s="4">
        <v>4332</v>
      </c>
      <c r="M4338" s="21">
        <v>-249632.11984077108</v>
      </c>
    </row>
    <row r="4339" spans="12:13" x14ac:dyDescent="0.2">
      <c r="L4339" s="4">
        <v>4333</v>
      </c>
      <c r="M4339" s="21">
        <v>119627.35429739195</v>
      </c>
    </row>
    <row r="4340" spans="12:13" x14ac:dyDescent="0.2">
      <c r="L4340" s="4">
        <v>4334</v>
      </c>
      <c r="M4340" s="21">
        <v>-44117.502068747635</v>
      </c>
    </row>
    <row r="4341" spans="12:13" x14ac:dyDescent="0.2">
      <c r="L4341" s="4">
        <v>4335</v>
      </c>
      <c r="M4341" s="21">
        <v>-205720.23223282155</v>
      </c>
    </row>
    <row r="4342" spans="12:13" x14ac:dyDescent="0.2">
      <c r="L4342" s="4">
        <v>4336</v>
      </c>
      <c r="M4342" s="21">
        <v>-427378.23401533975</v>
      </c>
    </row>
    <row r="4343" spans="12:13" x14ac:dyDescent="0.2">
      <c r="L4343" s="4">
        <v>4337</v>
      </c>
      <c r="M4343" s="21">
        <v>-151401.68935192865</v>
      </c>
    </row>
    <row r="4344" spans="12:13" x14ac:dyDescent="0.2">
      <c r="L4344" s="4">
        <v>4338</v>
      </c>
      <c r="M4344" s="21">
        <v>-94268.944817271971</v>
      </c>
    </row>
    <row r="4345" spans="12:13" x14ac:dyDescent="0.2">
      <c r="L4345" s="4">
        <v>4339</v>
      </c>
      <c r="M4345" s="21">
        <v>19355.221759378503</v>
      </c>
    </row>
    <row r="4346" spans="12:13" x14ac:dyDescent="0.2">
      <c r="L4346" s="4">
        <v>4340</v>
      </c>
      <c r="M4346" s="21">
        <v>-21883.329723469753</v>
      </c>
    </row>
    <row r="4347" spans="12:13" x14ac:dyDescent="0.2">
      <c r="L4347" s="4">
        <v>4341</v>
      </c>
      <c r="M4347" s="21">
        <v>152548.0322112015</v>
      </c>
    </row>
    <row r="4348" spans="12:13" x14ac:dyDescent="0.2">
      <c r="L4348" s="4">
        <v>4342</v>
      </c>
      <c r="M4348" s="21">
        <v>52407.924441129871</v>
      </c>
    </row>
    <row r="4349" spans="12:13" x14ac:dyDescent="0.2">
      <c r="L4349" s="4">
        <v>4343</v>
      </c>
      <c r="M4349" s="21">
        <v>-87334.561237161601</v>
      </c>
    </row>
    <row r="4350" spans="12:13" x14ac:dyDescent="0.2">
      <c r="L4350" s="4">
        <v>4344</v>
      </c>
      <c r="M4350" s="21">
        <v>-253422.36518070949</v>
      </c>
    </row>
    <row r="4351" spans="12:13" x14ac:dyDescent="0.2">
      <c r="L4351" s="4">
        <v>4345</v>
      </c>
      <c r="M4351" s="21">
        <v>-223697.06899562466</v>
      </c>
    </row>
    <row r="4352" spans="12:13" x14ac:dyDescent="0.2">
      <c r="L4352" s="4">
        <v>4346</v>
      </c>
      <c r="M4352" s="21">
        <v>-80569.07178123921</v>
      </c>
    </row>
    <row r="4353" spans="12:13" x14ac:dyDescent="0.2">
      <c r="L4353" s="4">
        <v>4347</v>
      </c>
      <c r="M4353" s="21">
        <v>-167991.63206469256</v>
      </c>
    </row>
    <row r="4354" spans="12:13" x14ac:dyDescent="0.2">
      <c r="L4354" s="4">
        <v>4348</v>
      </c>
      <c r="M4354" s="21">
        <v>32693.240421399474</v>
      </c>
    </row>
    <row r="4355" spans="12:13" x14ac:dyDescent="0.2">
      <c r="L4355" s="4">
        <v>4349</v>
      </c>
      <c r="M4355" s="21">
        <v>-246376.66328677896</v>
      </c>
    </row>
    <row r="4356" spans="12:13" x14ac:dyDescent="0.2">
      <c r="L4356" s="4">
        <v>4350</v>
      </c>
      <c r="M4356" s="21">
        <v>-102659.82097860746</v>
      </c>
    </row>
    <row r="4357" spans="12:13" x14ac:dyDescent="0.2">
      <c r="L4357" s="4">
        <v>4351</v>
      </c>
      <c r="M4357" s="21">
        <v>46265.735634758952</v>
      </c>
    </row>
    <row r="4358" spans="12:13" x14ac:dyDescent="0.2">
      <c r="L4358" s="4">
        <v>4352</v>
      </c>
      <c r="M4358" s="21">
        <v>18105.681641853502</v>
      </c>
    </row>
    <row r="4359" spans="12:13" x14ac:dyDescent="0.2">
      <c r="L4359" s="4">
        <v>4353</v>
      </c>
      <c r="M4359" s="21">
        <v>-58874.120428374343</v>
      </c>
    </row>
    <row r="4360" spans="12:13" x14ac:dyDescent="0.2">
      <c r="L4360" s="4">
        <v>4354</v>
      </c>
      <c r="M4360" s="21">
        <v>162008.36493065456</v>
      </c>
    </row>
    <row r="4361" spans="12:13" x14ac:dyDescent="0.2">
      <c r="L4361" s="4">
        <v>4355</v>
      </c>
      <c r="M4361" s="21">
        <v>115252.82189100108</v>
      </c>
    </row>
    <row r="4362" spans="12:13" x14ac:dyDescent="0.2">
      <c r="L4362" s="4">
        <v>4356</v>
      </c>
      <c r="M4362" s="21">
        <v>-209025.18814874542</v>
      </c>
    </row>
    <row r="4363" spans="12:13" x14ac:dyDescent="0.2">
      <c r="L4363" s="4">
        <v>4357</v>
      </c>
      <c r="M4363" s="21">
        <v>50957.634420695831</v>
      </c>
    </row>
    <row r="4364" spans="12:13" x14ac:dyDescent="0.2">
      <c r="L4364" s="4">
        <v>4358</v>
      </c>
      <c r="M4364" s="21">
        <v>-74231.11527855265</v>
      </c>
    </row>
    <row r="4365" spans="12:13" x14ac:dyDescent="0.2">
      <c r="L4365" s="4">
        <v>4359</v>
      </c>
      <c r="M4365" s="21">
        <v>-66542.686813095628</v>
      </c>
    </row>
    <row r="4366" spans="12:13" x14ac:dyDescent="0.2">
      <c r="L4366" s="4">
        <v>4360</v>
      </c>
      <c r="M4366" s="21">
        <v>-24258.241513526009</v>
      </c>
    </row>
    <row r="4367" spans="12:13" x14ac:dyDescent="0.2">
      <c r="L4367" s="4">
        <v>4361</v>
      </c>
      <c r="M4367" s="21">
        <v>-68816.617831550961</v>
      </c>
    </row>
    <row r="4368" spans="12:13" x14ac:dyDescent="0.2">
      <c r="L4368" s="4">
        <v>4362</v>
      </c>
      <c r="M4368" s="21">
        <v>17543.807583809394</v>
      </c>
    </row>
    <row r="4369" spans="12:13" x14ac:dyDescent="0.2">
      <c r="L4369" s="4">
        <v>4363</v>
      </c>
      <c r="M4369" s="21">
        <v>16716.766737540544</v>
      </c>
    </row>
    <row r="4370" spans="12:13" x14ac:dyDescent="0.2">
      <c r="L4370" s="4">
        <v>4364</v>
      </c>
      <c r="M4370" s="21">
        <v>301691.82921079837</v>
      </c>
    </row>
    <row r="4371" spans="12:13" x14ac:dyDescent="0.2">
      <c r="L4371" s="4">
        <v>4365</v>
      </c>
      <c r="M4371" s="21">
        <v>59324.333957100578</v>
      </c>
    </row>
    <row r="4372" spans="12:13" x14ac:dyDescent="0.2">
      <c r="L4372" s="4">
        <v>4366</v>
      </c>
      <c r="M4372" s="21">
        <v>-128422.10394927843</v>
      </c>
    </row>
    <row r="4373" spans="12:13" x14ac:dyDescent="0.2">
      <c r="L4373" s="4">
        <v>4367</v>
      </c>
      <c r="M4373" s="21">
        <v>153155.2315466544</v>
      </c>
    </row>
    <row r="4374" spans="12:13" x14ac:dyDescent="0.2">
      <c r="L4374" s="4">
        <v>4368</v>
      </c>
      <c r="M4374" s="21">
        <v>-31116.400630617558</v>
      </c>
    </row>
    <row r="4375" spans="12:13" x14ac:dyDescent="0.2">
      <c r="L4375" s="4">
        <v>4369</v>
      </c>
      <c r="M4375" s="21">
        <v>198071.23827453499</v>
      </c>
    </row>
    <row r="4376" spans="12:13" x14ac:dyDescent="0.2">
      <c r="L4376" s="4">
        <v>4370</v>
      </c>
      <c r="M4376" s="21">
        <v>7857.4981046420289</v>
      </c>
    </row>
    <row r="4377" spans="12:13" x14ac:dyDescent="0.2">
      <c r="L4377" s="4">
        <v>4371</v>
      </c>
      <c r="M4377" s="21">
        <v>-262939.35513993655</v>
      </c>
    </row>
    <row r="4378" spans="12:13" x14ac:dyDescent="0.2">
      <c r="L4378" s="4">
        <v>4372</v>
      </c>
      <c r="M4378" s="21">
        <v>56344.545472428639</v>
      </c>
    </row>
    <row r="4379" spans="12:13" x14ac:dyDescent="0.2">
      <c r="L4379" s="4">
        <v>4373</v>
      </c>
      <c r="M4379" s="21">
        <v>-314622.23516693292</v>
      </c>
    </row>
    <row r="4380" spans="12:13" x14ac:dyDescent="0.2">
      <c r="L4380" s="4">
        <v>4374</v>
      </c>
      <c r="M4380" s="21">
        <v>10468.269939691498</v>
      </c>
    </row>
    <row r="4381" spans="12:13" x14ac:dyDescent="0.2">
      <c r="L4381" s="4">
        <v>4375</v>
      </c>
      <c r="M4381" s="21">
        <v>102622.45826970445</v>
      </c>
    </row>
    <row r="4382" spans="12:13" x14ac:dyDescent="0.2">
      <c r="L4382" s="4">
        <v>4376</v>
      </c>
      <c r="M4382" s="21">
        <v>-51416.302443221313</v>
      </c>
    </row>
    <row r="4383" spans="12:13" x14ac:dyDescent="0.2">
      <c r="L4383" s="4">
        <v>4377</v>
      </c>
      <c r="M4383" s="21">
        <v>65324.210806517396</v>
      </c>
    </row>
    <row r="4384" spans="12:13" x14ac:dyDescent="0.2">
      <c r="L4384" s="4">
        <v>4378</v>
      </c>
      <c r="M4384" s="21">
        <v>-243917.39053488662</v>
      </c>
    </row>
    <row r="4385" spans="12:13" x14ac:dyDescent="0.2">
      <c r="L4385" s="4">
        <v>4379</v>
      </c>
      <c r="M4385" s="21">
        <v>132079.96291334362</v>
      </c>
    </row>
    <row r="4386" spans="12:13" x14ac:dyDescent="0.2">
      <c r="L4386" s="4">
        <v>4380</v>
      </c>
      <c r="M4386" s="21">
        <v>157242.30044280569</v>
      </c>
    </row>
    <row r="4387" spans="12:13" x14ac:dyDescent="0.2">
      <c r="L4387" s="4">
        <v>4381</v>
      </c>
      <c r="M4387" s="21">
        <v>-149134.19044063537</v>
      </c>
    </row>
    <row r="4388" spans="12:13" x14ac:dyDescent="0.2">
      <c r="L4388" s="4">
        <v>4382</v>
      </c>
      <c r="M4388" s="21">
        <v>-99292.077169100885</v>
      </c>
    </row>
    <row r="4389" spans="12:13" x14ac:dyDescent="0.2">
      <c r="L4389" s="4">
        <v>4383</v>
      </c>
      <c r="M4389" s="21">
        <v>-50952.145317445422</v>
      </c>
    </row>
    <row r="4390" spans="12:13" x14ac:dyDescent="0.2">
      <c r="L4390" s="4">
        <v>4384</v>
      </c>
      <c r="M4390" s="21">
        <v>-31892.804871422704</v>
      </c>
    </row>
    <row r="4391" spans="12:13" x14ac:dyDescent="0.2">
      <c r="L4391" s="4">
        <v>4385</v>
      </c>
      <c r="M4391" s="21">
        <v>150569.6145987162</v>
      </c>
    </row>
    <row r="4392" spans="12:13" x14ac:dyDescent="0.2">
      <c r="L4392" s="4">
        <v>4386</v>
      </c>
      <c r="M4392" s="21">
        <v>105937.08529261983</v>
      </c>
    </row>
    <row r="4393" spans="12:13" x14ac:dyDescent="0.2">
      <c r="L4393" s="4">
        <v>4387</v>
      </c>
      <c r="M4393" s="21">
        <v>106453.65319145488</v>
      </c>
    </row>
    <row r="4394" spans="12:13" x14ac:dyDescent="0.2">
      <c r="L4394" s="4">
        <v>4388</v>
      </c>
      <c r="M4394" s="21">
        <v>11908.937252914591</v>
      </c>
    </row>
    <row r="4395" spans="12:13" x14ac:dyDescent="0.2">
      <c r="L4395" s="4">
        <v>4389</v>
      </c>
      <c r="M4395" s="21">
        <v>104704.86731195982</v>
      </c>
    </row>
    <row r="4396" spans="12:13" x14ac:dyDescent="0.2">
      <c r="L4396" s="4">
        <v>4390</v>
      </c>
      <c r="M4396" s="21">
        <v>123596.41396285835</v>
      </c>
    </row>
    <row r="4397" spans="12:13" x14ac:dyDescent="0.2">
      <c r="L4397" s="4">
        <v>4391</v>
      </c>
      <c r="M4397" s="21">
        <v>109473.48655204778</v>
      </c>
    </row>
    <row r="4398" spans="12:13" x14ac:dyDescent="0.2">
      <c r="L4398" s="4">
        <v>4392</v>
      </c>
      <c r="M4398" s="21">
        <v>-124563.6466012134</v>
      </c>
    </row>
    <row r="4399" spans="12:13" x14ac:dyDescent="0.2">
      <c r="L4399" s="4">
        <v>4393</v>
      </c>
      <c r="M4399" s="21">
        <v>-157283.02641520638</v>
      </c>
    </row>
    <row r="4400" spans="12:13" x14ac:dyDescent="0.2">
      <c r="L4400" s="4">
        <v>4394</v>
      </c>
      <c r="M4400" s="21">
        <v>-134097.91952956346</v>
      </c>
    </row>
    <row r="4401" spans="12:13" x14ac:dyDescent="0.2">
      <c r="L4401" s="4">
        <v>4395</v>
      </c>
      <c r="M4401" s="21">
        <v>138147.56978284504</v>
      </c>
    </row>
    <row r="4402" spans="12:13" x14ac:dyDescent="0.2">
      <c r="L4402" s="4">
        <v>4396</v>
      </c>
      <c r="M4402" s="21">
        <v>116432.67182464269</v>
      </c>
    </row>
    <row r="4403" spans="12:13" x14ac:dyDescent="0.2">
      <c r="L4403" s="4">
        <v>4397</v>
      </c>
      <c r="M4403" s="21">
        <v>-281681.10725808342</v>
      </c>
    </row>
    <row r="4404" spans="12:13" x14ac:dyDescent="0.2">
      <c r="L4404" s="4">
        <v>4398</v>
      </c>
      <c r="M4404" s="21">
        <v>105976.78106222654</v>
      </c>
    </row>
    <row r="4405" spans="12:13" x14ac:dyDescent="0.2">
      <c r="L4405" s="4">
        <v>4399</v>
      </c>
      <c r="M4405" s="21">
        <v>-200506.51151516024</v>
      </c>
    </row>
    <row r="4406" spans="12:13" x14ac:dyDescent="0.2">
      <c r="L4406" s="4">
        <v>4400</v>
      </c>
      <c r="M4406" s="21">
        <v>120237.04845179894</v>
      </c>
    </row>
    <row r="4407" spans="12:13" x14ac:dyDescent="0.2">
      <c r="L4407" s="4">
        <v>4401</v>
      </c>
      <c r="M4407" s="21">
        <v>-222948.11663238198</v>
      </c>
    </row>
    <row r="4408" spans="12:13" x14ac:dyDescent="0.2">
      <c r="L4408" s="4">
        <v>4402</v>
      </c>
      <c r="M4408" s="21">
        <v>-216785.31025223061</v>
      </c>
    </row>
    <row r="4409" spans="12:13" x14ac:dyDescent="0.2">
      <c r="L4409" s="4">
        <v>4403</v>
      </c>
      <c r="M4409" s="21">
        <v>80561.870941733301</v>
      </c>
    </row>
    <row r="4410" spans="12:13" x14ac:dyDescent="0.2">
      <c r="L4410" s="4">
        <v>4404</v>
      </c>
      <c r="M4410" s="21">
        <v>76742.400608045456</v>
      </c>
    </row>
    <row r="4411" spans="12:13" x14ac:dyDescent="0.2">
      <c r="L4411" s="4">
        <v>4405</v>
      </c>
      <c r="M4411" s="21">
        <v>-396580.71272632515</v>
      </c>
    </row>
    <row r="4412" spans="12:13" x14ac:dyDescent="0.2">
      <c r="L4412" s="4">
        <v>4406</v>
      </c>
      <c r="M4412" s="21">
        <v>87385.349948285817</v>
      </c>
    </row>
    <row r="4413" spans="12:13" x14ac:dyDescent="0.2">
      <c r="L4413" s="4">
        <v>4407</v>
      </c>
      <c r="M4413" s="21">
        <v>278355.54048210505</v>
      </c>
    </row>
    <row r="4414" spans="12:13" x14ac:dyDescent="0.2">
      <c r="L4414" s="4">
        <v>4408</v>
      </c>
      <c r="M4414" s="21">
        <v>77458.257118275069</v>
      </c>
    </row>
    <row r="4415" spans="12:13" x14ac:dyDescent="0.2">
      <c r="L4415" s="4">
        <v>4409</v>
      </c>
      <c r="M4415" s="21">
        <v>61402.956793966616</v>
      </c>
    </row>
    <row r="4416" spans="12:13" x14ac:dyDescent="0.2">
      <c r="L4416" s="4">
        <v>4410</v>
      </c>
      <c r="M4416" s="21">
        <v>-103243.74984884322</v>
      </c>
    </row>
    <row r="4417" spans="12:13" x14ac:dyDescent="0.2">
      <c r="L4417" s="4">
        <v>4411</v>
      </c>
      <c r="M4417" s="21">
        <v>275171.20659873</v>
      </c>
    </row>
    <row r="4418" spans="12:13" x14ac:dyDescent="0.2">
      <c r="L4418" s="4">
        <v>4412</v>
      </c>
      <c r="M4418" s="21">
        <v>-180247.41299054114</v>
      </c>
    </row>
    <row r="4419" spans="12:13" x14ac:dyDescent="0.2">
      <c r="L4419" s="4">
        <v>4413</v>
      </c>
      <c r="M4419" s="21">
        <v>89385.06055079517</v>
      </c>
    </row>
    <row r="4420" spans="12:13" x14ac:dyDescent="0.2">
      <c r="L4420" s="4">
        <v>4414</v>
      </c>
      <c r="M4420" s="21">
        <v>-194324.13987930055</v>
      </c>
    </row>
    <row r="4421" spans="12:13" x14ac:dyDescent="0.2">
      <c r="L4421" s="4">
        <v>4415</v>
      </c>
      <c r="M4421" s="21">
        <v>36939.783781991049</v>
      </c>
    </row>
    <row r="4422" spans="12:13" x14ac:dyDescent="0.2">
      <c r="L4422" s="4">
        <v>4416</v>
      </c>
      <c r="M4422" s="21">
        <v>16589.140353072231</v>
      </c>
    </row>
    <row r="4423" spans="12:13" x14ac:dyDescent="0.2">
      <c r="L4423" s="4">
        <v>4417</v>
      </c>
      <c r="M4423" s="21">
        <v>-285126.54157582682</v>
      </c>
    </row>
    <row r="4424" spans="12:13" x14ac:dyDescent="0.2">
      <c r="L4424" s="4">
        <v>4418</v>
      </c>
      <c r="M4424" s="21">
        <v>-123871.83304338244</v>
      </c>
    </row>
    <row r="4425" spans="12:13" x14ac:dyDescent="0.2">
      <c r="L4425" s="4">
        <v>4419</v>
      </c>
      <c r="M4425" s="21">
        <v>144776.42189873275</v>
      </c>
    </row>
    <row r="4426" spans="12:13" x14ac:dyDescent="0.2">
      <c r="L4426" s="4">
        <v>4420</v>
      </c>
      <c r="M4426" s="21">
        <v>-64465.017158534858</v>
      </c>
    </row>
    <row r="4427" spans="12:13" x14ac:dyDescent="0.2">
      <c r="L4427" s="4">
        <v>4421</v>
      </c>
      <c r="M4427" s="21">
        <v>-91167.08590159392</v>
      </c>
    </row>
    <row r="4428" spans="12:13" x14ac:dyDescent="0.2">
      <c r="L4428" s="4">
        <v>4422</v>
      </c>
      <c r="M4428" s="21">
        <v>-9595.8090719136526</v>
      </c>
    </row>
    <row r="4429" spans="12:13" x14ac:dyDescent="0.2">
      <c r="L4429" s="4">
        <v>4423</v>
      </c>
      <c r="M4429" s="21">
        <v>8292.1516759867663</v>
      </c>
    </row>
    <row r="4430" spans="12:13" x14ac:dyDescent="0.2">
      <c r="L4430" s="4">
        <v>4424</v>
      </c>
      <c r="M4430" s="21">
        <v>77963.099537774746</v>
      </c>
    </row>
    <row r="4431" spans="12:13" x14ac:dyDescent="0.2">
      <c r="L4431" s="4">
        <v>4425</v>
      </c>
      <c r="M4431" s="21">
        <v>-236699.56283688964</v>
      </c>
    </row>
    <row r="4432" spans="12:13" x14ac:dyDescent="0.2">
      <c r="L4432" s="4">
        <v>4426</v>
      </c>
      <c r="M4432" s="21">
        <v>-122356.26205672976</v>
      </c>
    </row>
    <row r="4433" spans="12:13" x14ac:dyDescent="0.2">
      <c r="L4433" s="4">
        <v>4427</v>
      </c>
      <c r="M4433" s="21">
        <v>136017.2833712539</v>
      </c>
    </row>
    <row r="4434" spans="12:13" x14ac:dyDescent="0.2">
      <c r="L4434" s="4">
        <v>4428</v>
      </c>
      <c r="M4434" s="21">
        <v>-10577.092030157815</v>
      </c>
    </row>
    <row r="4435" spans="12:13" x14ac:dyDescent="0.2">
      <c r="L4435" s="4">
        <v>4429</v>
      </c>
      <c r="M4435" s="21">
        <v>242276.62448883129</v>
      </c>
    </row>
    <row r="4436" spans="12:13" x14ac:dyDescent="0.2">
      <c r="L4436" s="4">
        <v>4430</v>
      </c>
      <c r="M4436" s="21">
        <v>-35813.664724510862</v>
      </c>
    </row>
    <row r="4437" spans="12:13" x14ac:dyDescent="0.2">
      <c r="L4437" s="4">
        <v>4431</v>
      </c>
      <c r="M4437" s="21">
        <v>-18586.215073861531</v>
      </c>
    </row>
    <row r="4438" spans="12:13" x14ac:dyDescent="0.2">
      <c r="L4438" s="4">
        <v>4432</v>
      </c>
      <c r="M4438" s="21">
        <v>-44088.146306587267</v>
      </c>
    </row>
    <row r="4439" spans="12:13" x14ac:dyDescent="0.2">
      <c r="L4439" s="4">
        <v>4433</v>
      </c>
      <c r="M4439" s="21">
        <v>-14460.266480525141</v>
      </c>
    </row>
    <row r="4440" spans="12:13" x14ac:dyDescent="0.2">
      <c r="L4440" s="4">
        <v>4434</v>
      </c>
      <c r="M4440" s="21">
        <v>14770.052093221864</v>
      </c>
    </row>
    <row r="4441" spans="12:13" x14ac:dyDescent="0.2">
      <c r="L4441" s="4">
        <v>4435</v>
      </c>
      <c r="M4441" s="21">
        <v>-99760.137717613412</v>
      </c>
    </row>
    <row r="4442" spans="12:13" x14ac:dyDescent="0.2">
      <c r="L4442" s="4">
        <v>4436</v>
      </c>
      <c r="M4442" s="21">
        <v>98041.444611961197</v>
      </c>
    </row>
    <row r="4443" spans="12:13" x14ac:dyDescent="0.2">
      <c r="L4443" s="4">
        <v>4437</v>
      </c>
      <c r="M4443" s="21">
        <v>-100415.18367614667</v>
      </c>
    </row>
    <row r="4444" spans="12:13" x14ac:dyDescent="0.2">
      <c r="L4444" s="4">
        <v>4438</v>
      </c>
      <c r="M4444" s="21">
        <v>-164423.09871993339</v>
      </c>
    </row>
    <row r="4445" spans="12:13" x14ac:dyDescent="0.2">
      <c r="L4445" s="4">
        <v>4439</v>
      </c>
      <c r="M4445" s="21">
        <v>-13711.168031158129</v>
      </c>
    </row>
    <row r="4446" spans="12:13" x14ac:dyDescent="0.2">
      <c r="L4446" s="4">
        <v>4440</v>
      </c>
      <c r="M4446" s="21">
        <v>105425.37282813989</v>
      </c>
    </row>
    <row r="4447" spans="12:13" x14ac:dyDescent="0.2">
      <c r="L4447" s="4">
        <v>4441</v>
      </c>
      <c r="M4447" s="21">
        <v>-182787.01081477705</v>
      </c>
    </row>
    <row r="4448" spans="12:13" x14ac:dyDescent="0.2">
      <c r="L4448" s="4">
        <v>4442</v>
      </c>
      <c r="M4448" s="21">
        <v>-262291.51825433678</v>
      </c>
    </row>
    <row r="4449" spans="12:13" x14ac:dyDescent="0.2">
      <c r="L4449" s="4">
        <v>4443</v>
      </c>
      <c r="M4449" s="21">
        <v>31236.205503494886</v>
      </c>
    </row>
    <row r="4450" spans="12:13" x14ac:dyDescent="0.2">
      <c r="L4450" s="4">
        <v>4444</v>
      </c>
      <c r="M4450" s="21">
        <v>15221.217340900417</v>
      </c>
    </row>
    <row r="4451" spans="12:13" x14ac:dyDescent="0.2">
      <c r="L4451" s="4">
        <v>4445</v>
      </c>
      <c r="M4451" s="21">
        <v>-5795.3400057053805</v>
      </c>
    </row>
    <row r="4452" spans="12:13" x14ac:dyDescent="0.2">
      <c r="L4452" s="4">
        <v>4446</v>
      </c>
      <c r="M4452" s="21">
        <v>69270.828602844704</v>
      </c>
    </row>
    <row r="4453" spans="12:13" x14ac:dyDescent="0.2">
      <c r="L4453" s="4">
        <v>4447</v>
      </c>
      <c r="M4453" s="21">
        <v>-265833.1981130307</v>
      </c>
    </row>
    <row r="4454" spans="12:13" x14ac:dyDescent="0.2">
      <c r="L4454" s="4">
        <v>4448</v>
      </c>
      <c r="M4454" s="21">
        <v>-109242.53272203253</v>
      </c>
    </row>
    <row r="4455" spans="12:13" x14ac:dyDescent="0.2">
      <c r="L4455" s="4">
        <v>4449</v>
      </c>
      <c r="M4455" s="21">
        <v>-318549.50051845587</v>
      </c>
    </row>
    <row r="4456" spans="12:13" x14ac:dyDescent="0.2">
      <c r="L4456" s="4">
        <v>4450</v>
      </c>
      <c r="M4456" s="21">
        <v>105521.79240771336</v>
      </c>
    </row>
    <row r="4457" spans="12:13" x14ac:dyDescent="0.2">
      <c r="L4457" s="4">
        <v>4451</v>
      </c>
      <c r="M4457" s="21">
        <v>141105.86738077519</v>
      </c>
    </row>
    <row r="4458" spans="12:13" x14ac:dyDescent="0.2">
      <c r="L4458" s="4">
        <v>4452</v>
      </c>
      <c r="M4458" s="21">
        <v>-79619.901415499684</v>
      </c>
    </row>
    <row r="4459" spans="12:13" x14ac:dyDescent="0.2">
      <c r="L4459" s="4">
        <v>4453</v>
      </c>
      <c r="M4459" s="21">
        <v>-82487.844555991644</v>
      </c>
    </row>
    <row r="4460" spans="12:13" x14ac:dyDescent="0.2">
      <c r="L4460" s="4">
        <v>4454</v>
      </c>
      <c r="M4460" s="21">
        <v>314241.6168707856</v>
      </c>
    </row>
    <row r="4461" spans="12:13" x14ac:dyDescent="0.2">
      <c r="L4461" s="4">
        <v>4455</v>
      </c>
      <c r="M4461" s="21">
        <v>-107156.83880703527</v>
      </c>
    </row>
    <row r="4462" spans="12:13" x14ac:dyDescent="0.2">
      <c r="L4462" s="4">
        <v>4456</v>
      </c>
      <c r="M4462" s="21">
        <v>-192440.84866877206</v>
      </c>
    </row>
    <row r="4463" spans="12:13" x14ac:dyDescent="0.2">
      <c r="L4463" s="4">
        <v>4457</v>
      </c>
      <c r="M4463" s="21">
        <v>-221215.23651688496</v>
      </c>
    </row>
    <row r="4464" spans="12:13" x14ac:dyDescent="0.2">
      <c r="L4464" s="4">
        <v>4458</v>
      </c>
      <c r="M4464" s="21">
        <v>9859.7596101007366</v>
      </c>
    </row>
    <row r="4465" spans="12:13" x14ac:dyDescent="0.2">
      <c r="L4465" s="4">
        <v>4459</v>
      </c>
      <c r="M4465" s="21">
        <v>-27678.200586590712</v>
      </c>
    </row>
    <row r="4466" spans="12:13" x14ac:dyDescent="0.2">
      <c r="L4466" s="4">
        <v>4460</v>
      </c>
      <c r="M4466" s="21">
        <v>38516.658109160227</v>
      </c>
    </row>
    <row r="4467" spans="12:13" x14ac:dyDescent="0.2">
      <c r="L4467" s="4">
        <v>4461</v>
      </c>
      <c r="M4467" s="21">
        <v>119879.10359762286</v>
      </c>
    </row>
    <row r="4468" spans="12:13" x14ac:dyDescent="0.2">
      <c r="L4468" s="4">
        <v>4462</v>
      </c>
      <c r="M4468" s="21">
        <v>-140487.96184419561</v>
      </c>
    </row>
    <row r="4469" spans="12:13" x14ac:dyDescent="0.2">
      <c r="L4469" s="4">
        <v>4463</v>
      </c>
      <c r="M4469" s="21">
        <v>-134827.23575139546</v>
      </c>
    </row>
    <row r="4470" spans="12:13" x14ac:dyDescent="0.2">
      <c r="L4470" s="4">
        <v>4464</v>
      </c>
      <c r="M4470" s="21">
        <v>-47473.742018848745</v>
      </c>
    </row>
    <row r="4471" spans="12:13" x14ac:dyDescent="0.2">
      <c r="L4471" s="4">
        <v>4465</v>
      </c>
      <c r="M4471" s="21">
        <v>104457.64035696239</v>
      </c>
    </row>
    <row r="4472" spans="12:13" x14ac:dyDescent="0.2">
      <c r="L4472" s="4">
        <v>4466</v>
      </c>
      <c r="M4472" s="21">
        <v>-83210.740231796997</v>
      </c>
    </row>
    <row r="4473" spans="12:13" x14ac:dyDescent="0.2">
      <c r="L4473" s="4">
        <v>4467</v>
      </c>
      <c r="M4473" s="21">
        <v>139176.56468933026</v>
      </c>
    </row>
    <row r="4474" spans="12:13" x14ac:dyDescent="0.2">
      <c r="L4474" s="4">
        <v>4468</v>
      </c>
      <c r="M4474" s="21">
        <v>25902.314540017775</v>
      </c>
    </row>
    <row r="4475" spans="12:13" x14ac:dyDescent="0.2">
      <c r="L4475" s="4">
        <v>4469</v>
      </c>
      <c r="M4475" s="21">
        <v>-397917.44876377721</v>
      </c>
    </row>
    <row r="4476" spans="12:13" x14ac:dyDescent="0.2">
      <c r="L4476" s="4">
        <v>4470</v>
      </c>
      <c r="M4476" s="21">
        <v>-22073.169473146991</v>
      </c>
    </row>
    <row r="4477" spans="12:13" x14ac:dyDescent="0.2">
      <c r="L4477" s="4">
        <v>4471</v>
      </c>
      <c r="M4477" s="21">
        <v>349373.85466127575</v>
      </c>
    </row>
    <row r="4478" spans="12:13" x14ac:dyDescent="0.2">
      <c r="L4478" s="4">
        <v>4472</v>
      </c>
      <c r="M4478" s="21">
        <v>40471.215462466265</v>
      </c>
    </row>
    <row r="4479" spans="12:13" x14ac:dyDescent="0.2">
      <c r="L4479" s="4">
        <v>4473</v>
      </c>
      <c r="M4479" s="21">
        <v>-102210.65577160097</v>
      </c>
    </row>
    <row r="4480" spans="12:13" x14ac:dyDescent="0.2">
      <c r="L4480" s="4">
        <v>4474</v>
      </c>
      <c r="M4480" s="21">
        <v>-22396.219535884142</v>
      </c>
    </row>
    <row r="4481" spans="12:13" x14ac:dyDescent="0.2">
      <c r="L4481" s="4">
        <v>4475</v>
      </c>
      <c r="M4481" s="21">
        <v>-209112.11222849975</v>
      </c>
    </row>
    <row r="4482" spans="12:13" x14ac:dyDescent="0.2">
      <c r="L4482" s="4">
        <v>4476</v>
      </c>
      <c r="M4482" s="21">
        <v>148753.67226311998</v>
      </c>
    </row>
    <row r="4483" spans="12:13" x14ac:dyDescent="0.2">
      <c r="L4483" s="4">
        <v>4477</v>
      </c>
      <c r="M4483" s="21">
        <v>-37140.054005455386</v>
      </c>
    </row>
    <row r="4484" spans="12:13" x14ac:dyDescent="0.2">
      <c r="L4484" s="4">
        <v>4478</v>
      </c>
      <c r="M4484" s="21">
        <v>-50423.820170700361</v>
      </c>
    </row>
    <row r="4485" spans="12:13" x14ac:dyDescent="0.2">
      <c r="L4485" s="4">
        <v>4479</v>
      </c>
      <c r="M4485" s="21">
        <v>95849.380401219445</v>
      </c>
    </row>
    <row r="4486" spans="12:13" x14ac:dyDescent="0.2">
      <c r="L4486" s="4">
        <v>4480</v>
      </c>
      <c r="M4486" s="21">
        <v>54959.626608061284</v>
      </c>
    </row>
    <row r="4487" spans="12:13" x14ac:dyDescent="0.2">
      <c r="L4487" s="4">
        <v>4481</v>
      </c>
      <c r="M4487" s="21">
        <v>119504.08713522277</v>
      </c>
    </row>
    <row r="4488" spans="12:13" x14ac:dyDescent="0.2">
      <c r="L4488" s="4">
        <v>4482</v>
      </c>
      <c r="M4488" s="21">
        <v>32102.264675722516</v>
      </c>
    </row>
    <row r="4489" spans="12:13" x14ac:dyDescent="0.2">
      <c r="L4489" s="4">
        <v>4483</v>
      </c>
      <c r="M4489" s="21">
        <v>-52093.686547924852</v>
      </c>
    </row>
    <row r="4490" spans="12:13" x14ac:dyDescent="0.2">
      <c r="L4490" s="4">
        <v>4484</v>
      </c>
      <c r="M4490" s="21">
        <v>-16673.000852866782</v>
      </c>
    </row>
    <row r="4491" spans="12:13" x14ac:dyDescent="0.2">
      <c r="L4491" s="4">
        <v>4485</v>
      </c>
      <c r="M4491" s="21">
        <v>-269595.14756665344</v>
      </c>
    </row>
    <row r="4492" spans="12:13" x14ac:dyDescent="0.2">
      <c r="L4492" s="4">
        <v>4486</v>
      </c>
      <c r="M4492" s="21">
        <v>15987.13504777936</v>
      </c>
    </row>
    <row r="4493" spans="12:13" x14ac:dyDescent="0.2">
      <c r="L4493" s="4">
        <v>4487</v>
      </c>
      <c r="M4493" s="21">
        <v>-40375.914391508486</v>
      </c>
    </row>
    <row r="4494" spans="12:13" x14ac:dyDescent="0.2">
      <c r="L4494" s="4">
        <v>4488</v>
      </c>
      <c r="M4494" s="21">
        <v>-183048.85770098306</v>
      </c>
    </row>
    <row r="4495" spans="12:13" x14ac:dyDescent="0.2">
      <c r="L4495" s="4">
        <v>4489</v>
      </c>
      <c r="M4495" s="21">
        <v>-123176.58292347137</v>
      </c>
    </row>
    <row r="4496" spans="12:13" x14ac:dyDescent="0.2">
      <c r="L4496" s="4">
        <v>4490</v>
      </c>
      <c r="M4496" s="21">
        <v>31609.975664072961</v>
      </c>
    </row>
    <row r="4497" spans="12:13" x14ac:dyDescent="0.2">
      <c r="L4497" s="4">
        <v>4491</v>
      </c>
      <c r="M4497" s="21">
        <v>170795.74085467559</v>
      </c>
    </row>
    <row r="4498" spans="12:13" x14ac:dyDescent="0.2">
      <c r="L4498" s="4">
        <v>4492</v>
      </c>
      <c r="M4498" s="21">
        <v>-104166.54954091585</v>
      </c>
    </row>
    <row r="4499" spans="12:13" x14ac:dyDescent="0.2">
      <c r="L4499" s="4">
        <v>4493</v>
      </c>
      <c r="M4499" s="21">
        <v>-350257.30877601524</v>
      </c>
    </row>
    <row r="4500" spans="12:13" x14ac:dyDescent="0.2">
      <c r="L4500" s="4">
        <v>4494</v>
      </c>
      <c r="M4500" s="21">
        <v>-224701.48173535982</v>
      </c>
    </row>
    <row r="4501" spans="12:13" x14ac:dyDescent="0.2">
      <c r="L4501" s="4">
        <v>4495</v>
      </c>
      <c r="M4501" s="21">
        <v>-18952.536782103838</v>
      </c>
    </row>
    <row r="4502" spans="12:13" x14ac:dyDescent="0.2">
      <c r="L4502" s="4">
        <v>4496</v>
      </c>
      <c r="M4502" s="21">
        <v>-74704.443487010809</v>
      </c>
    </row>
    <row r="4503" spans="12:13" x14ac:dyDescent="0.2">
      <c r="L4503" s="4">
        <v>4497</v>
      </c>
      <c r="M4503" s="21">
        <v>-66209.179795078133</v>
      </c>
    </row>
    <row r="4504" spans="12:13" x14ac:dyDescent="0.2">
      <c r="L4504" s="4">
        <v>4498</v>
      </c>
      <c r="M4504" s="21">
        <v>37916.941829473624</v>
      </c>
    </row>
    <row r="4505" spans="12:13" x14ac:dyDescent="0.2">
      <c r="L4505" s="4">
        <v>4499</v>
      </c>
      <c r="M4505" s="21">
        <v>-32006.646253594459</v>
      </c>
    </row>
    <row r="4506" spans="12:13" x14ac:dyDescent="0.2">
      <c r="L4506" s="4">
        <v>4500</v>
      </c>
      <c r="M4506" s="21">
        <v>-13675.093374761083</v>
      </c>
    </row>
    <row r="4507" spans="12:13" x14ac:dyDescent="0.2">
      <c r="L4507" s="4">
        <v>4501</v>
      </c>
      <c r="M4507" s="21">
        <v>32673.273399373837</v>
      </c>
    </row>
    <row r="4508" spans="12:13" x14ac:dyDescent="0.2">
      <c r="L4508" s="4">
        <v>4502</v>
      </c>
      <c r="M4508" s="21">
        <v>13664.431518781843</v>
      </c>
    </row>
    <row r="4509" spans="12:13" x14ac:dyDescent="0.2">
      <c r="L4509" s="4">
        <v>4503</v>
      </c>
      <c r="M4509" s="21">
        <v>222068.64249748579</v>
      </c>
    </row>
    <row r="4510" spans="12:13" x14ac:dyDescent="0.2">
      <c r="L4510" s="4">
        <v>4504</v>
      </c>
      <c r="M4510" s="21">
        <v>-321754.89931137516</v>
      </c>
    </row>
    <row r="4511" spans="12:13" x14ac:dyDescent="0.2">
      <c r="L4511" s="4">
        <v>4505</v>
      </c>
      <c r="M4511" s="21">
        <v>-130390.32090276807</v>
      </c>
    </row>
    <row r="4512" spans="12:13" x14ac:dyDescent="0.2">
      <c r="L4512" s="4">
        <v>4506</v>
      </c>
      <c r="M4512" s="21">
        <v>-131456.63124628275</v>
      </c>
    </row>
    <row r="4513" spans="12:13" x14ac:dyDescent="0.2">
      <c r="L4513" s="4">
        <v>4507</v>
      </c>
      <c r="M4513" s="21">
        <v>137344.83104239151</v>
      </c>
    </row>
    <row r="4514" spans="12:13" x14ac:dyDescent="0.2">
      <c r="L4514" s="4">
        <v>4508</v>
      </c>
      <c r="M4514" s="21">
        <v>-125355.10085594482</v>
      </c>
    </row>
    <row r="4515" spans="12:13" x14ac:dyDescent="0.2">
      <c r="L4515" s="4">
        <v>4509</v>
      </c>
      <c r="M4515" s="21">
        <v>7293.8124541922589</v>
      </c>
    </row>
    <row r="4516" spans="12:13" x14ac:dyDescent="0.2">
      <c r="L4516" s="4">
        <v>4510</v>
      </c>
      <c r="M4516" s="21">
        <v>-10886.341875465892</v>
      </c>
    </row>
    <row r="4517" spans="12:13" x14ac:dyDescent="0.2">
      <c r="L4517" s="4">
        <v>4511</v>
      </c>
      <c r="M4517" s="21">
        <v>-220505.87446887841</v>
      </c>
    </row>
    <row r="4518" spans="12:13" x14ac:dyDescent="0.2">
      <c r="L4518" s="4">
        <v>4512</v>
      </c>
      <c r="M4518" s="21">
        <v>92291.823029302817</v>
      </c>
    </row>
    <row r="4519" spans="12:13" x14ac:dyDescent="0.2">
      <c r="L4519" s="4">
        <v>4513</v>
      </c>
      <c r="M4519" s="21">
        <v>197576.05619085432</v>
      </c>
    </row>
    <row r="4520" spans="12:13" x14ac:dyDescent="0.2">
      <c r="L4520" s="4">
        <v>4514</v>
      </c>
      <c r="M4520" s="21">
        <v>190196.6767575969</v>
      </c>
    </row>
    <row r="4521" spans="12:13" x14ac:dyDescent="0.2">
      <c r="L4521" s="4">
        <v>4515</v>
      </c>
      <c r="M4521" s="21">
        <v>-148334.74141441492</v>
      </c>
    </row>
    <row r="4522" spans="12:13" x14ac:dyDescent="0.2">
      <c r="L4522" s="4">
        <v>4516</v>
      </c>
      <c r="M4522" s="21">
        <v>98509.952312909474</v>
      </c>
    </row>
    <row r="4523" spans="12:13" x14ac:dyDescent="0.2">
      <c r="L4523" s="4">
        <v>4517</v>
      </c>
      <c r="M4523" s="21">
        <v>-192244.39071030371</v>
      </c>
    </row>
    <row r="4524" spans="12:13" x14ac:dyDescent="0.2">
      <c r="L4524" s="4">
        <v>4518</v>
      </c>
      <c r="M4524" s="21">
        <v>38369.26871341627</v>
      </c>
    </row>
    <row r="4525" spans="12:13" x14ac:dyDescent="0.2">
      <c r="L4525" s="4">
        <v>4519</v>
      </c>
      <c r="M4525" s="21">
        <v>-108852.78825709884</v>
      </c>
    </row>
    <row r="4526" spans="12:13" x14ac:dyDescent="0.2">
      <c r="L4526" s="4">
        <v>4520</v>
      </c>
      <c r="M4526" s="21">
        <v>-7304.2479997286573</v>
      </c>
    </row>
    <row r="4527" spans="12:13" x14ac:dyDescent="0.2">
      <c r="L4527" s="4">
        <v>4521</v>
      </c>
      <c r="M4527" s="21">
        <v>139565.0194806004</v>
      </c>
    </row>
    <row r="4528" spans="12:13" x14ac:dyDescent="0.2">
      <c r="L4528" s="4">
        <v>4522</v>
      </c>
      <c r="M4528" s="21">
        <v>-16199.344286882115</v>
      </c>
    </row>
    <row r="4529" spans="12:13" x14ac:dyDescent="0.2">
      <c r="L4529" s="4">
        <v>4523</v>
      </c>
      <c r="M4529" s="21">
        <v>32537.749735899444</v>
      </c>
    </row>
    <row r="4530" spans="12:13" x14ac:dyDescent="0.2">
      <c r="L4530" s="4">
        <v>4524</v>
      </c>
      <c r="M4530" s="21">
        <v>-257819.36496337532</v>
      </c>
    </row>
    <row r="4531" spans="12:13" x14ac:dyDescent="0.2">
      <c r="L4531" s="4">
        <v>4525</v>
      </c>
      <c r="M4531" s="21">
        <v>115731.768534103</v>
      </c>
    </row>
    <row r="4532" spans="12:13" x14ac:dyDescent="0.2">
      <c r="L4532" s="4">
        <v>4526</v>
      </c>
      <c r="M4532" s="21">
        <v>-116656.00275770812</v>
      </c>
    </row>
    <row r="4533" spans="12:13" x14ac:dyDescent="0.2">
      <c r="L4533" s="4">
        <v>4527</v>
      </c>
      <c r="M4533" s="21">
        <v>92589.373236249463</v>
      </c>
    </row>
    <row r="4534" spans="12:13" x14ac:dyDescent="0.2">
      <c r="L4534" s="4">
        <v>4528</v>
      </c>
      <c r="M4534" s="21">
        <v>-39118.098138221118</v>
      </c>
    </row>
    <row r="4535" spans="12:13" x14ac:dyDescent="0.2">
      <c r="L4535" s="4">
        <v>4529</v>
      </c>
      <c r="M4535" s="21">
        <v>102750.32985753586</v>
      </c>
    </row>
    <row r="4536" spans="12:13" x14ac:dyDescent="0.2">
      <c r="L4536" s="4">
        <v>4530</v>
      </c>
      <c r="M4536" s="21">
        <v>17311.325382028183</v>
      </c>
    </row>
    <row r="4537" spans="12:13" x14ac:dyDescent="0.2">
      <c r="L4537" s="4">
        <v>4531</v>
      </c>
      <c r="M4537" s="21">
        <v>129923.28481710912</v>
      </c>
    </row>
    <row r="4538" spans="12:13" x14ac:dyDescent="0.2">
      <c r="L4538" s="4">
        <v>4532</v>
      </c>
      <c r="M4538" s="21">
        <v>-75964.463175030105</v>
      </c>
    </row>
    <row r="4539" spans="12:13" x14ac:dyDescent="0.2">
      <c r="L4539" s="4">
        <v>4533</v>
      </c>
      <c r="M4539" s="21">
        <v>44093.20637861357</v>
      </c>
    </row>
    <row r="4540" spans="12:13" x14ac:dyDescent="0.2">
      <c r="L4540" s="4">
        <v>4534</v>
      </c>
      <c r="M4540" s="21">
        <v>19609.667532391963</v>
      </c>
    </row>
    <row r="4541" spans="12:13" x14ac:dyDescent="0.2">
      <c r="L4541" s="4">
        <v>4535</v>
      </c>
      <c r="M4541" s="21">
        <v>-72602.264488180372</v>
      </c>
    </row>
    <row r="4542" spans="12:13" x14ac:dyDescent="0.2">
      <c r="L4542" s="4">
        <v>4536</v>
      </c>
      <c r="M4542" s="21">
        <v>273125.70563333988</v>
      </c>
    </row>
    <row r="4543" spans="12:13" x14ac:dyDescent="0.2">
      <c r="L4543" s="4">
        <v>4537</v>
      </c>
      <c r="M4543" s="21">
        <v>-15665.477493249491</v>
      </c>
    </row>
    <row r="4544" spans="12:13" x14ac:dyDescent="0.2">
      <c r="L4544" s="4">
        <v>4538</v>
      </c>
      <c r="M4544" s="21">
        <v>-101332.79964864675</v>
      </c>
    </row>
    <row r="4545" spans="12:13" x14ac:dyDescent="0.2">
      <c r="L4545" s="4">
        <v>4539</v>
      </c>
      <c r="M4545" s="21">
        <v>11099.580660169828</v>
      </c>
    </row>
    <row r="4546" spans="12:13" x14ac:dyDescent="0.2">
      <c r="L4546" s="4">
        <v>4540</v>
      </c>
      <c r="M4546" s="21">
        <v>1890.5324536619883</v>
      </c>
    </row>
    <row r="4547" spans="12:13" x14ac:dyDescent="0.2">
      <c r="L4547" s="4">
        <v>4541</v>
      </c>
      <c r="M4547" s="21">
        <v>-3994.3677205235872</v>
      </c>
    </row>
    <row r="4548" spans="12:13" x14ac:dyDescent="0.2">
      <c r="L4548" s="4">
        <v>4542</v>
      </c>
      <c r="M4548" s="21">
        <v>-21737.972211345696</v>
      </c>
    </row>
    <row r="4549" spans="12:13" x14ac:dyDescent="0.2">
      <c r="L4549" s="4">
        <v>4543</v>
      </c>
      <c r="M4549" s="21">
        <v>-65763.849618920649</v>
      </c>
    </row>
    <row r="4550" spans="12:13" x14ac:dyDescent="0.2">
      <c r="L4550" s="4">
        <v>4544</v>
      </c>
      <c r="M4550" s="21">
        <v>54162.758253129025</v>
      </c>
    </row>
    <row r="4551" spans="12:13" x14ac:dyDescent="0.2">
      <c r="L4551" s="4">
        <v>4545</v>
      </c>
      <c r="M4551" s="21">
        <v>53820.503080927534</v>
      </c>
    </row>
    <row r="4552" spans="12:13" x14ac:dyDescent="0.2">
      <c r="L4552" s="4">
        <v>4546</v>
      </c>
      <c r="M4552" s="21">
        <v>48137.02472849944</v>
      </c>
    </row>
    <row r="4553" spans="12:13" x14ac:dyDescent="0.2">
      <c r="L4553" s="4">
        <v>4547</v>
      </c>
      <c r="M4553" s="21">
        <v>252642.76648173918</v>
      </c>
    </row>
    <row r="4554" spans="12:13" x14ac:dyDescent="0.2">
      <c r="L4554" s="4">
        <v>4548</v>
      </c>
      <c r="M4554" s="21">
        <v>-76112.732321423755</v>
      </c>
    </row>
    <row r="4555" spans="12:13" x14ac:dyDescent="0.2">
      <c r="L4555" s="4">
        <v>4549</v>
      </c>
      <c r="M4555" s="21">
        <v>-102827.05182256775</v>
      </c>
    </row>
    <row r="4556" spans="12:13" x14ac:dyDescent="0.2">
      <c r="L4556" s="4">
        <v>4550</v>
      </c>
      <c r="M4556" s="21">
        <v>-101515.19574992382</v>
      </c>
    </row>
    <row r="4557" spans="12:13" x14ac:dyDescent="0.2">
      <c r="L4557" s="4">
        <v>4551</v>
      </c>
      <c r="M4557" s="21">
        <v>127287.1391894827</v>
      </c>
    </row>
    <row r="4558" spans="12:13" x14ac:dyDescent="0.2">
      <c r="L4558" s="4">
        <v>4552</v>
      </c>
      <c r="M4558" s="21">
        <v>-275954.57577123278</v>
      </c>
    </row>
    <row r="4559" spans="12:13" x14ac:dyDescent="0.2">
      <c r="L4559" s="4">
        <v>4553</v>
      </c>
      <c r="M4559" s="21">
        <v>-106.48973249302071</v>
      </c>
    </row>
    <row r="4560" spans="12:13" x14ac:dyDescent="0.2">
      <c r="L4560" s="4">
        <v>4554</v>
      </c>
      <c r="M4560" s="21">
        <v>-12945.468165429731</v>
      </c>
    </row>
    <row r="4561" spans="12:13" x14ac:dyDescent="0.2">
      <c r="L4561" s="4">
        <v>4555</v>
      </c>
      <c r="M4561" s="21">
        <v>-327335.67080415646</v>
      </c>
    </row>
    <row r="4562" spans="12:13" x14ac:dyDescent="0.2">
      <c r="L4562" s="4">
        <v>4556</v>
      </c>
      <c r="M4562" s="21">
        <v>295117.48258313758</v>
      </c>
    </row>
    <row r="4563" spans="12:13" x14ac:dyDescent="0.2">
      <c r="L4563" s="4">
        <v>4557</v>
      </c>
      <c r="M4563" s="21">
        <v>98299.335021867038</v>
      </c>
    </row>
    <row r="4564" spans="12:13" x14ac:dyDescent="0.2">
      <c r="L4564" s="4">
        <v>4558</v>
      </c>
      <c r="M4564" s="21">
        <v>24219.49763186893</v>
      </c>
    </row>
    <row r="4565" spans="12:13" x14ac:dyDescent="0.2">
      <c r="L4565" s="4">
        <v>4559</v>
      </c>
      <c r="M4565" s="21">
        <v>112342.98222339869</v>
      </c>
    </row>
    <row r="4566" spans="12:13" x14ac:dyDescent="0.2">
      <c r="L4566" s="4">
        <v>4560</v>
      </c>
      <c r="M4566" s="21">
        <v>-229359.86417005653</v>
      </c>
    </row>
    <row r="4567" spans="12:13" x14ac:dyDescent="0.2">
      <c r="L4567" s="4">
        <v>4561</v>
      </c>
      <c r="M4567" s="21">
        <v>-251507.30131979409</v>
      </c>
    </row>
    <row r="4568" spans="12:13" x14ac:dyDescent="0.2">
      <c r="L4568" s="4">
        <v>4562</v>
      </c>
      <c r="M4568" s="21">
        <v>115213.4732240072</v>
      </c>
    </row>
    <row r="4569" spans="12:13" x14ac:dyDescent="0.2">
      <c r="L4569" s="4">
        <v>4563</v>
      </c>
      <c r="M4569" s="21">
        <v>22071.913762298354</v>
      </c>
    </row>
    <row r="4570" spans="12:13" x14ac:dyDescent="0.2">
      <c r="L4570" s="4">
        <v>4564</v>
      </c>
      <c r="M4570" s="21">
        <v>155327.58808600676</v>
      </c>
    </row>
    <row r="4571" spans="12:13" x14ac:dyDescent="0.2">
      <c r="L4571" s="4">
        <v>4565</v>
      </c>
      <c r="M4571" s="21">
        <v>1803.5039448764583</v>
      </c>
    </row>
    <row r="4572" spans="12:13" x14ac:dyDescent="0.2">
      <c r="L4572" s="4">
        <v>4566</v>
      </c>
      <c r="M4572" s="21">
        <v>-115416.32452157135</v>
      </c>
    </row>
    <row r="4573" spans="12:13" x14ac:dyDescent="0.2">
      <c r="L4573" s="4">
        <v>4567</v>
      </c>
      <c r="M4573" s="21">
        <v>-157958.34293981257</v>
      </c>
    </row>
    <row r="4574" spans="12:13" x14ac:dyDescent="0.2">
      <c r="L4574" s="4">
        <v>4568</v>
      </c>
      <c r="M4574" s="21">
        <v>-50271.06275187443</v>
      </c>
    </row>
    <row r="4575" spans="12:13" x14ac:dyDescent="0.2">
      <c r="L4575" s="4">
        <v>4569</v>
      </c>
      <c r="M4575" s="21">
        <v>179693.6835661892</v>
      </c>
    </row>
    <row r="4576" spans="12:13" x14ac:dyDescent="0.2">
      <c r="L4576" s="4">
        <v>4570</v>
      </c>
      <c r="M4576" s="21">
        <v>82927.363579586498</v>
      </c>
    </row>
    <row r="4577" spans="12:13" x14ac:dyDescent="0.2">
      <c r="L4577" s="4">
        <v>4571</v>
      </c>
      <c r="M4577" s="21">
        <v>179.21116605542193</v>
      </c>
    </row>
    <row r="4578" spans="12:13" x14ac:dyDescent="0.2">
      <c r="L4578" s="4">
        <v>4572</v>
      </c>
      <c r="M4578" s="21">
        <v>-194716.7727417594</v>
      </c>
    </row>
    <row r="4579" spans="12:13" x14ac:dyDescent="0.2">
      <c r="L4579" s="4">
        <v>4573</v>
      </c>
      <c r="M4579" s="21">
        <v>221008.77068881449</v>
      </c>
    </row>
    <row r="4580" spans="12:13" x14ac:dyDescent="0.2">
      <c r="L4580" s="4">
        <v>4574</v>
      </c>
      <c r="M4580" s="21">
        <v>-35777.578650274489</v>
      </c>
    </row>
    <row r="4581" spans="12:13" x14ac:dyDescent="0.2">
      <c r="L4581" s="4">
        <v>4575</v>
      </c>
      <c r="M4581" s="21">
        <v>57831.620152191841</v>
      </c>
    </row>
    <row r="4582" spans="12:13" x14ac:dyDescent="0.2">
      <c r="L4582" s="4">
        <v>4576</v>
      </c>
      <c r="M4582" s="21">
        <v>-158232.60068809471</v>
      </c>
    </row>
    <row r="4583" spans="12:13" x14ac:dyDescent="0.2">
      <c r="L4583" s="4">
        <v>4577</v>
      </c>
      <c r="M4583" s="21">
        <v>138045.93398540409</v>
      </c>
    </row>
    <row r="4584" spans="12:13" x14ac:dyDescent="0.2">
      <c r="L4584" s="4">
        <v>4578</v>
      </c>
      <c r="M4584" s="21">
        <v>2111.5290099379199</v>
      </c>
    </row>
    <row r="4585" spans="12:13" x14ac:dyDescent="0.2">
      <c r="L4585" s="4">
        <v>4579</v>
      </c>
      <c r="M4585" s="21">
        <v>-168968.94090822109</v>
      </c>
    </row>
    <row r="4586" spans="12:13" x14ac:dyDescent="0.2">
      <c r="L4586" s="4">
        <v>4580</v>
      </c>
      <c r="M4586" s="21">
        <v>-162087.52274370764</v>
      </c>
    </row>
    <row r="4587" spans="12:13" x14ac:dyDescent="0.2">
      <c r="L4587" s="4">
        <v>4581</v>
      </c>
      <c r="M4587" s="21">
        <v>87989.435236575315</v>
      </c>
    </row>
    <row r="4588" spans="12:13" x14ac:dyDescent="0.2">
      <c r="L4588" s="4">
        <v>4582</v>
      </c>
      <c r="M4588" s="21">
        <v>18338.721108213096</v>
      </c>
    </row>
    <row r="4589" spans="12:13" x14ac:dyDescent="0.2">
      <c r="L4589" s="4">
        <v>4583</v>
      </c>
      <c r="M4589" s="21">
        <v>-267066.35589047987</v>
      </c>
    </row>
    <row r="4590" spans="12:13" x14ac:dyDescent="0.2">
      <c r="L4590" s="4">
        <v>4584</v>
      </c>
      <c r="M4590" s="21">
        <v>-168779.81378018938</v>
      </c>
    </row>
    <row r="4591" spans="12:13" x14ac:dyDescent="0.2">
      <c r="L4591" s="4">
        <v>4585</v>
      </c>
      <c r="M4591" s="21">
        <v>60308.304394169711</v>
      </c>
    </row>
    <row r="4592" spans="12:13" x14ac:dyDescent="0.2">
      <c r="L4592" s="4">
        <v>4586</v>
      </c>
      <c r="M4592" s="21">
        <v>373105.59949709749</v>
      </c>
    </row>
    <row r="4593" spans="12:13" x14ac:dyDescent="0.2">
      <c r="L4593" s="4">
        <v>4587</v>
      </c>
      <c r="M4593" s="21">
        <v>267148.35920433665</v>
      </c>
    </row>
    <row r="4594" spans="12:13" x14ac:dyDescent="0.2">
      <c r="L4594" s="4">
        <v>4588</v>
      </c>
      <c r="M4594" s="21">
        <v>65075.533226370171</v>
      </c>
    </row>
    <row r="4595" spans="12:13" x14ac:dyDescent="0.2">
      <c r="L4595" s="4">
        <v>4589</v>
      </c>
      <c r="M4595" s="21">
        <v>47430.888675039081</v>
      </c>
    </row>
    <row r="4596" spans="12:13" x14ac:dyDescent="0.2">
      <c r="L4596" s="4">
        <v>4590</v>
      </c>
      <c r="M4596" s="21">
        <v>239285.26841480771</v>
      </c>
    </row>
    <row r="4597" spans="12:13" x14ac:dyDescent="0.2">
      <c r="L4597" s="4">
        <v>4591</v>
      </c>
      <c r="M4597" s="21">
        <v>4903.4405712143052</v>
      </c>
    </row>
    <row r="4598" spans="12:13" x14ac:dyDescent="0.2">
      <c r="L4598" s="4">
        <v>4592</v>
      </c>
      <c r="M4598" s="21">
        <v>143295.25202355749</v>
      </c>
    </row>
    <row r="4599" spans="12:13" x14ac:dyDescent="0.2">
      <c r="L4599" s="4">
        <v>4593</v>
      </c>
      <c r="M4599" s="21">
        <v>-38787.461046372831</v>
      </c>
    </row>
    <row r="4600" spans="12:13" x14ac:dyDescent="0.2">
      <c r="L4600" s="4">
        <v>4594</v>
      </c>
      <c r="M4600" s="21">
        <v>131364.69751496101</v>
      </c>
    </row>
    <row r="4601" spans="12:13" x14ac:dyDescent="0.2">
      <c r="L4601" s="4">
        <v>4595</v>
      </c>
      <c r="M4601" s="21">
        <v>16546.851172240946</v>
      </c>
    </row>
    <row r="4602" spans="12:13" x14ac:dyDescent="0.2">
      <c r="L4602" s="4">
        <v>4596</v>
      </c>
      <c r="M4602" s="21">
        <v>35372.19813000955</v>
      </c>
    </row>
    <row r="4603" spans="12:13" x14ac:dyDescent="0.2">
      <c r="L4603" s="4">
        <v>4597</v>
      </c>
      <c r="M4603" s="21">
        <v>-48480.508147848013</v>
      </c>
    </row>
    <row r="4604" spans="12:13" x14ac:dyDescent="0.2">
      <c r="L4604" s="4">
        <v>4598</v>
      </c>
      <c r="M4604" s="21">
        <v>-145258.98428098229</v>
      </c>
    </row>
    <row r="4605" spans="12:13" x14ac:dyDescent="0.2">
      <c r="L4605" s="4">
        <v>4599</v>
      </c>
      <c r="M4605" s="21">
        <v>22741.38833256255</v>
      </c>
    </row>
    <row r="4606" spans="12:13" x14ac:dyDescent="0.2">
      <c r="L4606" s="4">
        <v>4600</v>
      </c>
      <c r="M4606" s="21">
        <v>-5255.7217238213198</v>
      </c>
    </row>
    <row r="4607" spans="12:13" x14ac:dyDescent="0.2">
      <c r="L4607" s="4">
        <v>4601</v>
      </c>
      <c r="M4607" s="21">
        <v>-89259.710234689206</v>
      </c>
    </row>
    <row r="4608" spans="12:13" x14ac:dyDescent="0.2">
      <c r="L4608" s="4">
        <v>4602</v>
      </c>
      <c r="M4608" s="21">
        <v>-96339.949192525557</v>
      </c>
    </row>
    <row r="4609" spans="12:13" x14ac:dyDescent="0.2">
      <c r="L4609" s="4">
        <v>4603</v>
      </c>
      <c r="M4609" s="21">
        <v>166293.17680864572</v>
      </c>
    </row>
    <row r="4610" spans="12:13" x14ac:dyDescent="0.2">
      <c r="L4610" s="4">
        <v>4604</v>
      </c>
      <c r="M4610" s="21">
        <v>-5692.4575788412621</v>
      </c>
    </row>
    <row r="4611" spans="12:13" x14ac:dyDescent="0.2">
      <c r="L4611" s="4">
        <v>4605</v>
      </c>
      <c r="M4611" s="21">
        <v>230989.72594038426</v>
      </c>
    </row>
    <row r="4612" spans="12:13" x14ac:dyDescent="0.2">
      <c r="L4612" s="4">
        <v>4606</v>
      </c>
      <c r="M4612" s="21">
        <v>299509.74986307684</v>
      </c>
    </row>
    <row r="4613" spans="12:13" x14ac:dyDescent="0.2">
      <c r="L4613" s="4">
        <v>4607</v>
      </c>
      <c r="M4613" s="21">
        <v>103297.58566050834</v>
      </c>
    </row>
    <row r="4614" spans="12:13" x14ac:dyDescent="0.2">
      <c r="L4614" s="4">
        <v>4608</v>
      </c>
      <c r="M4614" s="21">
        <v>121245.22963635827</v>
      </c>
    </row>
    <row r="4615" spans="12:13" x14ac:dyDescent="0.2">
      <c r="L4615" s="4">
        <v>4609</v>
      </c>
      <c r="M4615" s="21">
        <v>88064.256344991329</v>
      </c>
    </row>
    <row r="4616" spans="12:13" x14ac:dyDescent="0.2">
      <c r="L4616" s="4">
        <v>4610</v>
      </c>
      <c r="M4616" s="21">
        <v>-428400.29644470208</v>
      </c>
    </row>
    <row r="4617" spans="12:13" x14ac:dyDescent="0.2">
      <c r="L4617" s="4">
        <v>4611</v>
      </c>
      <c r="M4617" s="21">
        <v>97991.841630976065</v>
      </c>
    </row>
    <row r="4618" spans="12:13" x14ac:dyDescent="0.2">
      <c r="L4618" s="4">
        <v>4612</v>
      </c>
      <c r="M4618" s="21">
        <v>-184380.65966263856</v>
      </c>
    </row>
    <row r="4619" spans="12:13" x14ac:dyDescent="0.2">
      <c r="L4619" s="4">
        <v>4613</v>
      </c>
      <c r="M4619" s="21">
        <v>25753.598191625613</v>
      </c>
    </row>
    <row r="4620" spans="12:13" x14ac:dyDescent="0.2">
      <c r="L4620" s="4">
        <v>4614</v>
      </c>
      <c r="M4620" s="21">
        <v>17976.025168921886</v>
      </c>
    </row>
    <row r="4621" spans="12:13" x14ac:dyDescent="0.2">
      <c r="L4621" s="4">
        <v>4615</v>
      </c>
      <c r="M4621" s="21">
        <v>-121299.96667996727</v>
      </c>
    </row>
    <row r="4622" spans="12:13" x14ac:dyDescent="0.2">
      <c r="L4622" s="4">
        <v>4616</v>
      </c>
      <c r="M4622" s="21">
        <v>188487.72584658759</v>
      </c>
    </row>
    <row r="4623" spans="12:13" x14ac:dyDescent="0.2">
      <c r="L4623" s="4">
        <v>4617</v>
      </c>
      <c r="M4623" s="21">
        <v>128665.50691699176</v>
      </c>
    </row>
    <row r="4624" spans="12:13" x14ac:dyDescent="0.2">
      <c r="L4624" s="4">
        <v>4618</v>
      </c>
      <c r="M4624" s="21">
        <v>-122163.49435105147</v>
      </c>
    </row>
    <row r="4625" spans="12:13" x14ac:dyDescent="0.2">
      <c r="L4625" s="4">
        <v>4619</v>
      </c>
      <c r="M4625" s="21">
        <v>122617.3505884847</v>
      </c>
    </row>
    <row r="4626" spans="12:13" x14ac:dyDescent="0.2">
      <c r="L4626" s="4">
        <v>4620</v>
      </c>
      <c r="M4626" s="21">
        <v>154267.89675447033</v>
      </c>
    </row>
    <row r="4627" spans="12:13" x14ac:dyDescent="0.2">
      <c r="L4627" s="4">
        <v>4621</v>
      </c>
      <c r="M4627" s="21">
        <v>151607.95374134803</v>
      </c>
    </row>
    <row r="4628" spans="12:13" x14ac:dyDescent="0.2">
      <c r="L4628" s="4">
        <v>4622</v>
      </c>
      <c r="M4628" s="21">
        <v>241328.19175292531</v>
      </c>
    </row>
    <row r="4629" spans="12:13" x14ac:dyDescent="0.2">
      <c r="L4629" s="4">
        <v>4623</v>
      </c>
      <c r="M4629" s="21">
        <v>97784.11152113034</v>
      </c>
    </row>
    <row r="4630" spans="12:13" x14ac:dyDescent="0.2">
      <c r="L4630" s="4">
        <v>4624</v>
      </c>
      <c r="M4630" s="21">
        <v>86376.684829671722</v>
      </c>
    </row>
    <row r="4631" spans="12:13" x14ac:dyDescent="0.2">
      <c r="L4631" s="4">
        <v>4625</v>
      </c>
      <c r="M4631" s="21">
        <v>47733.036779084359</v>
      </c>
    </row>
    <row r="4632" spans="12:13" x14ac:dyDescent="0.2">
      <c r="L4632" s="4">
        <v>4626</v>
      </c>
      <c r="M4632" s="21">
        <v>202983.46693643215</v>
      </c>
    </row>
    <row r="4633" spans="12:13" x14ac:dyDescent="0.2">
      <c r="L4633" s="4">
        <v>4627</v>
      </c>
      <c r="M4633" s="21">
        <v>-151660.5192525645</v>
      </c>
    </row>
    <row r="4634" spans="12:13" x14ac:dyDescent="0.2">
      <c r="L4634" s="4">
        <v>4628</v>
      </c>
      <c r="M4634" s="21">
        <v>239751.19724340414</v>
      </c>
    </row>
    <row r="4635" spans="12:13" x14ac:dyDescent="0.2">
      <c r="L4635" s="4">
        <v>4629</v>
      </c>
      <c r="M4635" s="21">
        <v>705.03848194424063</v>
      </c>
    </row>
    <row r="4636" spans="12:13" x14ac:dyDescent="0.2">
      <c r="L4636" s="4">
        <v>4630</v>
      </c>
      <c r="M4636" s="21">
        <v>-91198.251179068102</v>
      </c>
    </row>
    <row r="4637" spans="12:13" x14ac:dyDescent="0.2">
      <c r="L4637" s="4">
        <v>4631</v>
      </c>
      <c r="M4637" s="21">
        <v>-23355.489465598512</v>
      </c>
    </row>
    <row r="4638" spans="12:13" x14ac:dyDescent="0.2">
      <c r="L4638" s="4">
        <v>4632</v>
      </c>
      <c r="M4638" s="21">
        <v>36291.647665719182</v>
      </c>
    </row>
    <row r="4639" spans="12:13" x14ac:dyDescent="0.2">
      <c r="L4639" s="4">
        <v>4633</v>
      </c>
      <c r="M4639" s="21">
        <v>118573.53427915479</v>
      </c>
    </row>
    <row r="4640" spans="12:13" x14ac:dyDescent="0.2">
      <c r="L4640" s="4">
        <v>4634</v>
      </c>
      <c r="M4640" s="21">
        <v>-93215.392950502515</v>
      </c>
    </row>
    <row r="4641" spans="12:13" x14ac:dyDescent="0.2">
      <c r="L4641" s="4">
        <v>4635</v>
      </c>
      <c r="M4641" s="21">
        <v>-10053.867155549349</v>
      </c>
    </row>
    <row r="4642" spans="12:13" x14ac:dyDescent="0.2">
      <c r="L4642" s="4">
        <v>4636</v>
      </c>
      <c r="M4642" s="21">
        <v>-69444.197119703487</v>
      </c>
    </row>
    <row r="4643" spans="12:13" x14ac:dyDescent="0.2">
      <c r="L4643" s="4">
        <v>4637</v>
      </c>
      <c r="M4643" s="21">
        <v>4680.1244781315909</v>
      </c>
    </row>
    <row r="4644" spans="12:13" x14ac:dyDescent="0.2">
      <c r="L4644" s="4">
        <v>4638</v>
      </c>
      <c r="M4644" s="21">
        <v>-23025.284839821426</v>
      </c>
    </row>
    <row r="4645" spans="12:13" x14ac:dyDescent="0.2">
      <c r="L4645" s="4">
        <v>4639</v>
      </c>
      <c r="M4645" s="21">
        <v>272083.9530168593</v>
      </c>
    </row>
    <row r="4646" spans="12:13" x14ac:dyDescent="0.2">
      <c r="L4646" s="4">
        <v>4640</v>
      </c>
      <c r="M4646" s="21">
        <v>38973.685166678042</v>
      </c>
    </row>
    <row r="4647" spans="12:13" x14ac:dyDescent="0.2">
      <c r="L4647" s="4">
        <v>4641</v>
      </c>
      <c r="M4647" s="21">
        <v>94383.145730137592</v>
      </c>
    </row>
    <row r="4648" spans="12:13" x14ac:dyDescent="0.2">
      <c r="L4648" s="4">
        <v>4642</v>
      </c>
      <c r="M4648" s="21">
        <v>217979.4193341473</v>
      </c>
    </row>
    <row r="4649" spans="12:13" x14ac:dyDescent="0.2">
      <c r="L4649" s="4">
        <v>4643</v>
      </c>
      <c r="M4649" s="21">
        <v>-74163.318273639685</v>
      </c>
    </row>
    <row r="4650" spans="12:13" x14ac:dyDescent="0.2">
      <c r="L4650" s="4">
        <v>4644</v>
      </c>
      <c r="M4650" s="21">
        <v>-353346.81336240371</v>
      </c>
    </row>
    <row r="4651" spans="12:13" x14ac:dyDescent="0.2">
      <c r="L4651" s="4">
        <v>4645</v>
      </c>
      <c r="M4651" s="21">
        <v>-21202.478625189673</v>
      </c>
    </row>
    <row r="4652" spans="12:13" x14ac:dyDescent="0.2">
      <c r="L4652" s="4">
        <v>4646</v>
      </c>
      <c r="M4652" s="21">
        <v>-190724.15378721556</v>
      </c>
    </row>
    <row r="4653" spans="12:13" x14ac:dyDescent="0.2">
      <c r="L4653" s="4">
        <v>4647</v>
      </c>
      <c r="M4653" s="21">
        <v>-235013.00104488761</v>
      </c>
    </row>
    <row r="4654" spans="12:13" x14ac:dyDescent="0.2">
      <c r="L4654" s="4">
        <v>4648</v>
      </c>
      <c r="M4654" s="21">
        <v>28297.719843788858</v>
      </c>
    </row>
    <row r="4655" spans="12:13" x14ac:dyDescent="0.2">
      <c r="L4655" s="4">
        <v>4649</v>
      </c>
      <c r="M4655" s="21">
        <v>-54530.32066680069</v>
      </c>
    </row>
    <row r="4656" spans="12:13" x14ac:dyDescent="0.2">
      <c r="L4656" s="4">
        <v>4650</v>
      </c>
      <c r="M4656" s="21">
        <v>-12957.181243429266</v>
      </c>
    </row>
    <row r="4657" spans="12:13" x14ac:dyDescent="0.2">
      <c r="L4657" s="4">
        <v>4651</v>
      </c>
      <c r="M4657" s="21">
        <v>-28584.149598701479</v>
      </c>
    </row>
    <row r="4658" spans="12:13" x14ac:dyDescent="0.2">
      <c r="L4658" s="4">
        <v>4652</v>
      </c>
      <c r="M4658" s="21">
        <v>-179979.48294704012</v>
      </c>
    </row>
    <row r="4659" spans="12:13" x14ac:dyDescent="0.2">
      <c r="L4659" s="4">
        <v>4653</v>
      </c>
      <c r="M4659" s="21">
        <v>172405.55935123211</v>
      </c>
    </row>
    <row r="4660" spans="12:13" x14ac:dyDescent="0.2">
      <c r="L4660" s="4">
        <v>4654</v>
      </c>
      <c r="M4660" s="21">
        <v>-58519.82911581111</v>
      </c>
    </row>
    <row r="4661" spans="12:13" x14ac:dyDescent="0.2">
      <c r="L4661" s="4">
        <v>4655</v>
      </c>
      <c r="M4661" s="21">
        <v>-69155.001771803334</v>
      </c>
    </row>
    <row r="4662" spans="12:13" x14ac:dyDescent="0.2">
      <c r="L4662" s="4">
        <v>4656</v>
      </c>
      <c r="M4662" s="21">
        <v>697.172189546749</v>
      </c>
    </row>
    <row r="4663" spans="12:13" x14ac:dyDescent="0.2">
      <c r="L4663" s="4">
        <v>4657</v>
      </c>
      <c r="M4663" s="21">
        <v>-122601.0142201697</v>
      </c>
    </row>
    <row r="4664" spans="12:13" x14ac:dyDescent="0.2">
      <c r="L4664" s="4">
        <v>4658</v>
      </c>
      <c r="M4664" s="21">
        <v>8133.5472494706337</v>
      </c>
    </row>
    <row r="4665" spans="12:13" x14ac:dyDescent="0.2">
      <c r="L4665" s="4">
        <v>4659</v>
      </c>
      <c r="M4665" s="21">
        <v>41219.970717937191</v>
      </c>
    </row>
    <row r="4666" spans="12:13" x14ac:dyDescent="0.2">
      <c r="L4666" s="4">
        <v>4660</v>
      </c>
      <c r="M4666" s="21">
        <v>127866.98017134037</v>
      </c>
    </row>
    <row r="4667" spans="12:13" x14ac:dyDescent="0.2">
      <c r="L4667" s="4">
        <v>4661</v>
      </c>
      <c r="M4667" s="21">
        <v>-7969.3895105915872</v>
      </c>
    </row>
    <row r="4668" spans="12:13" x14ac:dyDescent="0.2">
      <c r="L4668" s="4">
        <v>4662</v>
      </c>
      <c r="M4668" s="21">
        <v>143859.79510396064</v>
      </c>
    </row>
    <row r="4669" spans="12:13" x14ac:dyDescent="0.2">
      <c r="L4669" s="4">
        <v>4663</v>
      </c>
      <c r="M4669" s="21">
        <v>153854.33911185394</v>
      </c>
    </row>
    <row r="4670" spans="12:13" x14ac:dyDescent="0.2">
      <c r="L4670" s="4">
        <v>4664</v>
      </c>
      <c r="M4670" s="21">
        <v>18363.172378572199</v>
      </c>
    </row>
    <row r="4671" spans="12:13" x14ac:dyDescent="0.2">
      <c r="L4671" s="4">
        <v>4665</v>
      </c>
      <c r="M4671" s="21">
        <v>10548.772571512294</v>
      </c>
    </row>
    <row r="4672" spans="12:13" x14ac:dyDescent="0.2">
      <c r="L4672" s="4">
        <v>4666</v>
      </c>
      <c r="M4672" s="21">
        <v>34817.988554453827</v>
      </c>
    </row>
    <row r="4673" spans="12:13" x14ac:dyDescent="0.2">
      <c r="L4673" s="4">
        <v>4667</v>
      </c>
      <c r="M4673" s="21">
        <v>-10261.53095075232</v>
      </c>
    </row>
    <row r="4674" spans="12:13" x14ac:dyDescent="0.2">
      <c r="L4674" s="4">
        <v>4668</v>
      </c>
      <c r="M4674" s="21">
        <v>59842.02913771724</v>
      </c>
    </row>
    <row r="4675" spans="12:13" x14ac:dyDescent="0.2">
      <c r="L4675" s="4">
        <v>4669</v>
      </c>
      <c r="M4675" s="21">
        <v>-493126.12234575069</v>
      </c>
    </row>
    <row r="4676" spans="12:13" x14ac:dyDescent="0.2">
      <c r="L4676" s="4">
        <v>4670</v>
      </c>
      <c r="M4676" s="21">
        <v>2648.956440470065</v>
      </c>
    </row>
    <row r="4677" spans="12:13" x14ac:dyDescent="0.2">
      <c r="L4677" s="4">
        <v>4671</v>
      </c>
      <c r="M4677" s="21">
        <v>-3011.2269703643542</v>
      </c>
    </row>
    <row r="4678" spans="12:13" x14ac:dyDescent="0.2">
      <c r="L4678" s="4">
        <v>4672</v>
      </c>
      <c r="M4678" s="21">
        <v>12872.009494233382</v>
      </c>
    </row>
    <row r="4679" spans="12:13" x14ac:dyDescent="0.2">
      <c r="L4679" s="4">
        <v>4673</v>
      </c>
      <c r="M4679" s="21">
        <v>-90724.301622188505</v>
      </c>
    </row>
    <row r="4680" spans="12:13" x14ac:dyDescent="0.2">
      <c r="L4680" s="4">
        <v>4674</v>
      </c>
      <c r="M4680" s="21">
        <v>-120961.61413492291</v>
      </c>
    </row>
    <row r="4681" spans="12:13" x14ac:dyDescent="0.2">
      <c r="L4681" s="4">
        <v>4675</v>
      </c>
      <c r="M4681" s="21">
        <v>-57098.360562828791</v>
      </c>
    </row>
    <row r="4682" spans="12:13" x14ac:dyDescent="0.2">
      <c r="L4682" s="4">
        <v>4676</v>
      </c>
      <c r="M4682" s="21">
        <v>18661.807501422794</v>
      </c>
    </row>
    <row r="4683" spans="12:13" x14ac:dyDescent="0.2">
      <c r="L4683" s="4">
        <v>4677</v>
      </c>
      <c r="M4683" s="21">
        <v>201189.95240521181</v>
      </c>
    </row>
    <row r="4684" spans="12:13" x14ac:dyDescent="0.2">
      <c r="L4684" s="4">
        <v>4678</v>
      </c>
      <c r="M4684" s="21">
        <v>-253606.0476212611</v>
      </c>
    </row>
    <row r="4685" spans="12:13" x14ac:dyDescent="0.2">
      <c r="L4685" s="4">
        <v>4679</v>
      </c>
      <c r="M4685" s="21">
        <v>23306.960252454737</v>
      </c>
    </row>
    <row r="4686" spans="12:13" x14ac:dyDescent="0.2">
      <c r="L4686" s="4">
        <v>4680</v>
      </c>
      <c r="M4686" s="21">
        <v>-150770.97008153651</v>
      </c>
    </row>
    <row r="4687" spans="12:13" x14ac:dyDescent="0.2">
      <c r="L4687" s="4">
        <v>4681</v>
      </c>
      <c r="M4687" s="21">
        <v>-73726.506246210512</v>
      </c>
    </row>
    <row r="4688" spans="12:13" x14ac:dyDescent="0.2">
      <c r="L4688" s="4">
        <v>4682</v>
      </c>
      <c r="M4688" s="21">
        <v>140711.60513611345</v>
      </c>
    </row>
    <row r="4689" spans="12:13" x14ac:dyDescent="0.2">
      <c r="L4689" s="4">
        <v>4683</v>
      </c>
      <c r="M4689" s="21">
        <v>-24231.475341856567</v>
      </c>
    </row>
    <row r="4690" spans="12:13" x14ac:dyDescent="0.2">
      <c r="L4690" s="4">
        <v>4684</v>
      </c>
      <c r="M4690" s="21">
        <v>-77243.089334013799</v>
      </c>
    </row>
    <row r="4691" spans="12:13" x14ac:dyDescent="0.2">
      <c r="L4691" s="4">
        <v>4685</v>
      </c>
      <c r="M4691" s="21">
        <v>-136941.40840598475</v>
      </c>
    </row>
    <row r="4692" spans="12:13" x14ac:dyDescent="0.2">
      <c r="L4692" s="4">
        <v>4686</v>
      </c>
      <c r="M4692" s="21">
        <v>59756.119924841798</v>
      </c>
    </row>
    <row r="4693" spans="12:13" x14ac:dyDescent="0.2">
      <c r="L4693" s="4">
        <v>4687</v>
      </c>
      <c r="M4693" s="21">
        <v>20168.843600942142</v>
      </c>
    </row>
    <row r="4694" spans="12:13" x14ac:dyDescent="0.2">
      <c r="L4694" s="4">
        <v>4688</v>
      </c>
      <c r="M4694" s="21">
        <v>-241850.45933701764</v>
      </c>
    </row>
    <row r="4695" spans="12:13" x14ac:dyDescent="0.2">
      <c r="L4695" s="4">
        <v>4689</v>
      </c>
      <c r="M4695" s="21">
        <v>-105490.548568659</v>
      </c>
    </row>
    <row r="4696" spans="12:13" x14ac:dyDescent="0.2">
      <c r="L4696" s="4">
        <v>4690</v>
      </c>
      <c r="M4696" s="21">
        <v>59277.130382173811</v>
      </c>
    </row>
    <row r="4697" spans="12:13" x14ac:dyDescent="0.2">
      <c r="L4697" s="4">
        <v>4691</v>
      </c>
      <c r="M4697" s="21">
        <v>-181824.52186972444</v>
      </c>
    </row>
    <row r="4698" spans="12:13" x14ac:dyDescent="0.2">
      <c r="L4698" s="4">
        <v>4692</v>
      </c>
      <c r="M4698" s="21">
        <v>-136876.48943108047</v>
      </c>
    </row>
    <row r="4699" spans="12:13" x14ac:dyDescent="0.2">
      <c r="L4699" s="4">
        <v>4693</v>
      </c>
      <c r="M4699" s="21">
        <v>53532.551677859155</v>
      </c>
    </row>
    <row r="4700" spans="12:13" x14ac:dyDescent="0.2">
      <c r="L4700" s="4">
        <v>4694</v>
      </c>
      <c r="M4700" s="21">
        <v>105233.98574035536</v>
      </c>
    </row>
    <row r="4701" spans="12:13" x14ac:dyDescent="0.2">
      <c r="L4701" s="4">
        <v>4695</v>
      </c>
      <c r="M4701" s="21">
        <v>-176911.03300740916</v>
      </c>
    </row>
    <row r="4702" spans="12:13" x14ac:dyDescent="0.2">
      <c r="L4702" s="4">
        <v>4696</v>
      </c>
      <c r="M4702" s="21">
        <v>-65767.364525690398</v>
      </c>
    </row>
    <row r="4703" spans="12:13" x14ac:dyDescent="0.2">
      <c r="L4703" s="4">
        <v>4697</v>
      </c>
      <c r="M4703" s="21">
        <v>69644.837744390883</v>
      </c>
    </row>
    <row r="4704" spans="12:13" x14ac:dyDescent="0.2">
      <c r="L4704" s="4">
        <v>4698</v>
      </c>
      <c r="M4704" s="21">
        <v>171379.27712993277</v>
      </c>
    </row>
    <row r="4705" spans="12:13" x14ac:dyDescent="0.2">
      <c r="L4705" s="4">
        <v>4699</v>
      </c>
      <c r="M4705" s="21">
        <v>-221441.66181273089</v>
      </c>
    </row>
    <row r="4706" spans="12:13" x14ac:dyDescent="0.2">
      <c r="L4706" s="4">
        <v>4700</v>
      </c>
      <c r="M4706" s="21">
        <v>-49213.556877223207</v>
      </c>
    </row>
    <row r="4707" spans="12:13" x14ac:dyDescent="0.2">
      <c r="L4707" s="4">
        <v>4701</v>
      </c>
      <c r="M4707" s="21">
        <v>147681.50249410176</v>
      </c>
    </row>
    <row r="4708" spans="12:13" x14ac:dyDescent="0.2">
      <c r="L4708" s="4">
        <v>4702</v>
      </c>
      <c r="M4708" s="21">
        <v>-129854.69954139001</v>
      </c>
    </row>
    <row r="4709" spans="12:13" x14ac:dyDescent="0.2">
      <c r="L4709" s="4">
        <v>4703</v>
      </c>
      <c r="M4709" s="21">
        <v>27293.062774904567</v>
      </c>
    </row>
    <row r="4710" spans="12:13" x14ac:dyDescent="0.2">
      <c r="L4710" s="4">
        <v>4704</v>
      </c>
      <c r="M4710" s="21">
        <v>-152382.05333184003</v>
      </c>
    </row>
    <row r="4711" spans="12:13" x14ac:dyDescent="0.2">
      <c r="L4711" s="4">
        <v>4705</v>
      </c>
      <c r="M4711" s="21">
        <v>10103.086752665084</v>
      </c>
    </row>
    <row r="4712" spans="12:13" x14ac:dyDescent="0.2">
      <c r="L4712" s="4">
        <v>4706</v>
      </c>
      <c r="M4712" s="21">
        <v>181756.559229645</v>
      </c>
    </row>
    <row r="4713" spans="12:13" x14ac:dyDescent="0.2">
      <c r="L4713" s="4">
        <v>4707</v>
      </c>
      <c r="M4713" s="21">
        <v>18912.556141756271</v>
      </c>
    </row>
    <row r="4714" spans="12:13" x14ac:dyDescent="0.2">
      <c r="L4714" s="4">
        <v>4708</v>
      </c>
      <c r="M4714" s="21">
        <v>-9989.9367047574196</v>
      </c>
    </row>
    <row r="4715" spans="12:13" x14ac:dyDescent="0.2">
      <c r="L4715" s="4">
        <v>4709</v>
      </c>
      <c r="M4715" s="21">
        <v>82623.857834440976</v>
      </c>
    </row>
    <row r="4716" spans="12:13" x14ac:dyDescent="0.2">
      <c r="L4716" s="4">
        <v>4710</v>
      </c>
      <c r="M4716" s="21">
        <v>-179051.97993266967</v>
      </c>
    </row>
    <row r="4717" spans="12:13" x14ac:dyDescent="0.2">
      <c r="L4717" s="4">
        <v>4711</v>
      </c>
      <c r="M4717" s="21">
        <v>-136743.99997529172</v>
      </c>
    </row>
    <row r="4718" spans="12:13" x14ac:dyDescent="0.2">
      <c r="L4718" s="4">
        <v>4712</v>
      </c>
      <c r="M4718" s="21">
        <v>241071.53511108941</v>
      </c>
    </row>
    <row r="4719" spans="12:13" x14ac:dyDescent="0.2">
      <c r="L4719" s="4">
        <v>4713</v>
      </c>
      <c r="M4719" s="21">
        <v>-112210.61842002094</v>
      </c>
    </row>
    <row r="4720" spans="12:13" x14ac:dyDescent="0.2">
      <c r="L4720" s="4">
        <v>4714</v>
      </c>
      <c r="M4720" s="21">
        <v>41168.363322688296</v>
      </c>
    </row>
    <row r="4721" spans="12:13" x14ac:dyDescent="0.2">
      <c r="L4721" s="4">
        <v>4715</v>
      </c>
      <c r="M4721" s="21">
        <v>-191510.2355965827</v>
      </c>
    </row>
    <row r="4722" spans="12:13" x14ac:dyDescent="0.2">
      <c r="L4722" s="4">
        <v>4716</v>
      </c>
      <c r="M4722" s="21">
        <v>-405130.98485054664</v>
      </c>
    </row>
    <row r="4723" spans="12:13" x14ac:dyDescent="0.2">
      <c r="L4723" s="4">
        <v>4717</v>
      </c>
      <c r="M4723" s="21">
        <v>118743.25708470709</v>
      </c>
    </row>
    <row r="4724" spans="12:13" x14ac:dyDescent="0.2">
      <c r="L4724" s="4">
        <v>4718</v>
      </c>
      <c r="M4724" s="21">
        <v>174522.10511539734</v>
      </c>
    </row>
    <row r="4725" spans="12:13" x14ac:dyDescent="0.2">
      <c r="L4725" s="4">
        <v>4719</v>
      </c>
      <c r="M4725" s="21">
        <v>43520.922725972487</v>
      </c>
    </row>
    <row r="4726" spans="12:13" x14ac:dyDescent="0.2">
      <c r="L4726" s="4">
        <v>4720</v>
      </c>
      <c r="M4726" s="21">
        <v>137135.66077622099</v>
      </c>
    </row>
    <row r="4727" spans="12:13" x14ac:dyDescent="0.2">
      <c r="L4727" s="4">
        <v>4721</v>
      </c>
      <c r="M4727" s="21">
        <v>90776.608356320387</v>
      </c>
    </row>
    <row r="4728" spans="12:13" x14ac:dyDescent="0.2">
      <c r="L4728" s="4">
        <v>4722</v>
      </c>
      <c r="M4728" s="21">
        <v>269672.09989073023</v>
      </c>
    </row>
    <row r="4729" spans="12:13" x14ac:dyDescent="0.2">
      <c r="L4729" s="4">
        <v>4723</v>
      </c>
      <c r="M4729" s="21">
        <v>41338.187823292712</v>
      </c>
    </row>
    <row r="4730" spans="12:13" x14ac:dyDescent="0.2">
      <c r="L4730" s="4">
        <v>4724</v>
      </c>
      <c r="M4730" s="21">
        <v>-459888.15975316177</v>
      </c>
    </row>
    <row r="4731" spans="12:13" x14ac:dyDescent="0.2">
      <c r="L4731" s="4">
        <v>4725</v>
      </c>
      <c r="M4731" s="21">
        <v>91151.731087039312</v>
      </c>
    </row>
    <row r="4732" spans="12:13" x14ac:dyDescent="0.2">
      <c r="L4732" s="4">
        <v>4726</v>
      </c>
      <c r="M4732" s="21">
        <v>-126172.30151367585</v>
      </c>
    </row>
    <row r="4733" spans="12:13" x14ac:dyDescent="0.2">
      <c r="L4733" s="4">
        <v>4727</v>
      </c>
      <c r="M4733" s="21">
        <v>-59189.334786968015</v>
      </c>
    </row>
    <row r="4734" spans="12:13" x14ac:dyDescent="0.2">
      <c r="L4734" s="4">
        <v>4728</v>
      </c>
      <c r="M4734" s="21">
        <v>-17129.108272806669</v>
      </c>
    </row>
    <row r="4735" spans="12:13" x14ac:dyDescent="0.2">
      <c r="L4735" s="4">
        <v>4729</v>
      </c>
      <c r="M4735" s="21">
        <v>-133365.65597267094</v>
      </c>
    </row>
    <row r="4736" spans="12:13" x14ac:dyDescent="0.2">
      <c r="L4736" s="4">
        <v>4730</v>
      </c>
      <c r="M4736" s="21">
        <v>-4821.3175321521558</v>
      </c>
    </row>
    <row r="4737" spans="12:13" x14ac:dyDescent="0.2">
      <c r="L4737" s="4">
        <v>4731</v>
      </c>
      <c r="M4737" s="21">
        <v>154048.58932648649</v>
      </c>
    </row>
    <row r="4738" spans="12:13" x14ac:dyDescent="0.2">
      <c r="L4738" s="4">
        <v>4732</v>
      </c>
      <c r="M4738" s="21">
        <v>-48684.709382521061</v>
      </c>
    </row>
    <row r="4739" spans="12:13" x14ac:dyDescent="0.2">
      <c r="L4739" s="4">
        <v>4733</v>
      </c>
      <c r="M4739" s="21">
        <v>-42548.998828428361</v>
      </c>
    </row>
    <row r="4740" spans="12:13" x14ac:dyDescent="0.2">
      <c r="L4740" s="4">
        <v>4734</v>
      </c>
      <c r="M4740" s="21">
        <v>104668.93149629215</v>
      </c>
    </row>
    <row r="4741" spans="12:13" x14ac:dyDescent="0.2">
      <c r="L4741" s="4">
        <v>4735</v>
      </c>
      <c r="M4741" s="21">
        <v>-174373.85642588016</v>
      </c>
    </row>
    <row r="4742" spans="12:13" x14ac:dyDescent="0.2">
      <c r="L4742" s="4">
        <v>4736</v>
      </c>
      <c r="M4742" s="21">
        <v>56023.991955047415</v>
      </c>
    </row>
    <row r="4743" spans="12:13" x14ac:dyDescent="0.2">
      <c r="L4743" s="4">
        <v>4737</v>
      </c>
      <c r="M4743" s="21">
        <v>51678.645627020218</v>
      </c>
    </row>
    <row r="4744" spans="12:13" x14ac:dyDescent="0.2">
      <c r="L4744" s="4">
        <v>4738</v>
      </c>
      <c r="M4744" s="21">
        <v>258570.43669829614</v>
      </c>
    </row>
    <row r="4745" spans="12:13" x14ac:dyDescent="0.2">
      <c r="L4745" s="4">
        <v>4739</v>
      </c>
      <c r="M4745" s="21">
        <v>-83108.938683328292</v>
      </c>
    </row>
    <row r="4746" spans="12:13" x14ac:dyDescent="0.2">
      <c r="L4746" s="4">
        <v>4740</v>
      </c>
      <c r="M4746" s="21">
        <v>-16266.599574876556</v>
      </c>
    </row>
    <row r="4747" spans="12:13" x14ac:dyDescent="0.2">
      <c r="L4747" s="4">
        <v>4741</v>
      </c>
      <c r="M4747" s="21">
        <v>-198294.12430831842</v>
      </c>
    </row>
    <row r="4748" spans="12:13" x14ac:dyDescent="0.2">
      <c r="L4748" s="4">
        <v>4742</v>
      </c>
      <c r="M4748" s="21">
        <v>-247097.34198340599</v>
      </c>
    </row>
    <row r="4749" spans="12:13" x14ac:dyDescent="0.2">
      <c r="L4749" s="4">
        <v>4743</v>
      </c>
      <c r="M4749" s="21">
        <v>-300026.0659262985</v>
      </c>
    </row>
    <row r="4750" spans="12:13" x14ac:dyDescent="0.2">
      <c r="L4750" s="4">
        <v>4744</v>
      </c>
      <c r="M4750" s="21">
        <v>39496.055079620564</v>
      </c>
    </row>
    <row r="4751" spans="12:13" x14ac:dyDescent="0.2">
      <c r="L4751" s="4">
        <v>4745</v>
      </c>
      <c r="M4751" s="21">
        <v>-165100.67580761894</v>
      </c>
    </row>
    <row r="4752" spans="12:13" x14ac:dyDescent="0.2">
      <c r="L4752" s="4">
        <v>4746</v>
      </c>
      <c r="M4752" s="21">
        <v>206209.27271760238</v>
      </c>
    </row>
    <row r="4753" spans="12:13" x14ac:dyDescent="0.2">
      <c r="L4753" s="4">
        <v>4747</v>
      </c>
      <c r="M4753" s="21">
        <v>-111335.33168636402</v>
      </c>
    </row>
    <row r="4754" spans="12:13" x14ac:dyDescent="0.2">
      <c r="L4754" s="4">
        <v>4748</v>
      </c>
      <c r="M4754" s="21">
        <v>140536.53029487061</v>
      </c>
    </row>
    <row r="4755" spans="12:13" x14ac:dyDescent="0.2">
      <c r="L4755" s="4">
        <v>4749</v>
      </c>
      <c r="M4755" s="21">
        <v>116864.59896766397</v>
      </c>
    </row>
    <row r="4756" spans="12:13" x14ac:dyDescent="0.2">
      <c r="L4756" s="4">
        <v>4750</v>
      </c>
      <c r="M4756" s="21">
        <v>26233.029333849612</v>
      </c>
    </row>
    <row r="4757" spans="12:13" x14ac:dyDescent="0.2">
      <c r="L4757" s="4">
        <v>4751</v>
      </c>
      <c r="M4757" s="21">
        <v>-7486.0106022854598</v>
      </c>
    </row>
    <row r="4758" spans="12:13" x14ac:dyDescent="0.2">
      <c r="L4758" s="4">
        <v>4752</v>
      </c>
      <c r="M4758" s="21">
        <v>-343504.5673626631</v>
      </c>
    </row>
    <row r="4759" spans="12:13" x14ac:dyDescent="0.2">
      <c r="L4759" s="4">
        <v>4753</v>
      </c>
      <c r="M4759" s="21">
        <v>54549.72498189332</v>
      </c>
    </row>
    <row r="4760" spans="12:13" x14ac:dyDescent="0.2">
      <c r="L4760" s="4">
        <v>4754</v>
      </c>
      <c r="M4760" s="21">
        <v>-64747.091990055749</v>
      </c>
    </row>
    <row r="4761" spans="12:13" x14ac:dyDescent="0.2">
      <c r="L4761" s="4">
        <v>4755</v>
      </c>
      <c r="M4761" s="21">
        <v>-109241.79838281489</v>
      </c>
    </row>
    <row r="4762" spans="12:13" x14ac:dyDescent="0.2">
      <c r="L4762" s="4">
        <v>4756</v>
      </c>
      <c r="M4762" s="21">
        <v>125635.53447732146</v>
      </c>
    </row>
    <row r="4763" spans="12:13" x14ac:dyDescent="0.2">
      <c r="L4763" s="4">
        <v>4757</v>
      </c>
      <c r="M4763" s="21">
        <v>71962.905885505665</v>
      </c>
    </row>
    <row r="4764" spans="12:13" x14ac:dyDescent="0.2">
      <c r="L4764" s="4">
        <v>4758</v>
      </c>
      <c r="M4764" s="21">
        <v>-126.02684152175789</v>
      </c>
    </row>
    <row r="4765" spans="12:13" x14ac:dyDescent="0.2">
      <c r="L4765" s="4">
        <v>4759</v>
      </c>
      <c r="M4765" s="21">
        <v>-76885.022335877162</v>
      </c>
    </row>
    <row r="4766" spans="12:13" x14ac:dyDescent="0.2">
      <c r="L4766" s="4">
        <v>4760</v>
      </c>
      <c r="M4766" s="21">
        <v>-67179.381528982864</v>
      </c>
    </row>
    <row r="4767" spans="12:13" x14ac:dyDescent="0.2">
      <c r="L4767" s="4">
        <v>4761</v>
      </c>
      <c r="M4767" s="21">
        <v>16189.717176911217</v>
      </c>
    </row>
    <row r="4768" spans="12:13" x14ac:dyDescent="0.2">
      <c r="L4768" s="4">
        <v>4762</v>
      </c>
      <c r="M4768" s="21">
        <v>24940.819047087425</v>
      </c>
    </row>
    <row r="4769" spans="12:13" x14ac:dyDescent="0.2">
      <c r="L4769" s="4">
        <v>4763</v>
      </c>
      <c r="M4769" s="21">
        <v>-50186.810708258156</v>
      </c>
    </row>
    <row r="4770" spans="12:13" x14ac:dyDescent="0.2">
      <c r="L4770" s="4">
        <v>4764</v>
      </c>
      <c r="M4770" s="21">
        <v>-96354.159564677408</v>
      </c>
    </row>
    <row r="4771" spans="12:13" x14ac:dyDescent="0.2">
      <c r="L4771" s="4">
        <v>4765</v>
      </c>
      <c r="M4771" s="21">
        <v>189546.01863223856</v>
      </c>
    </row>
    <row r="4772" spans="12:13" x14ac:dyDescent="0.2">
      <c r="L4772" s="4">
        <v>4766</v>
      </c>
      <c r="M4772" s="21">
        <v>170994.40479768612</v>
      </c>
    </row>
    <row r="4773" spans="12:13" x14ac:dyDescent="0.2">
      <c r="L4773" s="4">
        <v>4767</v>
      </c>
      <c r="M4773" s="21">
        <v>-83182.589198057438</v>
      </c>
    </row>
    <row r="4774" spans="12:13" x14ac:dyDescent="0.2">
      <c r="L4774" s="4">
        <v>4768</v>
      </c>
      <c r="M4774" s="21">
        <v>-148907.8849957177</v>
      </c>
    </row>
    <row r="4775" spans="12:13" x14ac:dyDescent="0.2">
      <c r="L4775" s="4">
        <v>4769</v>
      </c>
      <c r="M4775" s="21">
        <v>66370.4510416993</v>
      </c>
    </row>
    <row r="4776" spans="12:13" x14ac:dyDescent="0.2">
      <c r="L4776" s="4">
        <v>4770</v>
      </c>
      <c r="M4776" s="21">
        <v>-10643.239650725023</v>
      </c>
    </row>
    <row r="4777" spans="12:13" x14ac:dyDescent="0.2">
      <c r="L4777" s="4">
        <v>4771</v>
      </c>
      <c r="M4777" s="21">
        <v>-299078.50140798872</v>
      </c>
    </row>
    <row r="4778" spans="12:13" x14ac:dyDescent="0.2">
      <c r="L4778" s="4">
        <v>4772</v>
      </c>
      <c r="M4778" s="21">
        <v>-308624.00629593513</v>
      </c>
    </row>
    <row r="4779" spans="12:13" x14ac:dyDescent="0.2">
      <c r="L4779" s="4">
        <v>4773</v>
      </c>
      <c r="M4779" s="21">
        <v>271703.95492866356</v>
      </c>
    </row>
    <row r="4780" spans="12:13" x14ac:dyDescent="0.2">
      <c r="L4780" s="4">
        <v>4774</v>
      </c>
      <c r="M4780" s="21">
        <v>-355608.60656216403</v>
      </c>
    </row>
    <row r="4781" spans="12:13" x14ac:dyDescent="0.2">
      <c r="L4781" s="4">
        <v>4775</v>
      </c>
      <c r="M4781" s="21">
        <v>138236.20833536709</v>
      </c>
    </row>
    <row r="4782" spans="12:13" x14ac:dyDescent="0.2">
      <c r="L4782" s="4">
        <v>4776</v>
      </c>
      <c r="M4782" s="21">
        <v>-216573.41631738172</v>
      </c>
    </row>
    <row r="4783" spans="12:13" x14ac:dyDescent="0.2">
      <c r="L4783" s="4">
        <v>4777</v>
      </c>
      <c r="M4783" s="21">
        <v>-301675.57511716307</v>
      </c>
    </row>
    <row r="4784" spans="12:13" x14ac:dyDescent="0.2">
      <c r="L4784" s="4">
        <v>4778</v>
      </c>
      <c r="M4784" s="21">
        <v>-88027.392502422648</v>
      </c>
    </row>
    <row r="4785" spans="12:13" x14ac:dyDescent="0.2">
      <c r="L4785" s="4">
        <v>4779</v>
      </c>
      <c r="M4785" s="21">
        <v>4136.1913556338113</v>
      </c>
    </row>
    <row r="4786" spans="12:13" x14ac:dyDescent="0.2">
      <c r="L4786" s="4">
        <v>4780</v>
      </c>
      <c r="M4786" s="21">
        <v>-137076.13495665108</v>
      </c>
    </row>
    <row r="4787" spans="12:13" x14ac:dyDescent="0.2">
      <c r="L4787" s="4">
        <v>4781</v>
      </c>
      <c r="M4787" s="21">
        <v>-411286.01743665809</v>
      </c>
    </row>
    <row r="4788" spans="12:13" x14ac:dyDescent="0.2">
      <c r="L4788" s="4">
        <v>4782</v>
      </c>
      <c r="M4788" s="21">
        <v>21296.924922362348</v>
      </c>
    </row>
    <row r="4789" spans="12:13" x14ac:dyDescent="0.2">
      <c r="L4789" s="4">
        <v>4783</v>
      </c>
      <c r="M4789" s="21">
        <v>165049.30132545601</v>
      </c>
    </row>
    <row r="4790" spans="12:13" x14ac:dyDescent="0.2">
      <c r="L4790" s="4">
        <v>4784</v>
      </c>
      <c r="M4790" s="21">
        <v>-178894.58871079498</v>
      </c>
    </row>
    <row r="4791" spans="12:13" x14ac:dyDescent="0.2">
      <c r="L4791" s="4">
        <v>4785</v>
      </c>
      <c r="M4791" s="21">
        <v>215387.74249969056</v>
      </c>
    </row>
    <row r="4792" spans="12:13" x14ac:dyDescent="0.2">
      <c r="L4792" s="4">
        <v>4786</v>
      </c>
      <c r="M4792" s="21">
        <v>168886.03151777256</v>
      </c>
    </row>
    <row r="4793" spans="12:13" x14ac:dyDescent="0.2">
      <c r="L4793" s="4">
        <v>4787</v>
      </c>
      <c r="M4793" s="21">
        <v>42746.009140323207</v>
      </c>
    </row>
    <row r="4794" spans="12:13" x14ac:dyDescent="0.2">
      <c r="L4794" s="4">
        <v>4788</v>
      </c>
      <c r="M4794" s="21">
        <v>100189.64036699964</v>
      </c>
    </row>
    <row r="4795" spans="12:13" x14ac:dyDescent="0.2">
      <c r="L4795" s="4">
        <v>4789</v>
      </c>
      <c r="M4795" s="21">
        <v>-51232.727829061128</v>
      </c>
    </row>
    <row r="4796" spans="12:13" x14ac:dyDescent="0.2">
      <c r="L4796" s="4">
        <v>4790</v>
      </c>
      <c r="M4796" s="21">
        <v>-172883.99071647399</v>
      </c>
    </row>
    <row r="4797" spans="12:13" x14ac:dyDescent="0.2">
      <c r="L4797" s="4">
        <v>4791</v>
      </c>
      <c r="M4797" s="21">
        <v>-139025.66266132254</v>
      </c>
    </row>
    <row r="4798" spans="12:13" x14ac:dyDescent="0.2">
      <c r="L4798" s="4">
        <v>4792</v>
      </c>
      <c r="M4798" s="21">
        <v>-88521.687682168951</v>
      </c>
    </row>
    <row r="4799" spans="12:13" x14ac:dyDescent="0.2">
      <c r="L4799" s="4">
        <v>4793</v>
      </c>
      <c r="M4799" s="21">
        <v>189581.5384062106</v>
      </c>
    </row>
    <row r="4800" spans="12:13" x14ac:dyDescent="0.2">
      <c r="L4800" s="4">
        <v>4794</v>
      </c>
      <c r="M4800" s="21">
        <v>11052.390530515957</v>
      </c>
    </row>
    <row r="4801" spans="12:13" x14ac:dyDescent="0.2">
      <c r="L4801" s="4">
        <v>4795</v>
      </c>
      <c r="M4801" s="21">
        <v>-65328.230051586637</v>
      </c>
    </row>
    <row r="4802" spans="12:13" x14ac:dyDescent="0.2">
      <c r="L4802" s="4">
        <v>4796</v>
      </c>
      <c r="M4802" s="21">
        <v>-80859.65822671495</v>
      </c>
    </row>
    <row r="4803" spans="12:13" x14ac:dyDescent="0.2">
      <c r="L4803" s="4">
        <v>4797</v>
      </c>
      <c r="M4803" s="21">
        <v>139438.97432561437</v>
      </c>
    </row>
    <row r="4804" spans="12:13" x14ac:dyDescent="0.2">
      <c r="L4804" s="4">
        <v>4798</v>
      </c>
      <c r="M4804" s="21">
        <v>-124687.13931569862</v>
      </c>
    </row>
    <row r="4805" spans="12:13" x14ac:dyDescent="0.2">
      <c r="L4805" s="4">
        <v>4799</v>
      </c>
      <c r="M4805" s="21">
        <v>237877.75479074428</v>
      </c>
    </row>
    <row r="4806" spans="12:13" x14ac:dyDescent="0.2">
      <c r="L4806" s="4">
        <v>4800</v>
      </c>
      <c r="M4806" s="21">
        <v>-53978.295093933368</v>
      </c>
    </row>
    <row r="4807" spans="12:13" x14ac:dyDescent="0.2">
      <c r="L4807" s="4">
        <v>4801</v>
      </c>
      <c r="M4807" s="21">
        <v>37725.752875806094</v>
      </c>
    </row>
    <row r="4808" spans="12:13" x14ac:dyDescent="0.2">
      <c r="L4808" s="4">
        <v>4802</v>
      </c>
      <c r="M4808" s="21">
        <v>-145295.65120707988</v>
      </c>
    </row>
    <row r="4809" spans="12:13" x14ac:dyDescent="0.2">
      <c r="L4809" s="4">
        <v>4803</v>
      </c>
      <c r="M4809" s="21">
        <v>47155.929184396984</v>
      </c>
    </row>
    <row r="4810" spans="12:13" x14ac:dyDescent="0.2">
      <c r="L4810" s="4">
        <v>4804</v>
      </c>
      <c r="M4810" s="21">
        <v>10925.561894919229</v>
      </c>
    </row>
    <row r="4811" spans="12:13" x14ac:dyDescent="0.2">
      <c r="L4811" s="4">
        <v>4805</v>
      </c>
      <c r="M4811" s="21">
        <v>-33593.662812901763</v>
      </c>
    </row>
    <row r="4812" spans="12:13" x14ac:dyDescent="0.2">
      <c r="L4812" s="4">
        <v>4806</v>
      </c>
      <c r="M4812" s="21">
        <v>-128248.45470871117</v>
      </c>
    </row>
    <row r="4813" spans="12:13" x14ac:dyDescent="0.2">
      <c r="L4813" s="4">
        <v>4807</v>
      </c>
      <c r="M4813" s="21">
        <v>187994.41694519174</v>
      </c>
    </row>
    <row r="4814" spans="12:13" x14ac:dyDescent="0.2">
      <c r="L4814" s="4">
        <v>4808</v>
      </c>
      <c r="M4814" s="21">
        <v>-56053.376734330493</v>
      </c>
    </row>
    <row r="4815" spans="12:13" x14ac:dyDescent="0.2">
      <c r="L4815" s="4">
        <v>4809</v>
      </c>
      <c r="M4815" s="21">
        <v>-235494.73574093584</v>
      </c>
    </row>
    <row r="4816" spans="12:13" x14ac:dyDescent="0.2">
      <c r="L4816" s="4">
        <v>4810</v>
      </c>
      <c r="M4816" s="21">
        <v>-113316.20586464155</v>
      </c>
    </row>
    <row r="4817" spans="12:13" x14ac:dyDescent="0.2">
      <c r="L4817" s="4">
        <v>4811</v>
      </c>
      <c r="M4817" s="21">
        <v>-24654.739439328026</v>
      </c>
    </row>
    <row r="4818" spans="12:13" x14ac:dyDescent="0.2">
      <c r="L4818" s="4">
        <v>4812</v>
      </c>
      <c r="M4818" s="21">
        <v>-151605.68878597426</v>
      </c>
    </row>
    <row r="4819" spans="12:13" x14ac:dyDescent="0.2">
      <c r="L4819" s="4">
        <v>4813</v>
      </c>
      <c r="M4819" s="21">
        <v>-177417.05653142327</v>
      </c>
    </row>
    <row r="4820" spans="12:13" x14ac:dyDescent="0.2">
      <c r="L4820" s="4">
        <v>4814</v>
      </c>
      <c r="M4820" s="21">
        <v>283039.18692731322</v>
      </c>
    </row>
    <row r="4821" spans="12:13" x14ac:dyDescent="0.2">
      <c r="L4821" s="4">
        <v>4815</v>
      </c>
      <c r="M4821" s="21">
        <v>137169.89694178742</v>
      </c>
    </row>
    <row r="4822" spans="12:13" x14ac:dyDescent="0.2">
      <c r="L4822" s="4">
        <v>4816</v>
      </c>
      <c r="M4822" s="21">
        <v>196262.82825354955</v>
      </c>
    </row>
    <row r="4823" spans="12:13" x14ac:dyDescent="0.2">
      <c r="L4823" s="4">
        <v>4817</v>
      </c>
      <c r="M4823" s="21">
        <v>39565.734338211856</v>
      </c>
    </row>
    <row r="4824" spans="12:13" x14ac:dyDescent="0.2">
      <c r="L4824" s="4">
        <v>4818</v>
      </c>
      <c r="M4824" s="21">
        <v>139045.87218425499</v>
      </c>
    </row>
    <row r="4825" spans="12:13" x14ac:dyDescent="0.2">
      <c r="L4825" s="4">
        <v>4819</v>
      </c>
      <c r="M4825" s="21">
        <v>260455.38038717053</v>
      </c>
    </row>
    <row r="4826" spans="12:13" x14ac:dyDescent="0.2">
      <c r="L4826" s="4">
        <v>4820</v>
      </c>
      <c r="M4826" s="21">
        <v>159673.31114408997</v>
      </c>
    </row>
    <row r="4827" spans="12:13" x14ac:dyDescent="0.2">
      <c r="L4827" s="4">
        <v>4821</v>
      </c>
      <c r="M4827" s="21">
        <v>127693.65900582363</v>
      </c>
    </row>
    <row r="4828" spans="12:13" x14ac:dyDescent="0.2">
      <c r="L4828" s="4">
        <v>4822</v>
      </c>
      <c r="M4828" s="21">
        <v>-22535.459393433979</v>
      </c>
    </row>
    <row r="4829" spans="12:13" x14ac:dyDescent="0.2">
      <c r="L4829" s="4">
        <v>4823</v>
      </c>
      <c r="M4829" s="21">
        <v>41371.568277921469</v>
      </c>
    </row>
    <row r="4830" spans="12:13" x14ac:dyDescent="0.2">
      <c r="L4830" s="4">
        <v>4824</v>
      </c>
      <c r="M4830" s="21">
        <v>-144723.46447277954</v>
      </c>
    </row>
    <row r="4831" spans="12:13" x14ac:dyDescent="0.2">
      <c r="L4831" s="4">
        <v>4825</v>
      </c>
      <c r="M4831" s="21">
        <v>-138706.3816419731</v>
      </c>
    </row>
    <row r="4832" spans="12:13" x14ac:dyDescent="0.2">
      <c r="L4832" s="4">
        <v>4826</v>
      </c>
      <c r="M4832" s="21">
        <v>3853.7905898046447</v>
      </c>
    </row>
    <row r="4833" spans="12:13" x14ac:dyDescent="0.2">
      <c r="L4833" s="4">
        <v>4827</v>
      </c>
      <c r="M4833" s="21">
        <v>81741.677986576164</v>
      </c>
    </row>
    <row r="4834" spans="12:13" x14ac:dyDescent="0.2">
      <c r="L4834" s="4">
        <v>4828</v>
      </c>
      <c r="M4834" s="21">
        <v>-155511.24836195406</v>
      </c>
    </row>
    <row r="4835" spans="12:13" x14ac:dyDescent="0.2">
      <c r="L4835" s="4">
        <v>4829</v>
      </c>
      <c r="M4835" s="21">
        <v>-41549.037660423492</v>
      </c>
    </row>
    <row r="4836" spans="12:13" x14ac:dyDescent="0.2">
      <c r="L4836" s="4">
        <v>4830</v>
      </c>
      <c r="M4836" s="21">
        <v>203106.49904909197</v>
      </c>
    </row>
    <row r="4837" spans="12:13" x14ac:dyDescent="0.2">
      <c r="L4837" s="4">
        <v>4831</v>
      </c>
      <c r="M4837" s="21">
        <v>153513.84290321599</v>
      </c>
    </row>
    <row r="4838" spans="12:13" x14ac:dyDescent="0.2">
      <c r="L4838" s="4">
        <v>4832</v>
      </c>
      <c r="M4838" s="21">
        <v>-30673.750539882341</v>
      </c>
    </row>
    <row r="4839" spans="12:13" x14ac:dyDescent="0.2">
      <c r="L4839" s="4">
        <v>4833</v>
      </c>
      <c r="M4839" s="21">
        <v>22982.369404070458</v>
      </c>
    </row>
    <row r="4840" spans="12:13" x14ac:dyDescent="0.2">
      <c r="L4840" s="4">
        <v>4834</v>
      </c>
      <c r="M4840" s="21">
        <v>4367.0419408699672</v>
      </c>
    </row>
    <row r="4841" spans="12:13" x14ac:dyDescent="0.2">
      <c r="L4841" s="4">
        <v>4835</v>
      </c>
      <c r="M4841" s="21">
        <v>-77099.793256690507</v>
      </c>
    </row>
    <row r="4842" spans="12:13" x14ac:dyDescent="0.2">
      <c r="L4842" s="4">
        <v>4836</v>
      </c>
      <c r="M4842" s="21">
        <v>161313.98241044412</v>
      </c>
    </row>
    <row r="4843" spans="12:13" x14ac:dyDescent="0.2">
      <c r="L4843" s="4">
        <v>4837</v>
      </c>
      <c r="M4843" s="21">
        <v>-258358.61452019744</v>
      </c>
    </row>
    <row r="4844" spans="12:13" x14ac:dyDescent="0.2">
      <c r="L4844" s="4">
        <v>4838</v>
      </c>
      <c r="M4844" s="21">
        <v>-92445.337942110229</v>
      </c>
    </row>
    <row r="4845" spans="12:13" x14ac:dyDescent="0.2">
      <c r="L4845" s="4">
        <v>4839</v>
      </c>
      <c r="M4845" s="21">
        <v>-10278.718726774023</v>
      </c>
    </row>
    <row r="4846" spans="12:13" x14ac:dyDescent="0.2">
      <c r="L4846" s="4">
        <v>4840</v>
      </c>
      <c r="M4846" s="21">
        <v>244060.8254327598</v>
      </c>
    </row>
    <row r="4847" spans="12:13" x14ac:dyDescent="0.2">
      <c r="L4847" s="4">
        <v>4841</v>
      </c>
      <c r="M4847" s="21">
        <v>-63850.132769198972</v>
      </c>
    </row>
    <row r="4848" spans="12:13" x14ac:dyDescent="0.2">
      <c r="L4848" s="4">
        <v>4842</v>
      </c>
      <c r="M4848" s="21">
        <v>106178.86297386902</v>
      </c>
    </row>
    <row r="4849" spans="12:13" x14ac:dyDescent="0.2">
      <c r="L4849" s="4">
        <v>4843</v>
      </c>
      <c r="M4849" s="21">
        <v>194197.78510119978</v>
      </c>
    </row>
    <row r="4850" spans="12:13" x14ac:dyDescent="0.2">
      <c r="L4850" s="4">
        <v>4844</v>
      </c>
      <c r="M4850" s="21">
        <v>-164879.89781137928</v>
      </c>
    </row>
    <row r="4851" spans="12:13" x14ac:dyDescent="0.2">
      <c r="L4851" s="4">
        <v>4845</v>
      </c>
      <c r="M4851" s="21">
        <v>-109734.2861478907</v>
      </c>
    </row>
    <row r="4852" spans="12:13" x14ac:dyDescent="0.2">
      <c r="L4852" s="4">
        <v>4846</v>
      </c>
      <c r="M4852" s="21">
        <v>-273169.24225514964</v>
      </c>
    </row>
    <row r="4853" spans="12:13" x14ac:dyDescent="0.2">
      <c r="L4853" s="4">
        <v>4847</v>
      </c>
      <c r="M4853" s="21">
        <v>131913.56761390838</v>
      </c>
    </row>
    <row r="4854" spans="12:13" x14ac:dyDescent="0.2">
      <c r="L4854" s="4">
        <v>4848</v>
      </c>
      <c r="M4854" s="21">
        <v>-119844.44863098547</v>
      </c>
    </row>
    <row r="4855" spans="12:13" x14ac:dyDescent="0.2">
      <c r="L4855" s="4">
        <v>4849</v>
      </c>
      <c r="M4855" s="21">
        <v>148288.03961675498</v>
      </c>
    </row>
    <row r="4856" spans="12:13" x14ac:dyDescent="0.2">
      <c r="L4856" s="4">
        <v>4850</v>
      </c>
      <c r="M4856" s="21">
        <v>-43459.748163295983</v>
      </c>
    </row>
    <row r="4857" spans="12:13" x14ac:dyDescent="0.2">
      <c r="L4857" s="4">
        <v>4851</v>
      </c>
      <c r="M4857" s="21">
        <v>100036.08389486047</v>
      </c>
    </row>
    <row r="4858" spans="12:13" x14ac:dyDescent="0.2">
      <c r="L4858" s="4">
        <v>4852</v>
      </c>
      <c r="M4858" s="21">
        <v>-73574.689365448387</v>
      </c>
    </row>
    <row r="4859" spans="12:13" x14ac:dyDescent="0.2">
      <c r="L4859" s="4">
        <v>4853</v>
      </c>
      <c r="M4859" s="21">
        <v>-13057.429361777176</v>
      </c>
    </row>
    <row r="4860" spans="12:13" x14ac:dyDescent="0.2">
      <c r="L4860" s="4">
        <v>4854</v>
      </c>
      <c r="M4860" s="21">
        <v>-148534.07604572838</v>
      </c>
    </row>
    <row r="4861" spans="12:13" x14ac:dyDescent="0.2">
      <c r="L4861" s="4">
        <v>4855</v>
      </c>
      <c r="M4861" s="21">
        <v>38104.420766102121</v>
      </c>
    </row>
    <row r="4862" spans="12:13" x14ac:dyDescent="0.2">
      <c r="L4862" s="4">
        <v>4856</v>
      </c>
      <c r="M4862" s="21">
        <v>194494.85523476824</v>
      </c>
    </row>
    <row r="4863" spans="12:13" x14ac:dyDescent="0.2">
      <c r="L4863" s="4">
        <v>4857</v>
      </c>
      <c r="M4863" s="21">
        <v>-135170.83888291102</v>
      </c>
    </row>
    <row r="4864" spans="12:13" x14ac:dyDescent="0.2">
      <c r="L4864" s="4">
        <v>4858</v>
      </c>
      <c r="M4864" s="21">
        <v>-451552.41782674717</v>
      </c>
    </row>
    <row r="4865" spans="12:13" x14ac:dyDescent="0.2">
      <c r="L4865" s="4">
        <v>4859</v>
      </c>
      <c r="M4865" s="21">
        <v>-150369.06268495976</v>
      </c>
    </row>
    <row r="4866" spans="12:13" x14ac:dyDescent="0.2">
      <c r="L4866" s="4">
        <v>4860</v>
      </c>
      <c r="M4866" s="21">
        <v>-157305.47486041393</v>
      </c>
    </row>
    <row r="4867" spans="12:13" x14ac:dyDescent="0.2">
      <c r="L4867" s="4">
        <v>4861</v>
      </c>
      <c r="M4867" s="21">
        <v>-47591.207665945782</v>
      </c>
    </row>
    <row r="4868" spans="12:13" x14ac:dyDescent="0.2">
      <c r="L4868" s="4">
        <v>4862</v>
      </c>
      <c r="M4868" s="21">
        <v>-183856.38485655456</v>
      </c>
    </row>
    <row r="4869" spans="12:13" x14ac:dyDescent="0.2">
      <c r="L4869" s="4">
        <v>4863</v>
      </c>
      <c r="M4869" s="21">
        <v>211196.49947798939</v>
      </c>
    </row>
    <row r="4870" spans="12:13" x14ac:dyDescent="0.2">
      <c r="L4870" s="4">
        <v>4864</v>
      </c>
      <c r="M4870" s="21">
        <v>81477.55868414641</v>
      </c>
    </row>
    <row r="4871" spans="12:13" x14ac:dyDescent="0.2">
      <c r="L4871" s="4">
        <v>4865</v>
      </c>
      <c r="M4871" s="21">
        <v>-257347.09403904347</v>
      </c>
    </row>
    <row r="4872" spans="12:13" x14ac:dyDescent="0.2">
      <c r="L4872" s="4">
        <v>4866</v>
      </c>
      <c r="M4872" s="21">
        <v>106842.09070703964</v>
      </c>
    </row>
    <row r="4873" spans="12:13" x14ac:dyDescent="0.2">
      <c r="L4873" s="4">
        <v>4867</v>
      </c>
      <c r="M4873" s="21">
        <v>14792.079839491751</v>
      </c>
    </row>
    <row r="4874" spans="12:13" x14ac:dyDescent="0.2">
      <c r="L4874" s="4">
        <v>4868</v>
      </c>
      <c r="M4874" s="21">
        <v>-77833.604096130643</v>
      </c>
    </row>
    <row r="4875" spans="12:13" x14ac:dyDescent="0.2">
      <c r="L4875" s="4">
        <v>4869</v>
      </c>
      <c r="M4875" s="21">
        <v>41577.272794888617</v>
      </c>
    </row>
    <row r="4876" spans="12:13" x14ac:dyDescent="0.2">
      <c r="L4876" s="4">
        <v>4870</v>
      </c>
      <c r="M4876" s="21">
        <v>122141.63516497385</v>
      </c>
    </row>
    <row r="4877" spans="12:13" x14ac:dyDescent="0.2">
      <c r="L4877" s="4">
        <v>4871</v>
      </c>
      <c r="M4877" s="21">
        <v>-122560.33816410931</v>
      </c>
    </row>
    <row r="4878" spans="12:13" x14ac:dyDescent="0.2">
      <c r="L4878" s="4">
        <v>4872</v>
      </c>
      <c r="M4878" s="21">
        <v>-507023.13002622308</v>
      </c>
    </row>
    <row r="4879" spans="12:13" x14ac:dyDescent="0.2">
      <c r="L4879" s="4">
        <v>4873</v>
      </c>
      <c r="M4879" s="21">
        <v>-108120.37559492953</v>
      </c>
    </row>
    <row r="4880" spans="12:13" x14ac:dyDescent="0.2">
      <c r="L4880" s="4">
        <v>4874</v>
      </c>
      <c r="M4880" s="21">
        <v>-36473.575422213849</v>
      </c>
    </row>
    <row r="4881" spans="12:13" x14ac:dyDescent="0.2">
      <c r="L4881" s="4">
        <v>4875</v>
      </c>
      <c r="M4881" s="21">
        <v>-273305.91134824895</v>
      </c>
    </row>
    <row r="4882" spans="12:13" x14ac:dyDescent="0.2">
      <c r="L4882" s="4">
        <v>4876</v>
      </c>
      <c r="M4882" s="21">
        <v>-382636.13605734101</v>
      </c>
    </row>
    <row r="4883" spans="12:13" x14ac:dyDescent="0.2">
      <c r="L4883" s="4">
        <v>4877</v>
      </c>
      <c r="M4883" s="21">
        <v>-281651.64307502506</v>
      </c>
    </row>
    <row r="4884" spans="12:13" x14ac:dyDescent="0.2">
      <c r="L4884" s="4">
        <v>4878</v>
      </c>
      <c r="M4884" s="21">
        <v>-81146.05757080976</v>
      </c>
    </row>
    <row r="4885" spans="12:13" x14ac:dyDescent="0.2">
      <c r="L4885" s="4">
        <v>4879</v>
      </c>
      <c r="M4885" s="21">
        <v>196957.37793376439</v>
      </c>
    </row>
    <row r="4886" spans="12:13" x14ac:dyDescent="0.2">
      <c r="L4886" s="4">
        <v>4880</v>
      </c>
      <c r="M4886" s="21">
        <v>-60925.80486827073</v>
      </c>
    </row>
    <row r="4887" spans="12:13" x14ac:dyDescent="0.2">
      <c r="L4887" s="4">
        <v>4881</v>
      </c>
      <c r="M4887" s="21">
        <v>10141.241453003167</v>
      </c>
    </row>
    <row r="4888" spans="12:13" x14ac:dyDescent="0.2">
      <c r="L4888" s="4">
        <v>4882</v>
      </c>
      <c r="M4888" s="21">
        <v>-12911.521959398</v>
      </c>
    </row>
    <row r="4889" spans="12:13" x14ac:dyDescent="0.2">
      <c r="L4889" s="4">
        <v>4883</v>
      </c>
      <c r="M4889" s="21">
        <v>-274208.09587833239</v>
      </c>
    </row>
    <row r="4890" spans="12:13" x14ac:dyDescent="0.2">
      <c r="L4890" s="4">
        <v>4884</v>
      </c>
      <c r="M4890" s="21">
        <v>134050.97568941474</v>
      </c>
    </row>
    <row r="4891" spans="12:13" x14ac:dyDescent="0.2">
      <c r="L4891" s="4">
        <v>4885</v>
      </c>
      <c r="M4891" s="21">
        <v>-58584.062736152904</v>
      </c>
    </row>
    <row r="4892" spans="12:13" x14ac:dyDescent="0.2">
      <c r="L4892" s="4">
        <v>4886</v>
      </c>
      <c r="M4892" s="21">
        <v>94574.86101561776</v>
      </c>
    </row>
    <row r="4893" spans="12:13" x14ac:dyDescent="0.2">
      <c r="L4893" s="4">
        <v>4887</v>
      </c>
      <c r="M4893" s="21">
        <v>241629.57334269705</v>
      </c>
    </row>
    <row r="4894" spans="12:13" x14ac:dyDescent="0.2">
      <c r="L4894" s="4">
        <v>4888</v>
      </c>
      <c r="M4894" s="21">
        <v>46668.164821282553</v>
      </c>
    </row>
    <row r="4895" spans="12:13" x14ac:dyDescent="0.2">
      <c r="L4895" s="4">
        <v>4889</v>
      </c>
      <c r="M4895" s="21">
        <v>91227.918759878376</v>
      </c>
    </row>
    <row r="4896" spans="12:13" x14ac:dyDescent="0.2">
      <c r="L4896" s="4">
        <v>4890</v>
      </c>
      <c r="M4896" s="21">
        <v>138770.99403488488</v>
      </c>
    </row>
    <row r="4897" spans="12:13" x14ac:dyDescent="0.2">
      <c r="L4897" s="4">
        <v>4891</v>
      </c>
      <c r="M4897" s="21">
        <v>-114943.24857369463</v>
      </c>
    </row>
    <row r="4898" spans="12:13" x14ac:dyDescent="0.2">
      <c r="L4898" s="4">
        <v>4892</v>
      </c>
      <c r="M4898" s="21">
        <v>-4749.135730019043</v>
      </c>
    </row>
    <row r="4899" spans="12:13" x14ac:dyDescent="0.2">
      <c r="L4899" s="4">
        <v>4893</v>
      </c>
      <c r="M4899" s="21">
        <v>25143.746826730378</v>
      </c>
    </row>
    <row r="4900" spans="12:13" x14ac:dyDescent="0.2">
      <c r="L4900" s="4">
        <v>4894</v>
      </c>
      <c r="M4900" s="21">
        <v>-284898.51673258492</v>
      </c>
    </row>
    <row r="4901" spans="12:13" x14ac:dyDescent="0.2">
      <c r="L4901" s="4">
        <v>4895</v>
      </c>
      <c r="M4901" s="21">
        <v>-81062.180590559656</v>
      </c>
    </row>
    <row r="4902" spans="12:13" x14ac:dyDescent="0.2">
      <c r="L4902" s="4">
        <v>4896</v>
      </c>
      <c r="M4902" s="21">
        <v>-68612.142162416116</v>
      </c>
    </row>
    <row r="4903" spans="12:13" x14ac:dyDescent="0.2">
      <c r="L4903" s="4">
        <v>4897</v>
      </c>
      <c r="M4903" s="21">
        <v>58115.152481740544</v>
      </c>
    </row>
    <row r="4904" spans="12:13" x14ac:dyDescent="0.2">
      <c r="L4904" s="4">
        <v>4898</v>
      </c>
      <c r="M4904" s="21">
        <v>101863.72855683404</v>
      </c>
    </row>
    <row r="4905" spans="12:13" x14ac:dyDescent="0.2">
      <c r="L4905" s="4">
        <v>4899</v>
      </c>
      <c r="M4905" s="21">
        <v>-5359.9128989370365</v>
      </c>
    </row>
    <row r="4906" spans="12:13" x14ac:dyDescent="0.2">
      <c r="L4906" s="4">
        <v>4900</v>
      </c>
      <c r="M4906" s="21">
        <v>-128963.77421204584</v>
      </c>
    </row>
    <row r="4907" spans="12:13" x14ac:dyDescent="0.2">
      <c r="L4907" s="4">
        <v>4901</v>
      </c>
      <c r="M4907" s="21">
        <v>-266602.32074906654</v>
      </c>
    </row>
    <row r="4908" spans="12:13" x14ac:dyDescent="0.2">
      <c r="L4908" s="4">
        <v>4902</v>
      </c>
      <c r="M4908" s="21">
        <v>-68359.944374237923</v>
      </c>
    </row>
    <row r="4909" spans="12:13" x14ac:dyDescent="0.2">
      <c r="L4909" s="4">
        <v>4903</v>
      </c>
      <c r="M4909" s="21">
        <v>-209579.07040339825</v>
      </c>
    </row>
    <row r="4910" spans="12:13" x14ac:dyDescent="0.2">
      <c r="L4910" s="4">
        <v>4904</v>
      </c>
      <c r="M4910" s="21">
        <v>30314.357560168573</v>
      </c>
    </row>
    <row r="4911" spans="12:13" x14ac:dyDescent="0.2">
      <c r="L4911" s="4">
        <v>4905</v>
      </c>
      <c r="M4911" s="21">
        <v>81584.65530168367</v>
      </c>
    </row>
    <row r="4912" spans="12:13" x14ac:dyDescent="0.2">
      <c r="L4912" s="4">
        <v>4906</v>
      </c>
      <c r="M4912" s="21">
        <v>89913.315141005703</v>
      </c>
    </row>
    <row r="4913" spans="12:13" x14ac:dyDescent="0.2">
      <c r="L4913" s="4">
        <v>4907</v>
      </c>
      <c r="M4913" s="21">
        <v>-73985.015513412392</v>
      </c>
    </row>
    <row r="4914" spans="12:13" x14ac:dyDescent="0.2">
      <c r="L4914" s="4">
        <v>4908</v>
      </c>
      <c r="M4914" s="21">
        <v>187979.11551705192</v>
      </c>
    </row>
    <row r="4915" spans="12:13" x14ac:dyDescent="0.2">
      <c r="L4915" s="4">
        <v>4909</v>
      </c>
      <c r="M4915" s="21">
        <v>-72262.82314660096</v>
      </c>
    </row>
    <row r="4916" spans="12:13" x14ac:dyDescent="0.2">
      <c r="L4916" s="4">
        <v>4910</v>
      </c>
      <c r="M4916" s="21">
        <v>27624.065271791769</v>
      </c>
    </row>
    <row r="4917" spans="12:13" x14ac:dyDescent="0.2">
      <c r="L4917" s="4">
        <v>4911</v>
      </c>
      <c r="M4917" s="21">
        <v>36344.292454612791</v>
      </c>
    </row>
    <row r="4918" spans="12:13" x14ac:dyDescent="0.2">
      <c r="L4918" s="4">
        <v>4912</v>
      </c>
      <c r="M4918" s="21">
        <v>-223949.75221529402</v>
      </c>
    </row>
    <row r="4919" spans="12:13" x14ac:dyDescent="0.2">
      <c r="L4919" s="4">
        <v>4913</v>
      </c>
      <c r="M4919" s="21">
        <v>-117033.37027346433</v>
      </c>
    </row>
    <row r="4920" spans="12:13" x14ac:dyDescent="0.2">
      <c r="L4920" s="4">
        <v>4914</v>
      </c>
      <c r="M4920" s="21">
        <v>134883.50249070241</v>
      </c>
    </row>
    <row r="4921" spans="12:13" x14ac:dyDescent="0.2">
      <c r="L4921" s="4">
        <v>4915</v>
      </c>
      <c r="M4921" s="21">
        <v>-5631.5449649899383</v>
      </c>
    </row>
    <row r="4922" spans="12:13" x14ac:dyDescent="0.2">
      <c r="L4922" s="4">
        <v>4916</v>
      </c>
      <c r="M4922" s="21">
        <v>-194264.46599173802</v>
      </c>
    </row>
    <row r="4923" spans="12:13" x14ac:dyDescent="0.2">
      <c r="L4923" s="4">
        <v>4917</v>
      </c>
      <c r="M4923" s="21">
        <v>87911.480560977827</v>
      </c>
    </row>
    <row r="4924" spans="12:13" x14ac:dyDescent="0.2">
      <c r="L4924" s="4">
        <v>4918</v>
      </c>
      <c r="M4924" s="21">
        <v>-216317.39335744939</v>
      </c>
    </row>
    <row r="4925" spans="12:13" x14ac:dyDescent="0.2">
      <c r="L4925" s="4">
        <v>4919</v>
      </c>
      <c r="M4925" s="21">
        <v>-21927.611820991922</v>
      </c>
    </row>
    <row r="4926" spans="12:13" x14ac:dyDescent="0.2">
      <c r="L4926" s="4">
        <v>4920</v>
      </c>
      <c r="M4926" s="21">
        <v>-157230.63491415646</v>
      </c>
    </row>
    <row r="4927" spans="12:13" x14ac:dyDescent="0.2">
      <c r="L4927" s="4">
        <v>4921</v>
      </c>
      <c r="M4927" s="21">
        <v>-184829.58309098321</v>
      </c>
    </row>
    <row r="4928" spans="12:13" x14ac:dyDescent="0.2">
      <c r="L4928" s="4">
        <v>4922</v>
      </c>
      <c r="M4928" s="21">
        <v>-110267.95807582267</v>
      </c>
    </row>
    <row r="4929" spans="12:13" x14ac:dyDescent="0.2">
      <c r="L4929" s="4">
        <v>4923</v>
      </c>
      <c r="M4929" s="21">
        <v>-88439.048866813915</v>
      </c>
    </row>
    <row r="4930" spans="12:13" x14ac:dyDescent="0.2">
      <c r="L4930" s="4">
        <v>4924</v>
      </c>
      <c r="M4930" s="21">
        <v>-225749.68098501104</v>
      </c>
    </row>
    <row r="4931" spans="12:13" x14ac:dyDescent="0.2">
      <c r="L4931" s="4">
        <v>4925</v>
      </c>
      <c r="M4931" s="21">
        <v>-43857.392744465236</v>
      </c>
    </row>
    <row r="4932" spans="12:13" x14ac:dyDescent="0.2">
      <c r="L4932" s="4">
        <v>4926</v>
      </c>
      <c r="M4932" s="21">
        <v>-10635.131023953785</v>
      </c>
    </row>
    <row r="4933" spans="12:13" x14ac:dyDescent="0.2">
      <c r="L4933" s="4">
        <v>4927</v>
      </c>
      <c r="M4933" s="21">
        <v>-117626.72684841859</v>
      </c>
    </row>
    <row r="4934" spans="12:13" x14ac:dyDescent="0.2">
      <c r="L4934" s="4">
        <v>4928</v>
      </c>
      <c r="M4934" s="21">
        <v>-10239.635029918791</v>
      </c>
    </row>
    <row r="4935" spans="12:13" x14ac:dyDescent="0.2">
      <c r="L4935" s="4">
        <v>4929</v>
      </c>
      <c r="M4935" s="21">
        <v>119687.19046155512</v>
      </c>
    </row>
    <row r="4936" spans="12:13" x14ac:dyDescent="0.2">
      <c r="L4936" s="4">
        <v>4930</v>
      </c>
      <c r="M4936" s="21">
        <v>-191725.02802004651</v>
      </c>
    </row>
    <row r="4937" spans="12:13" x14ac:dyDescent="0.2">
      <c r="L4937" s="4">
        <v>4931</v>
      </c>
      <c r="M4937" s="21">
        <v>37955.18082090051</v>
      </c>
    </row>
    <row r="4938" spans="12:13" x14ac:dyDescent="0.2">
      <c r="L4938" s="4">
        <v>4932</v>
      </c>
      <c r="M4938" s="21">
        <v>33032.010713247932</v>
      </c>
    </row>
    <row r="4939" spans="12:13" x14ac:dyDescent="0.2">
      <c r="L4939" s="4">
        <v>4933</v>
      </c>
      <c r="M4939" s="21">
        <v>106978.21680742825</v>
      </c>
    </row>
    <row r="4940" spans="12:13" x14ac:dyDescent="0.2">
      <c r="L4940" s="4">
        <v>4934</v>
      </c>
      <c r="M4940" s="21">
        <v>-47755.914905575701</v>
      </c>
    </row>
    <row r="4941" spans="12:13" x14ac:dyDescent="0.2">
      <c r="L4941" s="4">
        <v>4935</v>
      </c>
      <c r="M4941" s="21">
        <v>-95414.686218706091</v>
      </c>
    </row>
    <row r="4942" spans="12:13" x14ac:dyDescent="0.2">
      <c r="L4942" s="4">
        <v>4936</v>
      </c>
      <c r="M4942" s="21">
        <v>-139575.84435159591</v>
      </c>
    </row>
    <row r="4943" spans="12:13" x14ac:dyDescent="0.2">
      <c r="L4943" s="4">
        <v>4937</v>
      </c>
      <c r="M4943" s="21">
        <v>57071.453015778534</v>
      </c>
    </row>
    <row r="4944" spans="12:13" x14ac:dyDescent="0.2">
      <c r="L4944" s="4">
        <v>4938</v>
      </c>
      <c r="M4944" s="21">
        <v>134176.24042929316</v>
      </c>
    </row>
    <row r="4945" spans="12:13" x14ac:dyDescent="0.2">
      <c r="L4945" s="4">
        <v>4939</v>
      </c>
      <c r="M4945" s="21">
        <v>47915.283799241763</v>
      </c>
    </row>
    <row r="4946" spans="12:13" x14ac:dyDescent="0.2">
      <c r="L4946" s="4">
        <v>4940</v>
      </c>
      <c r="M4946" s="21">
        <v>32159.296384087065</v>
      </c>
    </row>
    <row r="4947" spans="12:13" x14ac:dyDescent="0.2">
      <c r="L4947" s="4">
        <v>4941</v>
      </c>
      <c r="M4947" s="21">
        <v>-26277.238378644979</v>
      </c>
    </row>
    <row r="4948" spans="12:13" x14ac:dyDescent="0.2">
      <c r="L4948" s="4">
        <v>4942</v>
      </c>
      <c r="M4948" s="21">
        <v>-101554.58734979361</v>
      </c>
    </row>
    <row r="4949" spans="12:13" x14ac:dyDescent="0.2">
      <c r="L4949" s="4">
        <v>4943</v>
      </c>
      <c r="M4949" s="21">
        <v>26772.576845641219</v>
      </c>
    </row>
    <row r="4950" spans="12:13" x14ac:dyDescent="0.2">
      <c r="L4950" s="4">
        <v>4944</v>
      </c>
      <c r="M4950" s="21">
        <v>-59143.96461787002</v>
      </c>
    </row>
    <row r="4951" spans="12:13" x14ac:dyDescent="0.2">
      <c r="L4951" s="4">
        <v>4945</v>
      </c>
      <c r="M4951" s="21">
        <v>-6615.5576295464707</v>
      </c>
    </row>
    <row r="4952" spans="12:13" x14ac:dyDescent="0.2">
      <c r="L4952" s="4">
        <v>4946</v>
      </c>
      <c r="M4952" s="21">
        <v>-269953.07545418304</v>
      </c>
    </row>
    <row r="4953" spans="12:13" x14ac:dyDescent="0.2">
      <c r="L4953" s="4">
        <v>4947</v>
      </c>
      <c r="M4953" s="21">
        <v>189809.25629641014</v>
      </c>
    </row>
    <row r="4954" spans="12:13" x14ac:dyDescent="0.2">
      <c r="L4954" s="4">
        <v>4948</v>
      </c>
      <c r="M4954" s="21">
        <v>222360.49983403485</v>
      </c>
    </row>
    <row r="4955" spans="12:13" x14ac:dyDescent="0.2">
      <c r="L4955" s="4">
        <v>4949</v>
      </c>
      <c r="M4955" s="21">
        <v>-49315.064877253739</v>
      </c>
    </row>
    <row r="4956" spans="12:13" x14ac:dyDescent="0.2">
      <c r="L4956" s="4">
        <v>4950</v>
      </c>
      <c r="M4956" s="21">
        <v>-57884.297986532998</v>
      </c>
    </row>
    <row r="4957" spans="12:13" x14ac:dyDescent="0.2">
      <c r="L4957" s="4">
        <v>4951</v>
      </c>
      <c r="M4957" s="21">
        <v>-273031.04058390658</v>
      </c>
    </row>
    <row r="4958" spans="12:13" x14ac:dyDescent="0.2">
      <c r="L4958" s="4">
        <v>4952</v>
      </c>
      <c r="M4958" s="21">
        <v>214044.99100838782</v>
      </c>
    </row>
    <row r="4959" spans="12:13" x14ac:dyDescent="0.2">
      <c r="L4959" s="4">
        <v>4953</v>
      </c>
      <c r="M4959" s="21">
        <v>-240870.49061896009</v>
      </c>
    </row>
    <row r="4960" spans="12:13" x14ac:dyDescent="0.2">
      <c r="L4960" s="4">
        <v>4954</v>
      </c>
      <c r="M4960" s="21">
        <v>72340.925827510073</v>
      </c>
    </row>
    <row r="4961" spans="12:13" x14ac:dyDescent="0.2">
      <c r="L4961" s="4">
        <v>4955</v>
      </c>
      <c r="M4961" s="21">
        <v>-64080.245948079842</v>
      </c>
    </row>
    <row r="4962" spans="12:13" x14ac:dyDescent="0.2">
      <c r="L4962" s="4">
        <v>4956</v>
      </c>
      <c r="M4962" s="21">
        <v>-150408.35110436054</v>
      </c>
    </row>
    <row r="4963" spans="12:13" x14ac:dyDescent="0.2">
      <c r="L4963" s="4">
        <v>4957</v>
      </c>
      <c r="M4963" s="21">
        <v>-28773.588965889125</v>
      </c>
    </row>
    <row r="4964" spans="12:13" x14ac:dyDescent="0.2">
      <c r="L4964" s="4">
        <v>4958</v>
      </c>
      <c r="M4964" s="21">
        <v>-19205.82619066468</v>
      </c>
    </row>
    <row r="4965" spans="12:13" x14ac:dyDescent="0.2">
      <c r="L4965" s="4">
        <v>4959</v>
      </c>
      <c r="M4965" s="21">
        <v>-105708.12814082326</v>
      </c>
    </row>
    <row r="4966" spans="12:13" x14ac:dyDescent="0.2">
      <c r="L4966" s="4">
        <v>4960</v>
      </c>
      <c r="M4966" s="21">
        <v>-168329.19415174611</v>
      </c>
    </row>
    <row r="4967" spans="12:13" x14ac:dyDescent="0.2">
      <c r="L4967" s="4">
        <v>4961</v>
      </c>
      <c r="M4967" s="21">
        <v>147270.8171811869</v>
      </c>
    </row>
    <row r="4968" spans="12:13" x14ac:dyDescent="0.2">
      <c r="L4968" s="4">
        <v>4962</v>
      </c>
      <c r="M4968" s="21">
        <v>97103.296627462754</v>
      </c>
    </row>
    <row r="4969" spans="12:13" x14ac:dyDescent="0.2">
      <c r="L4969" s="4">
        <v>4963</v>
      </c>
      <c r="M4969" s="21">
        <v>127739.79601799528</v>
      </c>
    </row>
    <row r="4970" spans="12:13" x14ac:dyDescent="0.2">
      <c r="L4970" s="4">
        <v>4964</v>
      </c>
      <c r="M4970" s="21">
        <v>-59117.935951443244</v>
      </c>
    </row>
    <row r="4971" spans="12:13" x14ac:dyDescent="0.2">
      <c r="L4971" s="4">
        <v>4965</v>
      </c>
      <c r="M4971" s="21">
        <v>-39788.455915652754</v>
      </c>
    </row>
    <row r="4972" spans="12:13" x14ac:dyDescent="0.2">
      <c r="L4972" s="4">
        <v>4966</v>
      </c>
      <c r="M4972" s="21">
        <v>-2208.3852659021213</v>
      </c>
    </row>
    <row r="4973" spans="12:13" x14ac:dyDescent="0.2">
      <c r="L4973" s="4">
        <v>4967</v>
      </c>
      <c r="M4973" s="21">
        <v>163728.71947895977</v>
      </c>
    </row>
    <row r="4974" spans="12:13" x14ac:dyDescent="0.2">
      <c r="L4974" s="4">
        <v>4968</v>
      </c>
      <c r="M4974" s="21">
        <v>-51257.837912629664</v>
      </c>
    </row>
    <row r="4975" spans="12:13" x14ac:dyDescent="0.2">
      <c r="L4975" s="4">
        <v>4969</v>
      </c>
      <c r="M4975" s="21">
        <v>-114592.24445998561</v>
      </c>
    </row>
    <row r="4976" spans="12:13" x14ac:dyDescent="0.2">
      <c r="L4976" s="4">
        <v>4970</v>
      </c>
      <c r="M4976" s="21">
        <v>-37430.083580974766</v>
      </c>
    </row>
    <row r="4977" spans="12:13" x14ac:dyDescent="0.2">
      <c r="L4977" s="4">
        <v>4971</v>
      </c>
      <c r="M4977" s="21">
        <v>-20838.756707762557</v>
      </c>
    </row>
    <row r="4978" spans="12:13" x14ac:dyDescent="0.2">
      <c r="L4978" s="4">
        <v>4972</v>
      </c>
      <c r="M4978" s="21">
        <v>-300010.08261051547</v>
      </c>
    </row>
    <row r="4979" spans="12:13" x14ac:dyDescent="0.2">
      <c r="L4979" s="4">
        <v>4973</v>
      </c>
      <c r="M4979" s="21">
        <v>67749.92733804218</v>
      </c>
    </row>
    <row r="4980" spans="12:13" x14ac:dyDescent="0.2">
      <c r="L4980" s="4">
        <v>4974</v>
      </c>
      <c r="M4980" s="21">
        <v>316795.92466551752</v>
      </c>
    </row>
    <row r="4981" spans="12:13" x14ac:dyDescent="0.2">
      <c r="L4981" s="4">
        <v>4975</v>
      </c>
      <c r="M4981" s="21">
        <v>132132.7437505516</v>
      </c>
    </row>
    <row r="4982" spans="12:13" x14ac:dyDescent="0.2">
      <c r="L4982" s="4">
        <v>4976</v>
      </c>
      <c r="M4982" s="21">
        <v>92497.306664414966</v>
      </c>
    </row>
    <row r="4983" spans="12:13" x14ac:dyDescent="0.2">
      <c r="L4983" s="4">
        <v>4977</v>
      </c>
      <c r="M4983" s="21">
        <v>-77032.780211648758</v>
      </c>
    </row>
    <row r="4984" spans="12:13" x14ac:dyDescent="0.2">
      <c r="L4984" s="4">
        <v>4978</v>
      </c>
      <c r="M4984" s="21">
        <v>-173825.39743974636</v>
      </c>
    </row>
    <row r="4985" spans="12:13" x14ac:dyDescent="0.2">
      <c r="L4985" s="4">
        <v>4979</v>
      </c>
      <c r="M4985" s="21">
        <v>112471.98228671585</v>
      </c>
    </row>
    <row r="4986" spans="12:13" x14ac:dyDescent="0.2">
      <c r="L4986" s="4">
        <v>4980</v>
      </c>
      <c r="M4986" s="21">
        <v>26662.146141631471</v>
      </c>
    </row>
    <row r="4987" spans="12:13" x14ac:dyDescent="0.2">
      <c r="L4987" s="4">
        <v>4981</v>
      </c>
      <c r="M4987" s="21">
        <v>146621.48952934437</v>
      </c>
    </row>
    <row r="4988" spans="12:13" x14ac:dyDescent="0.2">
      <c r="L4988" s="4">
        <v>4982</v>
      </c>
      <c r="M4988" s="21">
        <v>10971.769735647831</v>
      </c>
    </row>
    <row r="4989" spans="12:13" x14ac:dyDescent="0.2">
      <c r="L4989" s="4">
        <v>4983</v>
      </c>
      <c r="M4989" s="21">
        <v>117733.8604185211</v>
      </c>
    </row>
    <row r="4990" spans="12:13" x14ac:dyDescent="0.2">
      <c r="L4990" s="4">
        <v>4984</v>
      </c>
      <c r="M4990" s="21">
        <v>-228000.27685608435</v>
      </c>
    </row>
    <row r="4991" spans="12:13" x14ac:dyDescent="0.2">
      <c r="L4991" s="4">
        <v>4985</v>
      </c>
      <c r="M4991" s="21">
        <v>193724.18796115305</v>
      </c>
    </row>
    <row r="4992" spans="12:13" x14ac:dyDescent="0.2">
      <c r="L4992" s="4">
        <v>4986</v>
      </c>
      <c r="M4992" s="21">
        <v>288504.80350594257</v>
      </c>
    </row>
    <row r="4993" spans="12:13" x14ac:dyDescent="0.2">
      <c r="L4993" s="4">
        <v>4987</v>
      </c>
      <c r="M4993" s="21">
        <v>60498.184338353312</v>
      </c>
    </row>
    <row r="4994" spans="12:13" x14ac:dyDescent="0.2">
      <c r="L4994" s="4">
        <v>4988</v>
      </c>
      <c r="M4994" s="21">
        <v>105461.61472620122</v>
      </c>
    </row>
    <row r="4995" spans="12:13" x14ac:dyDescent="0.2">
      <c r="L4995" s="4">
        <v>4989</v>
      </c>
      <c r="M4995" s="21">
        <v>-234022.52910145541</v>
      </c>
    </row>
    <row r="4996" spans="12:13" x14ac:dyDescent="0.2">
      <c r="L4996" s="4">
        <v>4990</v>
      </c>
      <c r="M4996" s="21">
        <v>-67142.041146122661</v>
      </c>
    </row>
    <row r="4997" spans="12:13" x14ac:dyDescent="0.2">
      <c r="L4997" s="4">
        <v>4991</v>
      </c>
      <c r="M4997" s="21">
        <v>59402.654146449524</v>
      </c>
    </row>
    <row r="4998" spans="12:13" x14ac:dyDescent="0.2">
      <c r="L4998" s="4">
        <v>4992</v>
      </c>
      <c r="M4998" s="21">
        <v>152238.23249780343</v>
      </c>
    </row>
    <row r="4999" spans="12:13" x14ac:dyDescent="0.2">
      <c r="L4999" s="4">
        <v>4993</v>
      </c>
      <c r="M4999" s="21">
        <v>-203207.59499065817</v>
      </c>
    </row>
    <row r="5000" spans="12:13" x14ac:dyDescent="0.2">
      <c r="L5000" s="4">
        <v>4994</v>
      </c>
      <c r="M5000" s="21">
        <v>3120.3220040561573</v>
      </c>
    </row>
    <row r="5001" spans="12:13" x14ac:dyDescent="0.2">
      <c r="L5001" s="4">
        <v>4995</v>
      </c>
      <c r="M5001" s="21">
        <v>-35241.598964626595</v>
      </c>
    </row>
    <row r="5002" spans="12:13" x14ac:dyDescent="0.2">
      <c r="L5002" s="4">
        <v>4996</v>
      </c>
      <c r="M5002" s="21">
        <v>122842.98128443261</v>
      </c>
    </row>
    <row r="5003" spans="12:13" x14ac:dyDescent="0.2">
      <c r="L5003" s="4">
        <v>4997</v>
      </c>
      <c r="M5003" s="21">
        <v>180901.82380258307</v>
      </c>
    </row>
    <row r="5004" spans="12:13" x14ac:dyDescent="0.2">
      <c r="L5004" s="4">
        <v>4998</v>
      </c>
      <c r="M5004" s="21">
        <v>-223742.81052478903</v>
      </c>
    </row>
    <row r="5005" spans="12:13" x14ac:dyDescent="0.2">
      <c r="L5005" s="4">
        <v>4999</v>
      </c>
      <c r="M5005" s="21">
        <v>-23058.567922891292</v>
      </c>
    </row>
    <row r="5006" spans="12:13" x14ac:dyDescent="0.2">
      <c r="L5006" s="4">
        <v>5000</v>
      </c>
      <c r="M5006" s="21">
        <v>-122471.86970052446</v>
      </c>
    </row>
  </sheetData>
  <pageMargins left="0.75" right="0.75" top="1" bottom="1" header="0.5" footer="0.5"/>
  <pageSetup paperSize="9" fitToHeight="0" orientation="landscape"/>
  <rowBreaks count="2" manualBreakCount="2">
    <brk id="29" max="16383" man="1"/>
    <brk id="59" max="16383" man="1"/>
  </rowBreaks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006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" customWidth="1"/>
    <col min="2" max="2" width="46" customWidth="1"/>
    <col min="3" max="3" width="15" customWidth="1"/>
    <col min="4" max="8" width="13" customWidth="1"/>
    <col min="9" max="10" width="14" customWidth="1"/>
    <col min="11" max="11" width="3" customWidth="1"/>
    <col min="12" max="12" width="10" customWidth="1"/>
    <col min="13" max="13" width="14" customWidth="1"/>
    <col min="14" max="14" width="12" customWidth="1"/>
    <col min="15" max="15" width="13" customWidth="1"/>
    <col min="16" max="16" width="3" customWidth="1"/>
    <col min="17" max="18" width="13" customWidth="1"/>
    <col min="19" max="19" width="11" customWidth="1"/>
    <col min="20" max="20" width="10" customWidth="1"/>
    <col min="21" max="22" width="11" customWidth="1"/>
  </cols>
  <sheetData>
    <row r="1" spans="2:22" ht="18" x14ac:dyDescent="0.2">
      <c r="B1" s="16" t="s">
        <v>133</v>
      </c>
    </row>
    <row r="2" spans="2:22" x14ac:dyDescent="0.2">
      <c r="B2" s="2" t="s">
        <v>134</v>
      </c>
    </row>
    <row r="3" spans="2:22" x14ac:dyDescent="0.2">
      <c r="B3" s="2" t="s">
        <v>36</v>
      </c>
    </row>
    <row r="4" spans="2:22" x14ac:dyDescent="0.2">
      <c r="L4" s="3" t="s">
        <v>37</v>
      </c>
      <c r="M4" s="3"/>
      <c r="N4" s="3"/>
      <c r="O4" s="3"/>
      <c r="Q4" s="3" t="s">
        <v>38</v>
      </c>
      <c r="R4" s="3"/>
      <c r="S4" s="3"/>
      <c r="T4" s="3"/>
      <c r="U4" s="3"/>
      <c r="V4" s="3"/>
    </row>
    <row r="5" spans="2:22" x14ac:dyDescent="0.2">
      <c r="B5" s="3" t="s">
        <v>39</v>
      </c>
      <c r="C5" s="3"/>
      <c r="D5" s="3"/>
      <c r="E5" s="3"/>
      <c r="F5" s="3"/>
      <c r="G5" s="3"/>
      <c r="H5" s="3"/>
      <c r="I5" s="3"/>
      <c r="J5" s="3"/>
      <c r="L5" s="5" t="s">
        <v>40</v>
      </c>
      <c r="M5" s="6" t="s">
        <v>41</v>
      </c>
      <c r="N5" s="6" t="s">
        <v>135</v>
      </c>
      <c r="O5" s="6" t="s">
        <v>136</v>
      </c>
      <c r="Q5" s="4" t="s">
        <v>42</v>
      </c>
      <c r="R5" s="17">
        <f>ROUNDUP((MAX($M$7:$M$5006)-MIN($M$7:$M$5006))/30/10000,0)*10000</f>
        <v>30000</v>
      </c>
    </row>
    <row r="6" spans="2:22" x14ac:dyDescent="0.2">
      <c r="B6" s="4" t="s">
        <v>43</v>
      </c>
      <c r="C6" s="18">
        <v>1</v>
      </c>
      <c r="D6" s="2" t="s">
        <v>44</v>
      </c>
      <c r="M6" s="19">
        <f ca="1">$C$45</f>
        <v>103081.38342283963</v>
      </c>
      <c r="N6" s="40">
        <f ca="1">$I$18</f>
        <v>49.536026204232797</v>
      </c>
      <c r="O6" s="41">
        <f ca="1">$I$19</f>
        <v>15776.818135581358</v>
      </c>
      <c r="Q6" s="5" t="s">
        <v>45</v>
      </c>
      <c r="R6" s="6" t="s">
        <v>46</v>
      </c>
      <c r="S6" s="6" t="s">
        <v>47</v>
      </c>
      <c r="T6" s="6" t="s">
        <v>48</v>
      </c>
      <c r="U6" s="6" t="s">
        <v>49</v>
      </c>
      <c r="V6" s="6" t="s">
        <v>50</v>
      </c>
    </row>
    <row r="7" spans="2:22" x14ac:dyDescent="0.2">
      <c r="B7" s="4" t="s">
        <v>51</v>
      </c>
      <c r="C7" s="20">
        <v>800000</v>
      </c>
      <c r="L7" s="4">
        <v>1</v>
      </c>
      <c r="M7" s="21">
        <f t="dataTable" ref="M7:O5006" dt2D="0" dtr="0" r1="Z1" ca="1"/>
        <v>-32434.196137590523</v>
      </c>
      <c r="N7" s="42">
        <v>50.605277210898258</v>
      </c>
      <c r="O7" s="43">
        <v>15307.860547625787</v>
      </c>
      <c r="Q7" s="17">
        <f>INT(MIN($M$7:$M$5006)/$R$5)*$R$5</f>
        <v>-420000</v>
      </c>
      <c r="R7" s="17">
        <f t="shared" ref="R7:R38" si="0">Q7+$R$5</f>
        <v>-390000</v>
      </c>
      <c r="S7" s="12" t="str">
        <f t="shared" ref="S7:S38" si="1">TEXT((Q7+R7)/2000,"#,##0")&amp;"k"</f>
        <v>-405k</v>
      </c>
      <c r="T7" s="22">
        <f t="shared" ref="T7:T38" si="2">COUNTIFS($M$7:$M$5006,"&gt;="&amp;Q7,$M$7:$M$5006,"&lt;"&amp;R7)</f>
        <v>3</v>
      </c>
      <c r="U7" s="23">
        <f t="shared" ref="U7:U38" si="3">IF(R7&lt;=0,T7/COUNT($M$7:$M$5006),0)</f>
        <v>5.9999999999999995E-4</v>
      </c>
      <c r="V7" s="23">
        <f t="shared" ref="V7:V38" si="4">IF(Q7&gt;=0,T7/COUNT($M$7:$M$5006),0)</f>
        <v>0</v>
      </c>
    </row>
    <row r="8" spans="2:22" x14ac:dyDescent="0.2">
      <c r="B8" s="4" t="s">
        <v>52</v>
      </c>
      <c r="C8" s="24">
        <v>15000</v>
      </c>
      <c r="L8" s="4">
        <v>2</v>
      </c>
      <c r="M8" s="21">
        <v>191036.03181511004</v>
      </c>
      <c r="N8" s="42">
        <v>49.584878968504611</v>
      </c>
      <c r="O8" s="43">
        <v>15706.344369452263</v>
      </c>
      <c r="Q8" s="17">
        <f t="shared" ref="Q8:Q38" si="5">R7</f>
        <v>-390000</v>
      </c>
      <c r="R8" s="17">
        <f t="shared" si="0"/>
        <v>-360000</v>
      </c>
      <c r="S8" s="12" t="str">
        <f t="shared" si="1"/>
        <v>-375k</v>
      </c>
      <c r="T8" s="22">
        <f t="shared" si="2"/>
        <v>4</v>
      </c>
      <c r="U8" s="23">
        <f t="shared" si="3"/>
        <v>8.0000000000000004E-4</v>
      </c>
      <c r="V8" s="23">
        <f t="shared" si="4"/>
        <v>0</v>
      </c>
    </row>
    <row r="9" spans="2:22" x14ac:dyDescent="0.2">
      <c r="B9" s="4" t="s">
        <v>53</v>
      </c>
      <c r="C9" s="25">
        <v>50</v>
      </c>
      <c r="L9" s="4">
        <v>3</v>
      </c>
      <c r="M9" s="21">
        <v>-219694.6432138838</v>
      </c>
      <c r="N9" s="42">
        <v>49.311952500992668</v>
      </c>
      <c r="O9" s="43">
        <v>12754.894421107201</v>
      </c>
      <c r="Q9" s="17">
        <f t="shared" si="5"/>
        <v>-360000</v>
      </c>
      <c r="R9" s="17">
        <f t="shared" si="0"/>
        <v>-330000</v>
      </c>
      <c r="S9" s="12" t="str">
        <f t="shared" si="1"/>
        <v>-345k</v>
      </c>
      <c r="T9" s="22">
        <f t="shared" si="2"/>
        <v>11</v>
      </c>
      <c r="U9" s="23">
        <f t="shared" si="3"/>
        <v>2.2000000000000001E-3</v>
      </c>
      <c r="V9" s="23">
        <f t="shared" si="4"/>
        <v>0</v>
      </c>
    </row>
    <row r="10" spans="2:22" x14ac:dyDescent="0.2">
      <c r="B10" s="4" t="s">
        <v>54</v>
      </c>
      <c r="C10" s="25">
        <v>30</v>
      </c>
      <c r="L10" s="4">
        <v>4</v>
      </c>
      <c r="M10" s="21">
        <v>-71596.213313322805</v>
      </c>
      <c r="N10" s="42">
        <v>47.307315487214652</v>
      </c>
      <c r="O10" s="43">
        <v>18109.407253489211</v>
      </c>
      <c r="Q10" s="17">
        <f t="shared" si="5"/>
        <v>-330000</v>
      </c>
      <c r="R10" s="17">
        <f t="shared" si="0"/>
        <v>-300000</v>
      </c>
      <c r="S10" s="12" t="str">
        <f t="shared" si="1"/>
        <v>-315k</v>
      </c>
      <c r="T10" s="22">
        <f t="shared" si="2"/>
        <v>19</v>
      </c>
      <c r="U10" s="23">
        <f t="shared" si="3"/>
        <v>3.8E-3</v>
      </c>
      <c r="V10" s="23">
        <f t="shared" si="4"/>
        <v>0</v>
      </c>
    </row>
    <row r="11" spans="2:22" x14ac:dyDescent="0.2">
      <c r="B11" s="4" t="s">
        <v>55</v>
      </c>
      <c r="C11" s="20">
        <v>80000</v>
      </c>
      <c r="L11" s="4">
        <v>5</v>
      </c>
      <c r="M11" s="21">
        <v>1867.7031909394136</v>
      </c>
      <c r="N11" s="42">
        <v>49.594372102481209</v>
      </c>
      <c r="O11" s="43">
        <v>16658.790953681262</v>
      </c>
      <c r="Q11" s="17">
        <f t="shared" si="5"/>
        <v>-300000</v>
      </c>
      <c r="R11" s="17">
        <f t="shared" si="0"/>
        <v>-270000</v>
      </c>
      <c r="S11" s="12" t="str">
        <f t="shared" si="1"/>
        <v>-285k</v>
      </c>
      <c r="T11" s="22">
        <f t="shared" si="2"/>
        <v>35</v>
      </c>
      <c r="U11" s="23">
        <f t="shared" si="3"/>
        <v>7.0000000000000001E-3</v>
      </c>
      <c r="V11" s="23">
        <f t="shared" si="4"/>
        <v>0</v>
      </c>
    </row>
    <row r="12" spans="2:22" x14ac:dyDescent="0.2">
      <c r="B12" s="4" t="s">
        <v>56</v>
      </c>
      <c r="C12" s="26">
        <v>0.1</v>
      </c>
      <c r="L12" s="4">
        <v>6</v>
      </c>
      <c r="M12" s="21">
        <v>-62542.865989472106</v>
      </c>
      <c r="N12" s="42">
        <v>50.072582490236037</v>
      </c>
      <c r="O12" s="43">
        <v>15125.077911149574</v>
      </c>
      <c r="Q12" s="17">
        <f t="shared" si="5"/>
        <v>-270000</v>
      </c>
      <c r="R12" s="17">
        <f t="shared" si="0"/>
        <v>-240000</v>
      </c>
      <c r="S12" s="12" t="str">
        <f t="shared" si="1"/>
        <v>-255k</v>
      </c>
      <c r="T12" s="22">
        <f t="shared" si="2"/>
        <v>64</v>
      </c>
      <c r="U12" s="23">
        <f t="shared" si="3"/>
        <v>1.2800000000000001E-2</v>
      </c>
      <c r="V12" s="23">
        <f t="shared" si="4"/>
        <v>0</v>
      </c>
    </row>
    <row r="13" spans="2:22" x14ac:dyDescent="0.2">
      <c r="B13" s="4" t="s">
        <v>112</v>
      </c>
      <c r="C13" s="24">
        <v>17000</v>
      </c>
      <c r="L13" s="4">
        <v>7</v>
      </c>
      <c r="M13" s="21">
        <v>12265.433568831621</v>
      </c>
      <c r="N13" s="42">
        <v>47.919753578091864</v>
      </c>
      <c r="O13" s="43">
        <v>14729.774398861196</v>
      </c>
      <c r="Q13" s="17">
        <f t="shared" si="5"/>
        <v>-240000</v>
      </c>
      <c r="R13" s="17">
        <f t="shared" si="0"/>
        <v>-210000</v>
      </c>
      <c r="S13" s="12" t="str">
        <f t="shared" si="1"/>
        <v>-225k</v>
      </c>
      <c r="T13" s="22">
        <f t="shared" si="2"/>
        <v>115</v>
      </c>
      <c r="U13" s="23">
        <f t="shared" si="3"/>
        <v>2.3E-2</v>
      </c>
      <c r="V13" s="23">
        <f t="shared" si="4"/>
        <v>0</v>
      </c>
    </row>
    <row r="14" spans="2:22" x14ac:dyDescent="0.2">
      <c r="B14" s="4" t="s">
        <v>137</v>
      </c>
      <c r="C14" s="44">
        <v>-0.5</v>
      </c>
      <c r="L14" s="4">
        <v>8</v>
      </c>
      <c r="M14" s="21">
        <v>7069.5026797450846</v>
      </c>
      <c r="N14" s="42">
        <v>47.829624782196206</v>
      </c>
      <c r="O14" s="43">
        <v>14495.100381914615</v>
      </c>
      <c r="Q14" s="17">
        <f t="shared" si="5"/>
        <v>-210000</v>
      </c>
      <c r="R14" s="17">
        <f t="shared" si="0"/>
        <v>-180000</v>
      </c>
      <c r="S14" s="12" t="str">
        <f t="shared" si="1"/>
        <v>-195k</v>
      </c>
      <c r="T14" s="22">
        <f t="shared" si="2"/>
        <v>158</v>
      </c>
      <c r="U14" s="23">
        <f t="shared" si="3"/>
        <v>3.1600000000000003E-2</v>
      </c>
      <c r="V14" s="23">
        <f t="shared" si="4"/>
        <v>0</v>
      </c>
    </row>
    <row r="15" spans="2:22" x14ac:dyDescent="0.2">
      <c r="L15" s="4">
        <v>9</v>
      </c>
      <c r="M15" s="21">
        <v>409716.18456675904</v>
      </c>
      <c r="N15" s="42">
        <v>50.67946735705128</v>
      </c>
      <c r="O15" s="43">
        <v>17172.450511794141</v>
      </c>
      <c r="Q15" s="17">
        <f t="shared" si="5"/>
        <v>-180000</v>
      </c>
      <c r="R15" s="17">
        <f t="shared" si="0"/>
        <v>-150000</v>
      </c>
      <c r="S15" s="12" t="str">
        <f t="shared" si="1"/>
        <v>-165k</v>
      </c>
      <c r="T15" s="22">
        <f t="shared" si="2"/>
        <v>254</v>
      </c>
      <c r="U15" s="23">
        <f t="shared" si="3"/>
        <v>5.0799999999999998E-2</v>
      </c>
      <c r="V15" s="23">
        <f t="shared" si="4"/>
        <v>0</v>
      </c>
    </row>
    <row r="16" spans="2:22" x14ac:dyDescent="0.2">
      <c r="B16" s="3" t="s">
        <v>57</v>
      </c>
      <c r="C16" s="3"/>
      <c r="D16" s="3"/>
      <c r="E16" s="3"/>
      <c r="F16" s="3"/>
      <c r="G16" s="3"/>
      <c r="H16" s="3"/>
      <c r="I16" s="3"/>
      <c r="J16" s="3"/>
      <c r="L16" s="4">
        <v>10</v>
      </c>
      <c r="M16" s="21">
        <v>-62179.081630398403</v>
      </c>
      <c r="N16" s="42">
        <v>50.075741409733574</v>
      </c>
      <c r="O16" s="43">
        <v>13079.137549338655</v>
      </c>
      <c r="Q16" s="17">
        <f t="shared" si="5"/>
        <v>-150000</v>
      </c>
      <c r="R16" s="17">
        <f t="shared" si="0"/>
        <v>-120000</v>
      </c>
      <c r="S16" s="12" t="str">
        <f t="shared" si="1"/>
        <v>-135k</v>
      </c>
      <c r="T16" s="22">
        <f t="shared" si="2"/>
        <v>321</v>
      </c>
      <c r="U16" s="23">
        <f t="shared" si="3"/>
        <v>6.4199999999999993E-2</v>
      </c>
      <c r="V16" s="23">
        <f t="shared" si="4"/>
        <v>0</v>
      </c>
    </row>
    <row r="17" spans="2:22" x14ac:dyDescent="0.2">
      <c r="B17" s="5" t="s">
        <v>58</v>
      </c>
      <c r="C17" s="6" t="s">
        <v>59</v>
      </c>
      <c r="D17" s="6" t="s">
        <v>60</v>
      </c>
      <c r="E17" s="6" t="s">
        <v>61</v>
      </c>
      <c r="F17" s="6" t="s">
        <v>62</v>
      </c>
      <c r="G17" s="6" t="s">
        <v>63</v>
      </c>
      <c r="H17" s="6" t="s">
        <v>64</v>
      </c>
      <c r="I17" s="6" t="s">
        <v>65</v>
      </c>
      <c r="J17" s="6" t="s">
        <v>66</v>
      </c>
      <c r="L17" s="4">
        <v>11</v>
      </c>
      <c r="M17" s="21">
        <v>-72216.965544870836</v>
      </c>
      <c r="N17" s="42">
        <v>51.082898709405121</v>
      </c>
      <c r="O17" s="43">
        <v>12855.613152487786</v>
      </c>
      <c r="Q17" s="17">
        <f t="shared" si="5"/>
        <v>-120000</v>
      </c>
      <c r="R17" s="17">
        <f t="shared" si="0"/>
        <v>-90000</v>
      </c>
      <c r="S17" s="12" t="str">
        <f t="shared" si="1"/>
        <v>-105k</v>
      </c>
      <c r="T17" s="22">
        <f t="shared" si="2"/>
        <v>416</v>
      </c>
      <c r="U17" s="23">
        <f t="shared" si="3"/>
        <v>8.3199999999999996E-2</v>
      </c>
      <c r="V17" s="23">
        <f t="shared" si="4"/>
        <v>0</v>
      </c>
    </row>
    <row r="18" spans="2:22" x14ac:dyDescent="0.2">
      <c r="B18" s="4" t="s">
        <v>53</v>
      </c>
      <c r="C18" s="4" t="s">
        <v>113</v>
      </c>
      <c r="D18" s="27">
        <f>(F18+4*G18+H18)/6</f>
        <v>49.333333333333336</v>
      </c>
      <c r="F18" s="25">
        <v>44</v>
      </c>
      <c r="G18" s="25">
        <v>50</v>
      </c>
      <c r="H18" s="25">
        <v>52</v>
      </c>
      <c r="I18" s="27">
        <f ca="1">_xlfn.BETA.INV(G32,C23,C24,F18,H18)</f>
        <v>49.536026204232797</v>
      </c>
      <c r="J18" s="28">
        <f ca="1">IF($C$6=1,I18,$C$9)</f>
        <v>49.536026204232797</v>
      </c>
      <c r="L18" s="4">
        <v>12</v>
      </c>
      <c r="M18" s="21">
        <v>-25471.189376218696</v>
      </c>
      <c r="N18" s="42">
        <v>49.782962850122175</v>
      </c>
      <c r="O18" s="43">
        <v>14809.418101292609</v>
      </c>
      <c r="Q18" s="17">
        <f t="shared" si="5"/>
        <v>-90000</v>
      </c>
      <c r="R18" s="17">
        <f t="shared" si="0"/>
        <v>-60000</v>
      </c>
      <c r="S18" s="12" t="str">
        <f t="shared" si="1"/>
        <v>-75k</v>
      </c>
      <c r="T18" s="22">
        <f t="shared" si="2"/>
        <v>436</v>
      </c>
      <c r="U18" s="23">
        <f t="shared" si="3"/>
        <v>8.72E-2</v>
      </c>
      <c r="V18" s="23">
        <f t="shared" si="4"/>
        <v>0</v>
      </c>
    </row>
    <row r="19" spans="2:22" x14ac:dyDescent="0.2">
      <c r="B19" s="4" t="s">
        <v>114</v>
      </c>
      <c r="C19" s="4" t="s">
        <v>67</v>
      </c>
      <c r="D19" s="24">
        <v>15000</v>
      </c>
      <c r="E19" s="24">
        <v>1500</v>
      </c>
      <c r="I19" s="22">
        <f ca="1">_xlfn.NORM.INV(H32,D19,E19)</f>
        <v>15776.818135581358</v>
      </c>
      <c r="J19" s="29">
        <f ca="1">IF($C$6=1,MIN(I19,$C$13),$C$8)</f>
        <v>15776.818135581358</v>
      </c>
      <c r="L19" s="4">
        <v>13</v>
      </c>
      <c r="M19" s="21">
        <v>-182457.83820827137</v>
      </c>
      <c r="N19" s="42">
        <v>50.731448148311586</v>
      </c>
      <c r="O19" s="43">
        <v>13707.835908838926</v>
      </c>
      <c r="Q19" s="17">
        <f t="shared" si="5"/>
        <v>-60000</v>
      </c>
      <c r="R19" s="17">
        <f t="shared" si="0"/>
        <v>-30000</v>
      </c>
      <c r="S19" s="12" t="str">
        <f t="shared" si="1"/>
        <v>-45k</v>
      </c>
      <c r="T19" s="22">
        <f t="shared" si="2"/>
        <v>508</v>
      </c>
      <c r="U19" s="23">
        <f t="shared" si="3"/>
        <v>0.1016</v>
      </c>
      <c r="V19" s="23">
        <f t="shared" si="4"/>
        <v>0</v>
      </c>
    </row>
    <row r="20" spans="2:22" x14ac:dyDescent="0.2">
      <c r="B20" s="4" t="s">
        <v>54</v>
      </c>
      <c r="C20" s="4" t="s">
        <v>115</v>
      </c>
      <c r="D20" s="27">
        <f>C28</f>
        <v>30.0625</v>
      </c>
      <c r="E20" s="32">
        <f>C29</f>
        <v>1.2443443482986767</v>
      </c>
      <c r="I20" s="27">
        <f ca="1">_xlfn.NORM.INV(RAND(),D20,E20)</f>
        <v>29.365254685869715</v>
      </c>
      <c r="J20" s="28">
        <f ca="1">IF($C$6=1,I20,$C$10)</f>
        <v>29.365254685869715</v>
      </c>
      <c r="L20" s="4">
        <v>14</v>
      </c>
      <c r="M20" s="21">
        <v>17552.900721694139</v>
      </c>
      <c r="N20" s="42">
        <v>50.934465718492739</v>
      </c>
      <c r="O20" s="43">
        <v>14060.970416508657</v>
      </c>
      <c r="Q20" s="17">
        <f t="shared" si="5"/>
        <v>-30000</v>
      </c>
      <c r="R20" s="17">
        <f t="shared" si="0"/>
        <v>0</v>
      </c>
      <c r="S20" s="12" t="str">
        <f t="shared" si="1"/>
        <v>-15k</v>
      </c>
      <c r="T20" s="22">
        <f t="shared" si="2"/>
        <v>457</v>
      </c>
      <c r="U20" s="23">
        <f t="shared" si="3"/>
        <v>9.1399999999999995E-2</v>
      </c>
      <c r="V20" s="23">
        <f t="shared" si="4"/>
        <v>0</v>
      </c>
    </row>
    <row r="21" spans="2:22" x14ac:dyDescent="0.2">
      <c r="B21" s="4" t="s">
        <v>55</v>
      </c>
      <c r="C21" s="4" t="s">
        <v>116</v>
      </c>
      <c r="J21" s="17">
        <f>$C$11</f>
        <v>80000</v>
      </c>
      <c r="L21" s="4">
        <v>15</v>
      </c>
      <c r="M21" s="21">
        <v>-74997.804315503658</v>
      </c>
      <c r="N21" s="42">
        <v>48.719704108276574</v>
      </c>
      <c r="O21" s="43">
        <v>15359.912630998913</v>
      </c>
      <c r="Q21" s="17">
        <f t="shared" si="5"/>
        <v>0</v>
      </c>
      <c r="R21" s="17">
        <f t="shared" si="0"/>
        <v>30000</v>
      </c>
      <c r="S21" s="12" t="str">
        <f t="shared" si="1"/>
        <v>15k</v>
      </c>
      <c r="T21" s="22">
        <f t="shared" si="2"/>
        <v>469</v>
      </c>
      <c r="U21" s="23">
        <f t="shared" si="3"/>
        <v>0</v>
      </c>
      <c r="V21" s="23">
        <f t="shared" si="4"/>
        <v>9.3799999999999994E-2</v>
      </c>
    </row>
    <row r="22" spans="2:22" x14ac:dyDescent="0.2">
      <c r="L22" s="4">
        <v>16</v>
      </c>
      <c r="M22" s="21">
        <v>-48737.113226323811</v>
      </c>
      <c r="N22" s="42">
        <v>50.124658015888116</v>
      </c>
      <c r="O22" s="43">
        <v>13718.614111545085</v>
      </c>
      <c r="Q22" s="17">
        <f t="shared" si="5"/>
        <v>30000</v>
      </c>
      <c r="R22" s="17">
        <f t="shared" si="0"/>
        <v>60000</v>
      </c>
      <c r="S22" s="12" t="str">
        <f t="shared" si="1"/>
        <v>45k</v>
      </c>
      <c r="T22" s="22">
        <f t="shared" si="2"/>
        <v>424</v>
      </c>
      <c r="U22" s="23">
        <f t="shared" si="3"/>
        <v>0</v>
      </c>
      <c r="V22" s="23">
        <f t="shared" si="4"/>
        <v>8.48E-2</v>
      </c>
    </row>
    <row r="23" spans="2:22" x14ac:dyDescent="0.2">
      <c r="B23" s="34" t="s">
        <v>117</v>
      </c>
      <c r="C23" s="39">
        <f>1+4*(G18-F18)/(H18-F18)</f>
        <v>4</v>
      </c>
      <c r="D23" s="2" t="s">
        <v>118</v>
      </c>
      <c r="L23" s="4">
        <v>17</v>
      </c>
      <c r="M23" s="21">
        <v>153987.20317710916</v>
      </c>
      <c r="N23" s="42">
        <v>50.819577015773334</v>
      </c>
      <c r="O23" s="43">
        <v>15943.76189960483</v>
      </c>
      <c r="Q23" s="17">
        <f t="shared" si="5"/>
        <v>60000</v>
      </c>
      <c r="R23" s="17">
        <f t="shared" si="0"/>
        <v>90000</v>
      </c>
      <c r="S23" s="12" t="str">
        <f t="shared" si="1"/>
        <v>75k</v>
      </c>
      <c r="T23" s="22">
        <f t="shared" si="2"/>
        <v>348</v>
      </c>
      <c r="U23" s="23">
        <f t="shared" si="3"/>
        <v>0</v>
      </c>
      <c r="V23" s="23">
        <f t="shared" si="4"/>
        <v>6.9599999999999995E-2</v>
      </c>
    </row>
    <row r="24" spans="2:22" x14ac:dyDescent="0.2">
      <c r="B24" s="34" t="s">
        <v>119</v>
      </c>
      <c r="C24" s="39">
        <f>1+4*(H18-G18)/(H18-F18)</f>
        <v>2</v>
      </c>
      <c r="L24" s="4">
        <v>18</v>
      </c>
      <c r="M24" s="21">
        <v>-39952.690919681088</v>
      </c>
      <c r="N24" s="42">
        <v>50.86061226582909</v>
      </c>
      <c r="O24" s="43">
        <v>15067.332496670302</v>
      </c>
      <c r="Q24" s="17">
        <f t="shared" si="5"/>
        <v>90000</v>
      </c>
      <c r="R24" s="17">
        <f t="shared" si="0"/>
        <v>120000</v>
      </c>
      <c r="S24" s="12" t="str">
        <f t="shared" si="1"/>
        <v>105k</v>
      </c>
      <c r="T24" s="22">
        <f t="shared" si="2"/>
        <v>289</v>
      </c>
      <c r="U24" s="23">
        <f t="shared" si="3"/>
        <v>0</v>
      </c>
      <c r="V24" s="23">
        <f t="shared" si="4"/>
        <v>5.7799999999999997E-2</v>
      </c>
    </row>
    <row r="25" spans="2:22" x14ac:dyDescent="0.2">
      <c r="L25" s="4">
        <v>19</v>
      </c>
      <c r="M25" s="21">
        <v>-24055.996448915248</v>
      </c>
      <c r="N25" s="42">
        <v>47.247084084487575</v>
      </c>
      <c r="O25" s="43">
        <v>15781.908500612672</v>
      </c>
      <c r="Q25" s="17">
        <f t="shared" si="5"/>
        <v>120000</v>
      </c>
      <c r="R25" s="17">
        <f t="shared" si="0"/>
        <v>150000</v>
      </c>
      <c r="S25" s="12" t="str">
        <f t="shared" si="1"/>
        <v>135k</v>
      </c>
      <c r="T25" s="22">
        <f t="shared" si="2"/>
        <v>237</v>
      </c>
      <c r="U25" s="23">
        <f t="shared" si="3"/>
        <v>0</v>
      </c>
      <c r="V25" s="23">
        <f t="shared" si="4"/>
        <v>4.7399999999999998E-2</v>
      </c>
    </row>
    <row r="26" spans="2:22" x14ac:dyDescent="0.2">
      <c r="B26" s="5" t="s">
        <v>120</v>
      </c>
      <c r="C26" s="6" t="s">
        <v>121</v>
      </c>
      <c r="D26" s="6" t="s">
        <v>122</v>
      </c>
      <c r="E26" s="6" t="s">
        <v>123</v>
      </c>
      <c r="F26" s="6" t="s">
        <v>124</v>
      </c>
      <c r="G26" s="6" t="s">
        <v>125</v>
      </c>
      <c r="H26" s="6" t="s">
        <v>126</v>
      </c>
      <c r="I26" s="6" t="s">
        <v>127</v>
      </c>
      <c r="J26" s="6" t="s">
        <v>128</v>
      </c>
      <c r="L26" s="4">
        <v>20</v>
      </c>
      <c r="M26" s="21">
        <v>189832.83577750518</v>
      </c>
      <c r="N26" s="42">
        <v>50.584427824758592</v>
      </c>
      <c r="O26" s="43">
        <v>14278.726852822918</v>
      </c>
      <c r="Q26" s="17">
        <f t="shared" si="5"/>
        <v>150000</v>
      </c>
      <c r="R26" s="17">
        <f t="shared" si="0"/>
        <v>180000</v>
      </c>
      <c r="S26" s="12" t="str">
        <f t="shared" si="1"/>
        <v>165k</v>
      </c>
      <c r="T26" s="22">
        <f t="shared" si="2"/>
        <v>165</v>
      </c>
      <c r="U26" s="23">
        <f t="shared" si="3"/>
        <v>0</v>
      </c>
      <c r="V26" s="23">
        <f t="shared" si="4"/>
        <v>3.3000000000000002E-2</v>
      </c>
    </row>
    <row r="27" spans="2:22" x14ac:dyDescent="0.2">
      <c r="B27" s="4" t="s">
        <v>129</v>
      </c>
      <c r="C27" s="25">
        <v>28.5</v>
      </c>
      <c r="D27" s="25">
        <v>29</v>
      </c>
      <c r="E27" s="25">
        <v>31.2</v>
      </c>
      <c r="F27" s="25">
        <v>30.4</v>
      </c>
      <c r="G27" s="25">
        <v>29.8</v>
      </c>
      <c r="H27" s="25">
        <v>32.1</v>
      </c>
      <c r="I27" s="25">
        <v>30.6</v>
      </c>
      <c r="J27" s="25">
        <v>28.9</v>
      </c>
      <c r="L27" s="4">
        <v>21</v>
      </c>
      <c r="M27" s="21">
        <v>-102295.34526193597</v>
      </c>
      <c r="N27" s="42">
        <v>48.852831881033815</v>
      </c>
      <c r="O27" s="43">
        <v>15756.095966613697</v>
      </c>
      <c r="Q27" s="17">
        <f t="shared" si="5"/>
        <v>180000</v>
      </c>
      <c r="R27" s="17">
        <f t="shared" si="0"/>
        <v>210000</v>
      </c>
      <c r="S27" s="12" t="str">
        <f t="shared" si="1"/>
        <v>195k</v>
      </c>
      <c r="T27" s="22">
        <f t="shared" si="2"/>
        <v>115</v>
      </c>
      <c r="U27" s="23">
        <f t="shared" si="3"/>
        <v>0</v>
      </c>
      <c r="V27" s="23">
        <f t="shared" si="4"/>
        <v>2.3E-2</v>
      </c>
    </row>
    <row r="28" spans="2:22" x14ac:dyDescent="0.2">
      <c r="B28" s="34" t="s">
        <v>130</v>
      </c>
      <c r="C28" s="32">
        <f>AVERAGE(C27:J27)</f>
        <v>30.0625</v>
      </c>
      <c r="L28" s="4">
        <v>22</v>
      </c>
      <c r="M28" s="21">
        <v>-262928.81019320956</v>
      </c>
      <c r="N28" s="42">
        <v>47.315089476715237</v>
      </c>
      <c r="O28" s="43">
        <v>15091.130651341182</v>
      </c>
      <c r="Q28" s="17">
        <f t="shared" si="5"/>
        <v>210000</v>
      </c>
      <c r="R28" s="17">
        <f t="shared" si="0"/>
        <v>240000</v>
      </c>
      <c r="S28" s="12" t="str">
        <f t="shared" si="1"/>
        <v>225k</v>
      </c>
      <c r="T28" s="22">
        <f t="shared" si="2"/>
        <v>68</v>
      </c>
      <c r="U28" s="23">
        <f t="shared" si="3"/>
        <v>0</v>
      </c>
      <c r="V28" s="23">
        <f t="shared" si="4"/>
        <v>1.3599999999999999E-2</v>
      </c>
    </row>
    <row r="29" spans="2:22" x14ac:dyDescent="0.2">
      <c r="B29" s="34" t="s">
        <v>131</v>
      </c>
      <c r="C29" s="32">
        <f>_xlfn.STDEV.S(C27:J27)</f>
        <v>1.2443443482986767</v>
      </c>
      <c r="D29" s="2" t="s">
        <v>132</v>
      </c>
      <c r="L29" s="4">
        <v>23</v>
      </c>
      <c r="M29" s="21">
        <v>-56102.040583309572</v>
      </c>
      <c r="N29" s="42">
        <v>49.864945930721802</v>
      </c>
      <c r="O29" s="43">
        <v>13960.724137445291</v>
      </c>
      <c r="Q29" s="17">
        <f t="shared" si="5"/>
        <v>240000</v>
      </c>
      <c r="R29" s="17">
        <f t="shared" si="0"/>
        <v>270000</v>
      </c>
      <c r="S29" s="12" t="str">
        <f t="shared" si="1"/>
        <v>255k</v>
      </c>
      <c r="T29" s="22">
        <f t="shared" si="2"/>
        <v>43</v>
      </c>
      <c r="U29" s="23">
        <f t="shared" si="3"/>
        <v>0</v>
      </c>
      <c r="V29" s="23">
        <f t="shared" si="4"/>
        <v>8.6E-3</v>
      </c>
    </row>
    <row r="30" spans="2:22" x14ac:dyDescent="0.2">
      <c r="L30" s="4">
        <v>24</v>
      </c>
      <c r="M30" s="21">
        <v>108189.68106352229</v>
      </c>
      <c r="N30" s="42">
        <v>49.580924908715879</v>
      </c>
      <c r="O30" s="43">
        <v>15139.182431452406</v>
      </c>
      <c r="Q30" s="17">
        <f t="shared" si="5"/>
        <v>270000</v>
      </c>
      <c r="R30" s="17">
        <f t="shared" si="0"/>
        <v>300000</v>
      </c>
      <c r="S30" s="12" t="str">
        <f t="shared" si="1"/>
        <v>285k</v>
      </c>
      <c r="T30" s="22">
        <f t="shared" si="2"/>
        <v>18</v>
      </c>
      <c r="U30" s="23">
        <f t="shared" si="3"/>
        <v>0</v>
      </c>
      <c r="V30" s="23">
        <f t="shared" si="4"/>
        <v>3.5999999999999999E-3</v>
      </c>
    </row>
    <row r="31" spans="2:22" ht="29" x14ac:dyDescent="0.2">
      <c r="B31" s="5" t="s">
        <v>138</v>
      </c>
      <c r="C31" s="6" t="s">
        <v>139</v>
      </c>
      <c r="D31" s="6" t="s">
        <v>140</v>
      </c>
      <c r="E31" s="6" t="s">
        <v>141</v>
      </c>
      <c r="F31" s="6" t="s">
        <v>142</v>
      </c>
      <c r="G31" s="6" t="s">
        <v>143</v>
      </c>
      <c r="H31" s="6" t="s">
        <v>144</v>
      </c>
      <c r="L31" s="4">
        <v>25</v>
      </c>
      <c r="M31" s="21">
        <v>-176302.10383081372</v>
      </c>
      <c r="N31" s="42">
        <v>48.107549094160227</v>
      </c>
      <c r="O31" s="43">
        <v>15343.16071547301</v>
      </c>
      <c r="Q31" s="17">
        <f t="shared" si="5"/>
        <v>300000</v>
      </c>
      <c r="R31" s="17">
        <f t="shared" si="0"/>
        <v>330000</v>
      </c>
      <c r="S31" s="12" t="str">
        <f t="shared" si="1"/>
        <v>315k</v>
      </c>
      <c r="T31" s="22">
        <f t="shared" si="2"/>
        <v>14</v>
      </c>
      <c r="U31" s="23">
        <f t="shared" si="3"/>
        <v>0</v>
      </c>
      <c r="V31" s="23">
        <f t="shared" si="4"/>
        <v>2.8E-3</v>
      </c>
    </row>
    <row r="32" spans="2:22" x14ac:dyDescent="0.2">
      <c r="B32" s="4" t="s">
        <v>145</v>
      </c>
      <c r="C32" s="32">
        <f ca="1">_xlfn.NORM.S.INV(RAND())</f>
        <v>2.9653337765350372E-2</v>
      </c>
      <c r="D32" s="32">
        <f ca="1">_xlfn.NORM.S.INV(RAND())</f>
        <v>0.61511524212690183</v>
      </c>
      <c r="E32" s="32">
        <f ca="1">C32</f>
        <v>2.9653337765350372E-2</v>
      </c>
      <c r="F32" s="32">
        <f ca="1">$C$14*C32+SQRT(1-$C$14^2)*D32</f>
        <v>0.51787875705423769</v>
      </c>
      <c r="G32" s="32">
        <f ca="1">_xlfn.NORM.S.DIST(E32,TRUE)</f>
        <v>0.51182823669584021</v>
      </c>
      <c r="H32" s="32">
        <f ca="1">_xlfn.NORM.S.DIST(F32,TRUE)</f>
        <v>0.69772856786710369</v>
      </c>
      <c r="L32" s="4">
        <v>26</v>
      </c>
      <c r="M32" s="21">
        <v>-136163.1925673896</v>
      </c>
      <c r="N32" s="42">
        <v>48.713480266679909</v>
      </c>
      <c r="O32" s="43">
        <v>14747.494709556702</v>
      </c>
      <c r="Q32" s="17">
        <f t="shared" si="5"/>
        <v>330000</v>
      </c>
      <c r="R32" s="17">
        <f t="shared" si="0"/>
        <v>360000</v>
      </c>
      <c r="S32" s="12" t="str">
        <f t="shared" si="1"/>
        <v>345k</v>
      </c>
      <c r="T32" s="22">
        <f t="shared" si="2"/>
        <v>5</v>
      </c>
      <c r="U32" s="23">
        <f t="shared" si="3"/>
        <v>0</v>
      </c>
      <c r="V32" s="23">
        <f t="shared" si="4"/>
        <v>1E-3</v>
      </c>
    </row>
    <row r="33" spans="2:22" x14ac:dyDescent="0.2">
      <c r="B33" s="2" t="s">
        <v>146</v>
      </c>
      <c r="L33" s="4">
        <v>27</v>
      </c>
      <c r="M33" s="21">
        <v>-181188.22626191322</v>
      </c>
      <c r="N33" s="42">
        <v>49.343377114981685</v>
      </c>
      <c r="O33" s="43">
        <v>12747.581955562157</v>
      </c>
      <c r="Q33" s="17">
        <f t="shared" si="5"/>
        <v>360000</v>
      </c>
      <c r="R33" s="17">
        <f t="shared" si="0"/>
        <v>390000</v>
      </c>
      <c r="S33" s="12" t="str">
        <f t="shared" si="1"/>
        <v>375k</v>
      </c>
      <c r="T33" s="22">
        <f t="shared" si="2"/>
        <v>1</v>
      </c>
      <c r="U33" s="23">
        <f t="shared" si="3"/>
        <v>0</v>
      </c>
      <c r="V33" s="23">
        <f t="shared" si="4"/>
        <v>2.0000000000000001E-4</v>
      </c>
    </row>
    <row r="34" spans="2:22" x14ac:dyDescent="0.2">
      <c r="L34" s="4">
        <v>28</v>
      </c>
      <c r="M34" s="21">
        <v>-37026.187820562947</v>
      </c>
      <c r="N34" s="42">
        <v>49.349032035962431</v>
      </c>
      <c r="O34" s="43">
        <v>14471.698211945884</v>
      </c>
      <c r="Q34" s="17">
        <f t="shared" si="5"/>
        <v>390000</v>
      </c>
      <c r="R34" s="17">
        <f t="shared" si="0"/>
        <v>420000</v>
      </c>
      <c r="S34" s="12" t="str">
        <f t="shared" si="1"/>
        <v>405k</v>
      </c>
      <c r="T34" s="22">
        <f t="shared" si="2"/>
        <v>1</v>
      </c>
      <c r="U34" s="23">
        <f t="shared" si="3"/>
        <v>0</v>
      </c>
      <c r="V34" s="23">
        <f t="shared" si="4"/>
        <v>2.0000000000000001E-4</v>
      </c>
    </row>
    <row r="35" spans="2:22" x14ac:dyDescent="0.2">
      <c r="B35" s="3" t="s">
        <v>68</v>
      </c>
      <c r="C35" s="3"/>
      <c r="D35" s="3"/>
      <c r="E35" s="3"/>
      <c r="F35" s="3"/>
      <c r="G35" s="3"/>
      <c r="H35" s="3"/>
      <c r="I35" s="3"/>
      <c r="J35" s="3"/>
      <c r="L35" s="4">
        <v>29</v>
      </c>
      <c r="M35" s="21">
        <v>-176368.77419937472</v>
      </c>
      <c r="N35" s="42">
        <v>47.264090684467135</v>
      </c>
      <c r="O35" s="43">
        <v>15938.993077083092</v>
      </c>
      <c r="Q35" s="17">
        <f t="shared" si="5"/>
        <v>420000</v>
      </c>
      <c r="R35" s="17">
        <f t="shared" si="0"/>
        <v>450000</v>
      </c>
      <c r="S35" s="12" t="str">
        <f t="shared" si="1"/>
        <v>435k</v>
      </c>
      <c r="T35" s="22">
        <f t="shared" si="2"/>
        <v>2</v>
      </c>
      <c r="U35" s="23">
        <f t="shared" si="3"/>
        <v>0</v>
      </c>
      <c r="V35" s="23">
        <f t="shared" si="4"/>
        <v>4.0000000000000002E-4</v>
      </c>
    </row>
    <row r="36" spans="2:22" x14ac:dyDescent="0.2">
      <c r="B36" s="5" t="s">
        <v>69</v>
      </c>
      <c r="C36" s="6" t="s">
        <v>70</v>
      </c>
      <c r="D36" s="6" t="s">
        <v>71</v>
      </c>
      <c r="E36" s="6" t="s">
        <v>72</v>
      </c>
      <c r="F36" s="6" t="s">
        <v>73</v>
      </c>
      <c r="G36" s="6" t="s">
        <v>74</v>
      </c>
      <c r="H36" s="6" t="s">
        <v>75</v>
      </c>
      <c r="L36" s="4">
        <v>30</v>
      </c>
      <c r="M36" s="21">
        <v>-142412.23453017074</v>
      </c>
      <c r="N36" s="42">
        <v>46.946218266139958</v>
      </c>
      <c r="O36" s="43">
        <v>15085.635629662824</v>
      </c>
      <c r="Q36" s="17">
        <f t="shared" si="5"/>
        <v>450000</v>
      </c>
      <c r="R36" s="17">
        <f t="shared" si="0"/>
        <v>480000</v>
      </c>
      <c r="S36" s="12" t="str">
        <f t="shared" si="1"/>
        <v>465k</v>
      </c>
      <c r="T36" s="22">
        <f t="shared" si="2"/>
        <v>0</v>
      </c>
      <c r="U36" s="23">
        <f t="shared" si="3"/>
        <v>0</v>
      </c>
      <c r="V36" s="23">
        <f t="shared" si="4"/>
        <v>0</v>
      </c>
    </row>
    <row r="37" spans="2:22" x14ac:dyDescent="0.2">
      <c r="B37" s="4" t="s">
        <v>76</v>
      </c>
      <c r="C37" s="17">
        <f>-$C$7</f>
        <v>-800000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L37" s="4">
        <v>31</v>
      </c>
      <c r="M37" s="21">
        <v>51403.698360753624</v>
      </c>
      <c r="N37" s="42">
        <v>47.739322614498668</v>
      </c>
      <c r="O37" s="43">
        <v>15484.320237739958</v>
      </c>
      <c r="Q37" s="17">
        <f t="shared" si="5"/>
        <v>480000</v>
      </c>
      <c r="R37" s="17">
        <f t="shared" si="0"/>
        <v>510000</v>
      </c>
      <c r="S37" s="12" t="str">
        <f t="shared" si="1"/>
        <v>495k</v>
      </c>
      <c r="T37" s="22">
        <f t="shared" si="2"/>
        <v>0</v>
      </c>
      <c r="U37" s="23">
        <f t="shared" si="3"/>
        <v>0</v>
      </c>
      <c r="V37" s="23">
        <f t="shared" si="4"/>
        <v>0</v>
      </c>
    </row>
    <row r="38" spans="2:22" x14ac:dyDescent="0.2">
      <c r="B38" s="4" t="s">
        <v>77</v>
      </c>
      <c r="C38" s="17">
        <v>0</v>
      </c>
      <c r="D38" s="17">
        <f ca="1">$J$19*$J$18</f>
        <v>781520.87658357341</v>
      </c>
      <c r="E38" s="17">
        <f ca="1">$J$19*$J$18</f>
        <v>781520.87658357341</v>
      </c>
      <c r="F38" s="17">
        <f ca="1">$J$19*$J$18</f>
        <v>781520.87658357341</v>
      </c>
      <c r="G38" s="17">
        <f ca="1">$J$19*$J$18</f>
        <v>781520.87658357341</v>
      </c>
      <c r="H38" s="17">
        <f ca="1">$J$19*$J$18</f>
        <v>781520.87658357341</v>
      </c>
      <c r="L38" s="4">
        <v>32</v>
      </c>
      <c r="M38" s="21">
        <v>90934.593717262818</v>
      </c>
      <c r="N38" s="42">
        <v>50.036592978171853</v>
      </c>
      <c r="O38" s="43">
        <v>15125.59294303256</v>
      </c>
      <c r="Q38" s="17">
        <f t="shared" si="5"/>
        <v>510000</v>
      </c>
      <c r="R38" s="17">
        <f t="shared" si="0"/>
        <v>540000</v>
      </c>
      <c r="S38" s="12" t="str">
        <f t="shared" si="1"/>
        <v>525k</v>
      </c>
      <c r="T38" s="22">
        <f t="shared" si="2"/>
        <v>0</v>
      </c>
      <c r="U38" s="23">
        <f t="shared" si="3"/>
        <v>0</v>
      </c>
      <c r="V38" s="23">
        <f t="shared" si="4"/>
        <v>0</v>
      </c>
    </row>
    <row r="39" spans="2:22" x14ac:dyDescent="0.2">
      <c r="B39" s="4" t="s">
        <v>78</v>
      </c>
      <c r="C39" s="17">
        <v>0</v>
      </c>
      <c r="D39" s="17">
        <f ca="1">-$J$19*$J$20</f>
        <v>-463290.28268399474</v>
      </c>
      <c r="E39" s="17">
        <f ca="1">-$J$19*$J$20</f>
        <v>-463290.28268399474</v>
      </c>
      <c r="F39" s="17">
        <f ca="1">-$J$19*$J$20</f>
        <v>-463290.28268399474</v>
      </c>
      <c r="G39" s="17">
        <f ca="1">-$J$19*$J$20</f>
        <v>-463290.28268399474</v>
      </c>
      <c r="H39" s="17">
        <f ca="1">-$J$19*$J$20</f>
        <v>-463290.28268399474</v>
      </c>
      <c r="L39" s="4">
        <v>33</v>
      </c>
      <c r="M39" s="21">
        <v>-2965.7961882928939</v>
      </c>
      <c r="N39" s="42">
        <v>47.786599223889858</v>
      </c>
      <c r="O39" s="43">
        <v>15596.11282726613</v>
      </c>
      <c r="Q39" s="4" t="s">
        <v>96</v>
      </c>
      <c r="T39" s="36">
        <f>SUM(T7:T38)/COUNT($M$7:$M$5006)</f>
        <v>1</v>
      </c>
    </row>
    <row r="40" spans="2:22" x14ac:dyDescent="0.2">
      <c r="B40" s="4" t="s">
        <v>79</v>
      </c>
      <c r="C40" s="17">
        <v>0</v>
      </c>
      <c r="D40" s="17">
        <f>-$C$11</f>
        <v>-80000</v>
      </c>
      <c r="E40" s="17">
        <f>-$C$11</f>
        <v>-80000</v>
      </c>
      <c r="F40" s="17">
        <f>-$C$11</f>
        <v>-80000</v>
      </c>
      <c r="G40" s="17">
        <f>-$C$11</f>
        <v>-80000</v>
      </c>
      <c r="H40" s="17">
        <f>-$C$11</f>
        <v>-80000</v>
      </c>
      <c r="L40" s="4">
        <v>34</v>
      </c>
      <c r="M40" s="21">
        <v>-260139.03092045552</v>
      </c>
      <c r="N40" s="42">
        <v>47.829236514095399</v>
      </c>
      <c r="O40" s="43">
        <v>13911.674296273051</v>
      </c>
    </row>
    <row r="41" spans="2:22" x14ac:dyDescent="0.2">
      <c r="B41" s="30" t="s">
        <v>80</v>
      </c>
      <c r="C41" s="31">
        <f t="shared" ref="C41:H41" si="6">SUM(C37:C40)</f>
        <v>-800000</v>
      </c>
      <c r="D41" s="31">
        <f t="shared" ca="1" si="6"/>
        <v>238230.59389957867</v>
      </c>
      <c r="E41" s="31">
        <f t="shared" ca="1" si="6"/>
        <v>238230.59389957867</v>
      </c>
      <c r="F41" s="31">
        <f t="shared" ca="1" si="6"/>
        <v>238230.59389957867</v>
      </c>
      <c r="G41" s="31">
        <f t="shared" ca="1" si="6"/>
        <v>238230.59389957867</v>
      </c>
      <c r="H41" s="31">
        <f t="shared" ca="1" si="6"/>
        <v>238230.59389957867</v>
      </c>
      <c r="L41" s="4">
        <v>35</v>
      </c>
      <c r="M41" s="21">
        <v>-35887.034843191563</v>
      </c>
      <c r="N41" s="42">
        <v>49.918968514923122</v>
      </c>
      <c r="O41" s="43">
        <v>15241.591110814272</v>
      </c>
    </row>
    <row r="42" spans="2:22" x14ac:dyDescent="0.2">
      <c r="B42" s="4" t="s">
        <v>81</v>
      </c>
      <c r="C42" s="32">
        <f>1/(1+$C$12)^0</f>
        <v>1</v>
      </c>
      <c r="D42" s="32">
        <f>1/(1+$C$12)^1</f>
        <v>0.90909090909090906</v>
      </c>
      <c r="E42" s="32">
        <f>1/(1+$C$12)^2</f>
        <v>0.82644628099173545</v>
      </c>
      <c r="F42" s="32">
        <f>1/(1+$C$12)^3</f>
        <v>0.75131480090157754</v>
      </c>
      <c r="G42" s="32">
        <f>1/(1+$C$12)^4</f>
        <v>0.68301345536507052</v>
      </c>
      <c r="H42" s="32">
        <f>1/(1+$C$12)^5</f>
        <v>0.62092132305915493</v>
      </c>
      <c r="L42" s="4">
        <v>36</v>
      </c>
      <c r="M42" s="21">
        <v>12598.428888568596</v>
      </c>
      <c r="N42" s="42">
        <v>50.202508974225218</v>
      </c>
      <c r="O42" s="43">
        <v>15326.939860569562</v>
      </c>
    </row>
    <row r="43" spans="2:22" x14ac:dyDescent="0.2">
      <c r="B43" s="4" t="s">
        <v>82</v>
      </c>
      <c r="C43" s="17">
        <f t="shared" ref="C43:H43" si="7">C41*C42</f>
        <v>-800000</v>
      </c>
      <c r="D43" s="17">
        <f t="shared" ca="1" si="7"/>
        <v>216573.26718143513</v>
      </c>
      <c r="E43" s="17">
        <f t="shared" ca="1" si="7"/>
        <v>196884.78834675922</v>
      </c>
      <c r="F43" s="17">
        <f t="shared" ca="1" si="7"/>
        <v>178986.17122432654</v>
      </c>
      <c r="G43" s="17">
        <f t="shared" ca="1" si="7"/>
        <v>162714.70111302412</v>
      </c>
      <c r="H43" s="17">
        <f t="shared" ca="1" si="7"/>
        <v>147922.45555729463</v>
      </c>
      <c r="L43" s="4">
        <v>37</v>
      </c>
      <c r="M43" s="21">
        <v>-77357.64723184389</v>
      </c>
      <c r="N43" s="42">
        <v>50.498978106723264</v>
      </c>
      <c r="O43" s="43">
        <v>13195.431134836846</v>
      </c>
    </row>
    <row r="44" spans="2:22" x14ac:dyDescent="0.2">
      <c r="L44" s="4">
        <v>38</v>
      </c>
      <c r="M44" s="21">
        <v>120502.75579196413</v>
      </c>
      <c r="N44" s="42">
        <v>50.897482833377275</v>
      </c>
      <c r="O44" s="43">
        <v>15738.97716580095</v>
      </c>
    </row>
    <row r="45" spans="2:22" x14ac:dyDescent="0.2">
      <c r="B45" s="30" t="s">
        <v>83</v>
      </c>
      <c r="C45" s="33">
        <f ca="1">SUM(C43:H43)</f>
        <v>103081.38342283963</v>
      </c>
      <c r="L45" s="4">
        <v>39</v>
      </c>
      <c r="M45" s="21">
        <v>-165742.07826260634</v>
      </c>
      <c r="N45" s="42">
        <v>49.653176946157622</v>
      </c>
      <c r="O45" s="43">
        <v>13614.081891650778</v>
      </c>
    </row>
    <row r="46" spans="2:22" x14ac:dyDescent="0.2">
      <c r="B46" s="34" t="s">
        <v>84</v>
      </c>
      <c r="C46" s="17">
        <f ca="1">NPV($C$12,D41:H41)+C41</f>
        <v>103081.38342283957</v>
      </c>
      <c r="D46" s="2" t="s">
        <v>85</v>
      </c>
      <c r="L46" s="4">
        <v>40</v>
      </c>
      <c r="M46" s="21">
        <v>151676.50125368859</v>
      </c>
      <c r="N46" s="42">
        <v>49.862556982515677</v>
      </c>
      <c r="O46" s="43">
        <v>16325.811018556291</v>
      </c>
    </row>
    <row r="47" spans="2:22" x14ac:dyDescent="0.2">
      <c r="L47" s="4">
        <v>41</v>
      </c>
      <c r="M47" s="21">
        <v>46363.22691700398</v>
      </c>
      <c r="N47" s="42">
        <v>50.081426101324524</v>
      </c>
      <c r="O47" s="43">
        <v>15564.288965443784</v>
      </c>
    </row>
    <row r="48" spans="2:22" x14ac:dyDescent="0.2">
      <c r="B48" s="5" t="s">
        <v>86</v>
      </c>
      <c r="C48" s="6" t="s">
        <v>87</v>
      </c>
      <c r="D48" s="6" t="s">
        <v>88</v>
      </c>
      <c r="L48" s="4">
        <v>42</v>
      </c>
      <c r="M48" s="21">
        <v>-79183.699879245149</v>
      </c>
      <c r="N48" s="42">
        <v>49.751983157561241</v>
      </c>
      <c r="O48" s="43">
        <v>13985.799048688468</v>
      </c>
    </row>
    <row r="49" spans="2:15" x14ac:dyDescent="0.2">
      <c r="B49" s="4" t="s">
        <v>89</v>
      </c>
      <c r="C49" s="27">
        <f>($C$7/SUM(D42:H42)+$C$11)/$C$8+$C$10</f>
        <v>49.402532309053086</v>
      </c>
      <c r="D49" s="23">
        <f>C49/$C$9-1</f>
        <v>-1.1949353818938246E-2</v>
      </c>
      <c r="E49" s="2" t="s">
        <v>90</v>
      </c>
      <c r="L49" s="4">
        <v>43</v>
      </c>
      <c r="M49" s="21">
        <v>-82630.050971832112</v>
      </c>
      <c r="N49" s="42">
        <v>44.792896437057756</v>
      </c>
      <c r="O49" s="43">
        <v>17378.696478685128</v>
      </c>
    </row>
    <row r="50" spans="2:15" x14ac:dyDescent="0.2">
      <c r="B50" s="4" t="s">
        <v>91</v>
      </c>
      <c r="C50" s="22">
        <f>($C$7/SUM(D42:H42)+$C$11)/($C$9-$C$10)</f>
        <v>14551.899231789814</v>
      </c>
      <c r="D50" s="23">
        <f>C50/$C$8-1</f>
        <v>-2.9873384547345783E-2</v>
      </c>
      <c r="L50" s="4">
        <v>44</v>
      </c>
      <c r="M50" s="21">
        <v>17250.351724882756</v>
      </c>
      <c r="N50" s="42">
        <v>48.731286293069253</v>
      </c>
      <c r="O50" s="43">
        <v>15416.409665358338</v>
      </c>
    </row>
    <row r="51" spans="2:15" x14ac:dyDescent="0.2">
      <c r="L51" s="4">
        <v>45</v>
      </c>
      <c r="M51" s="21">
        <v>-58314.382145809868</v>
      </c>
      <c r="N51" s="42">
        <v>49.989304581734565</v>
      </c>
      <c r="O51" s="43">
        <v>14434.087734348339</v>
      </c>
    </row>
    <row r="52" spans="2:15" x14ac:dyDescent="0.2">
      <c r="B52" s="3" t="s">
        <v>92</v>
      </c>
      <c r="C52" s="3"/>
      <c r="D52" s="3"/>
      <c r="E52" s="3"/>
      <c r="F52" s="3"/>
      <c r="G52" s="3"/>
      <c r="H52" s="3"/>
      <c r="I52" s="3"/>
      <c r="J52" s="3"/>
      <c r="L52" s="4">
        <v>46</v>
      </c>
      <c r="M52" s="21">
        <v>-10994.042021718618</v>
      </c>
      <c r="N52" s="42">
        <v>49.679184634656636</v>
      </c>
      <c r="O52" s="43">
        <v>15041.426351000018</v>
      </c>
    </row>
    <row r="53" spans="2:15" x14ac:dyDescent="0.2">
      <c r="B53" s="5" t="s">
        <v>93</v>
      </c>
      <c r="C53" s="6" t="s">
        <v>87</v>
      </c>
      <c r="D53" s="6" t="s">
        <v>94</v>
      </c>
      <c r="L53" s="4">
        <v>47</v>
      </c>
      <c r="M53" s="21">
        <v>-37558.804566314851</v>
      </c>
      <c r="N53" s="42">
        <v>49.400646661029803</v>
      </c>
      <c r="O53" s="43">
        <v>14409.942590360852</v>
      </c>
    </row>
    <row r="54" spans="2:15" x14ac:dyDescent="0.2">
      <c r="B54" s="30" t="s">
        <v>9</v>
      </c>
      <c r="C54" s="35">
        <f>AVERAGE($M$7:$M$5006)</f>
        <v>-16730.853455609591</v>
      </c>
      <c r="D54" s="2" t="s">
        <v>95</v>
      </c>
      <c r="L54" s="4">
        <v>48</v>
      </c>
      <c r="M54" s="21">
        <v>-15216.565849205188</v>
      </c>
      <c r="N54" s="42">
        <v>48.209952745837413</v>
      </c>
      <c r="O54" s="43">
        <v>16038.184613168241</v>
      </c>
    </row>
    <row r="55" spans="2:15" x14ac:dyDescent="0.2">
      <c r="B55" s="4" t="s">
        <v>97</v>
      </c>
      <c r="C55" s="17">
        <f>_xlfn.STDEV.S($M$7:$M$5006)</f>
        <v>119980.21103660925</v>
      </c>
      <c r="D55" s="2" t="s">
        <v>98</v>
      </c>
      <c r="L55" s="4">
        <v>49</v>
      </c>
      <c r="M55" s="21">
        <v>-153594.15442698984</v>
      </c>
      <c r="N55" s="42">
        <v>47.52307417012576</v>
      </c>
      <c r="O55" s="43">
        <v>15424.563347701587</v>
      </c>
    </row>
    <row r="56" spans="2:15" x14ac:dyDescent="0.2">
      <c r="B56" s="4" t="s">
        <v>10</v>
      </c>
      <c r="C56" s="17">
        <f>_xlfn.PERCENTILE.INC($M$7:$M$5006,0.05)</f>
        <v>-210726.61704519988</v>
      </c>
      <c r="D56" s="2" t="s">
        <v>99</v>
      </c>
      <c r="L56" s="4">
        <v>50</v>
      </c>
      <c r="M56" s="21">
        <v>28091.680549155863</v>
      </c>
      <c r="N56" s="42">
        <v>48.405119321168769</v>
      </c>
      <c r="O56" s="43">
        <v>15734.522314969367</v>
      </c>
    </row>
    <row r="57" spans="2:15" x14ac:dyDescent="0.2">
      <c r="B57" s="4" t="s">
        <v>100</v>
      </c>
      <c r="C57" s="17">
        <f>_xlfn.PERCENTILE.INC($M$7:$M$5006,0.5)</f>
        <v>-19685.516395598868</v>
      </c>
      <c r="D57" s="2" t="s">
        <v>99</v>
      </c>
      <c r="L57" s="4">
        <v>51</v>
      </c>
      <c r="M57" s="21">
        <v>114154.12442614092</v>
      </c>
      <c r="N57" s="42">
        <v>49.383629859839679</v>
      </c>
      <c r="O57" s="43">
        <v>14962.917762515763</v>
      </c>
    </row>
    <row r="58" spans="2:15" x14ac:dyDescent="0.2">
      <c r="B58" s="4" t="s">
        <v>12</v>
      </c>
      <c r="C58" s="17">
        <f>_xlfn.PERCENTILE.INC($M$7:$M$5006,0.95)</f>
        <v>182281.05686855584</v>
      </c>
      <c r="D58" s="2" t="s">
        <v>99</v>
      </c>
      <c r="L58" s="4">
        <v>52</v>
      </c>
      <c r="M58" s="21">
        <v>-62460.557196167545</v>
      </c>
      <c r="N58" s="42">
        <v>48.402435192044692</v>
      </c>
      <c r="O58" s="43">
        <v>13008.241933944752</v>
      </c>
    </row>
    <row r="59" spans="2:15" x14ac:dyDescent="0.2">
      <c r="B59" s="4" t="s">
        <v>101</v>
      </c>
      <c r="C59" s="17">
        <f>MIN($M$7:$M$5006)</f>
        <v>-415956.41289190529</v>
      </c>
      <c r="D59" s="2" t="s">
        <v>102</v>
      </c>
      <c r="L59" s="4">
        <v>53</v>
      </c>
      <c r="M59" s="21">
        <v>37473.85208110945</v>
      </c>
      <c r="N59" s="42">
        <v>47.976912492653362</v>
      </c>
      <c r="O59" s="43">
        <v>15350.918547065387</v>
      </c>
    </row>
    <row r="60" spans="2:15" x14ac:dyDescent="0.2">
      <c r="B60" s="4" t="s">
        <v>103</v>
      </c>
      <c r="C60" s="17">
        <f>MAX($M$7:$M$5006)</f>
        <v>447480.50027491723</v>
      </c>
      <c r="D60" s="2" t="s">
        <v>104</v>
      </c>
      <c r="L60" s="4">
        <v>54</v>
      </c>
      <c r="M60" s="21">
        <v>-136647.47827950574</v>
      </c>
      <c r="N60" s="42">
        <v>47.351978210693289</v>
      </c>
      <c r="O60" s="43">
        <v>15404.928549083674</v>
      </c>
    </row>
    <row r="61" spans="2:15" x14ac:dyDescent="0.2">
      <c r="B61" s="30" t="s">
        <v>13</v>
      </c>
      <c r="C61" s="37">
        <f>COUNTIF($M$7:$M$5006,"&lt;0")/COUNT($M$7:$M$5006)</f>
        <v>0.56020000000000003</v>
      </c>
      <c r="D61" s="2" t="s">
        <v>105</v>
      </c>
      <c r="L61" s="4">
        <v>55</v>
      </c>
      <c r="M61" s="21">
        <v>-130416.16758047241</v>
      </c>
      <c r="N61" s="42">
        <v>49.727696279923492</v>
      </c>
      <c r="O61" s="43">
        <v>13500.066324555803</v>
      </c>
    </row>
    <row r="62" spans="2:15" x14ac:dyDescent="0.2">
      <c r="B62" s="4" t="s">
        <v>106</v>
      </c>
      <c r="C62" s="38">
        <f>SQRT($C$61*(1-$C$61)/COUNT($M$7:$M$5006))</f>
        <v>7.0196290500282137E-3</v>
      </c>
      <c r="D62" s="2" t="s">
        <v>107</v>
      </c>
      <c r="L62" s="4">
        <v>56</v>
      </c>
      <c r="M62" s="21">
        <v>-68400.698075238251</v>
      </c>
      <c r="N62" s="42">
        <v>49.458035459792129</v>
      </c>
      <c r="O62" s="43">
        <v>13474.320532638467</v>
      </c>
    </row>
    <row r="63" spans="2:15" x14ac:dyDescent="0.2">
      <c r="B63" s="4" t="s">
        <v>108</v>
      </c>
      <c r="C63" s="17">
        <f>$C$55/SQRT(COUNT($M$7:$M$5006))</f>
        <v>1696.7764166435891</v>
      </c>
      <c r="D63" s="2" t="s">
        <v>109</v>
      </c>
      <c r="L63" s="4">
        <v>57</v>
      </c>
      <c r="M63" s="21">
        <v>15405.026388849568</v>
      </c>
      <c r="N63" s="42">
        <v>50.290420520041501</v>
      </c>
      <c r="O63" s="43">
        <v>13752.001529097242</v>
      </c>
    </row>
    <row r="64" spans="2:15" x14ac:dyDescent="0.2">
      <c r="B64" s="4" t="s">
        <v>147</v>
      </c>
      <c r="C64" s="32">
        <f>CORREL($N$7:$N$5006,$O$7:$O$5006)</f>
        <v>-0.49169328411771157</v>
      </c>
      <c r="D64" s="2" t="s">
        <v>148</v>
      </c>
      <c r="L64" s="4">
        <v>58</v>
      </c>
      <c r="M64" s="21">
        <v>88216.352321712009</v>
      </c>
      <c r="N64" s="42">
        <v>50.871164330486877</v>
      </c>
      <c r="O64" s="43">
        <v>14443.531028984635</v>
      </c>
    </row>
    <row r="65" spans="12:15" x14ac:dyDescent="0.2">
      <c r="L65" s="4">
        <v>59</v>
      </c>
      <c r="M65" s="21">
        <v>-20241.165088374328</v>
      </c>
      <c r="N65" s="42">
        <v>51.013745839495826</v>
      </c>
      <c r="O65" s="43">
        <v>13664.062841386734</v>
      </c>
    </row>
    <row r="66" spans="12:15" x14ac:dyDescent="0.2">
      <c r="L66" s="4">
        <v>60</v>
      </c>
      <c r="M66" s="21">
        <v>-26560.376679049819</v>
      </c>
      <c r="N66" s="42">
        <v>46.994750878440279</v>
      </c>
      <c r="O66" s="43">
        <v>16178.801377728825</v>
      </c>
    </row>
    <row r="67" spans="12:15" x14ac:dyDescent="0.2">
      <c r="L67" s="4">
        <v>61</v>
      </c>
      <c r="M67" s="21">
        <v>-171529.72159795405</v>
      </c>
      <c r="N67" s="42">
        <v>50.422962072701871</v>
      </c>
      <c r="O67" s="43">
        <v>11845.273665342273</v>
      </c>
    </row>
    <row r="68" spans="12:15" x14ac:dyDescent="0.2">
      <c r="L68" s="4">
        <v>62</v>
      </c>
      <c r="M68" s="21">
        <v>-45707.563274070315</v>
      </c>
      <c r="N68" s="42">
        <v>47.393572054010626</v>
      </c>
      <c r="O68" s="43">
        <v>15356.116296620481</v>
      </c>
    </row>
    <row r="69" spans="12:15" x14ac:dyDescent="0.2">
      <c r="L69" s="4">
        <v>63</v>
      </c>
      <c r="M69" s="21">
        <v>-232746.54819017957</v>
      </c>
      <c r="N69" s="42">
        <v>46.350178121246522</v>
      </c>
      <c r="O69" s="43">
        <v>14384.305189061997</v>
      </c>
    </row>
    <row r="70" spans="12:15" x14ac:dyDescent="0.2">
      <c r="L70" s="4">
        <v>64</v>
      </c>
      <c r="M70" s="21">
        <v>-32214.564645429258</v>
      </c>
      <c r="N70" s="42">
        <v>50.538601405535942</v>
      </c>
      <c r="O70" s="43">
        <v>13790.152358823301</v>
      </c>
    </row>
    <row r="71" spans="12:15" x14ac:dyDescent="0.2">
      <c r="L71" s="4">
        <v>65</v>
      </c>
      <c r="M71" s="21">
        <v>36853.198887917941</v>
      </c>
      <c r="N71" s="42">
        <v>50.340262037929662</v>
      </c>
      <c r="O71" s="43">
        <v>14874.993607806886</v>
      </c>
    </row>
    <row r="72" spans="12:15" x14ac:dyDescent="0.2">
      <c r="L72" s="4">
        <v>66</v>
      </c>
      <c r="M72" s="21">
        <v>-222636.2498737938</v>
      </c>
      <c r="N72" s="42">
        <v>49.336251715270755</v>
      </c>
      <c r="O72" s="43">
        <v>13039.434965078201</v>
      </c>
    </row>
    <row r="73" spans="12:15" x14ac:dyDescent="0.2">
      <c r="L73" s="4">
        <v>67</v>
      </c>
      <c r="M73" s="21">
        <v>7795.5909112934023</v>
      </c>
      <c r="N73" s="42">
        <v>50.245525462102933</v>
      </c>
      <c r="O73" s="43">
        <v>13881.957359249103</v>
      </c>
    </row>
    <row r="74" spans="12:15" x14ac:dyDescent="0.2">
      <c r="L74" s="4">
        <v>68</v>
      </c>
      <c r="M74" s="21">
        <v>119605.02233642669</v>
      </c>
      <c r="N74" s="42">
        <v>47.542697811388322</v>
      </c>
      <c r="O74" s="43">
        <v>17149.055068257258</v>
      </c>
    </row>
    <row r="75" spans="12:15" x14ac:dyDescent="0.2">
      <c r="L75" s="4">
        <v>69</v>
      </c>
      <c r="M75" s="21">
        <v>-170537.40719304272</v>
      </c>
      <c r="N75" s="42">
        <v>47.854244118780926</v>
      </c>
      <c r="O75" s="43">
        <v>15502.640810883826</v>
      </c>
    </row>
    <row r="76" spans="12:15" x14ac:dyDescent="0.2">
      <c r="L76" s="4">
        <v>70</v>
      </c>
      <c r="M76" s="21">
        <v>-59799.062004617561</v>
      </c>
      <c r="N76" s="42">
        <v>50.264957065759404</v>
      </c>
      <c r="O76" s="43">
        <v>14164.684555669439</v>
      </c>
    </row>
    <row r="77" spans="12:15" x14ac:dyDescent="0.2">
      <c r="L77" s="4">
        <v>71</v>
      </c>
      <c r="M77" s="21">
        <v>-96352.566902247752</v>
      </c>
      <c r="N77" s="42">
        <v>46.517416704667184</v>
      </c>
      <c r="O77" s="43">
        <v>16415.308590029956</v>
      </c>
    </row>
    <row r="78" spans="12:15" x14ac:dyDescent="0.2">
      <c r="L78" s="4">
        <v>72</v>
      </c>
      <c r="M78" s="21">
        <v>-90359.04040878723</v>
      </c>
      <c r="N78" s="42">
        <v>49.748188056874099</v>
      </c>
      <c r="O78" s="43">
        <v>14131.352396864264</v>
      </c>
    </row>
    <row r="79" spans="12:15" x14ac:dyDescent="0.2">
      <c r="L79" s="4">
        <v>73</v>
      </c>
      <c r="M79" s="21">
        <v>-112738.87470736905</v>
      </c>
      <c r="N79" s="42">
        <v>50.454771415252679</v>
      </c>
      <c r="O79" s="43">
        <v>12962.850143981679</v>
      </c>
    </row>
    <row r="80" spans="12:15" x14ac:dyDescent="0.2">
      <c r="L80" s="4">
        <v>74</v>
      </c>
      <c r="M80" s="21">
        <v>115242.26614316987</v>
      </c>
      <c r="N80" s="42">
        <v>49.195494695337722</v>
      </c>
      <c r="O80" s="43">
        <v>17060.009198147225</v>
      </c>
    </row>
    <row r="81" spans="2:15" x14ac:dyDescent="0.2">
      <c r="L81" s="4">
        <v>75</v>
      </c>
      <c r="M81" s="21">
        <v>-79790.337110656299</v>
      </c>
      <c r="N81" s="42">
        <v>48.27449565688832</v>
      </c>
      <c r="O81" s="43">
        <v>14398.605993908606</v>
      </c>
    </row>
    <row r="82" spans="2:15" x14ac:dyDescent="0.2">
      <c r="L82" s="4">
        <v>76</v>
      </c>
      <c r="M82" s="21">
        <v>33561.462466880417</v>
      </c>
      <c r="N82" s="42">
        <v>51.043488370203285</v>
      </c>
      <c r="O82" s="43">
        <v>14497.540243779984</v>
      </c>
    </row>
    <row r="83" spans="2:15" x14ac:dyDescent="0.2">
      <c r="L83" s="4">
        <v>77</v>
      </c>
      <c r="M83" s="21">
        <v>-142590.5131788165</v>
      </c>
      <c r="N83" s="42">
        <v>50.867808723759964</v>
      </c>
      <c r="O83" s="43">
        <v>13069.336125765849</v>
      </c>
    </row>
    <row r="84" spans="2:15" x14ac:dyDescent="0.2">
      <c r="L84" s="4">
        <v>78</v>
      </c>
      <c r="M84" s="21">
        <v>8291.3349551864958</v>
      </c>
      <c r="N84" s="42">
        <v>47.20035735473418</v>
      </c>
      <c r="O84" s="43">
        <v>15205.152624881197</v>
      </c>
    </row>
    <row r="85" spans="2:15" x14ac:dyDescent="0.2">
      <c r="L85" s="4">
        <v>79</v>
      </c>
      <c r="M85" s="21">
        <v>-188621.20568067147</v>
      </c>
      <c r="N85" s="42">
        <v>47.41078934849633</v>
      </c>
      <c r="O85" s="43">
        <v>12829.258846245531</v>
      </c>
    </row>
    <row r="86" spans="2:15" x14ac:dyDescent="0.2">
      <c r="B86" s="3" t="s">
        <v>149</v>
      </c>
      <c r="C86" s="3"/>
      <c r="D86" s="3"/>
      <c r="E86" s="3"/>
      <c r="F86" s="3"/>
      <c r="G86" s="3"/>
      <c r="H86" s="3"/>
      <c r="I86" s="3"/>
      <c r="J86" s="3"/>
      <c r="L86" s="4">
        <v>80</v>
      </c>
      <c r="M86" s="21">
        <v>173006.57994357284</v>
      </c>
      <c r="N86" s="42">
        <v>49.775664447240025</v>
      </c>
      <c r="O86" s="43">
        <v>15723.284865505306</v>
      </c>
    </row>
    <row r="87" spans="2:15" x14ac:dyDescent="0.2">
      <c r="B87" s="5" t="s">
        <v>93</v>
      </c>
      <c r="C87" s="6" t="s">
        <v>150</v>
      </c>
      <c r="D87" s="6" t="s">
        <v>151</v>
      </c>
      <c r="E87" s="6" t="s">
        <v>152</v>
      </c>
      <c r="L87" s="4">
        <v>81</v>
      </c>
      <c r="M87" s="21">
        <v>-93306.478104018868</v>
      </c>
      <c r="N87" s="42">
        <v>49.934318289770715</v>
      </c>
      <c r="O87" s="43">
        <v>14845.02610303947</v>
      </c>
    </row>
    <row r="88" spans="2:15" x14ac:dyDescent="0.2">
      <c r="B88" s="4" t="s">
        <v>9</v>
      </c>
      <c r="C88" s="20">
        <v>-16704</v>
      </c>
      <c r="D88" s="20">
        <v>-14735</v>
      </c>
      <c r="E88" s="20">
        <v>-10357</v>
      </c>
      <c r="L88" s="4">
        <v>82</v>
      </c>
      <c r="M88" s="21">
        <v>120170.17959304227</v>
      </c>
      <c r="N88" s="42">
        <v>47.971246967551465</v>
      </c>
      <c r="O88" s="43">
        <v>17471.074503273692</v>
      </c>
    </row>
    <row r="89" spans="2:15" x14ac:dyDescent="0.2">
      <c r="B89" s="4" t="s">
        <v>97</v>
      </c>
      <c r="C89" s="20">
        <v>117181</v>
      </c>
      <c r="D89" s="20">
        <v>147353</v>
      </c>
      <c r="E89" s="20">
        <v>172201</v>
      </c>
      <c r="L89" s="4">
        <v>83</v>
      </c>
      <c r="M89" s="21">
        <v>-47427.546674809739</v>
      </c>
      <c r="N89" s="42">
        <v>50.623024306492518</v>
      </c>
      <c r="O89" s="43">
        <v>13174.375980535049</v>
      </c>
    </row>
    <row r="90" spans="2:15" x14ac:dyDescent="0.2">
      <c r="B90" s="4" t="s">
        <v>10</v>
      </c>
      <c r="C90" s="20">
        <v>-211927</v>
      </c>
      <c r="D90" s="20">
        <v>-257480</v>
      </c>
      <c r="E90" s="20">
        <v>-294505</v>
      </c>
      <c r="L90" s="4">
        <v>84</v>
      </c>
      <c r="M90" s="21">
        <v>-40779.322601029795</v>
      </c>
      <c r="N90" s="42">
        <v>49.019004139960593</v>
      </c>
      <c r="O90" s="43">
        <v>13493.730119255179</v>
      </c>
    </row>
    <row r="91" spans="2:15" x14ac:dyDescent="0.2">
      <c r="B91" s="4" t="s">
        <v>100</v>
      </c>
      <c r="C91" s="20">
        <v>-18039</v>
      </c>
      <c r="D91" s="20">
        <v>-16481</v>
      </c>
      <c r="E91" s="20">
        <v>-8394</v>
      </c>
      <c r="L91" s="4">
        <v>85</v>
      </c>
      <c r="M91" s="21">
        <v>15222.33277960954</v>
      </c>
      <c r="N91" s="42">
        <v>49.820013658248662</v>
      </c>
      <c r="O91" s="43">
        <v>14341.407611122251</v>
      </c>
    </row>
    <row r="92" spans="2:15" x14ac:dyDescent="0.2">
      <c r="B92" s="4" t="s">
        <v>12</v>
      </c>
      <c r="C92" s="20">
        <v>176025</v>
      </c>
      <c r="D92" s="20">
        <v>233871</v>
      </c>
      <c r="E92" s="20">
        <v>266853</v>
      </c>
      <c r="L92" s="4">
        <v>86</v>
      </c>
      <c r="M92" s="21">
        <v>-4745.166268018409</v>
      </c>
      <c r="N92" s="42">
        <v>49.96625294779561</v>
      </c>
      <c r="O92" s="43">
        <v>15037.239509769171</v>
      </c>
    </row>
    <row r="93" spans="2:15" x14ac:dyDescent="0.2">
      <c r="B93" s="4" t="s">
        <v>13</v>
      </c>
      <c r="C93" s="26">
        <v>0.56159999999999999</v>
      </c>
      <c r="D93" s="26">
        <v>0.54059999999999997</v>
      </c>
      <c r="E93" s="26">
        <v>0.51519999999999999</v>
      </c>
      <c r="L93" s="4">
        <v>87</v>
      </c>
      <c r="M93" s="21">
        <v>-165164.38267554267</v>
      </c>
      <c r="N93" s="42">
        <v>48.498159146455365</v>
      </c>
      <c r="O93" s="43">
        <v>15212.234515623402</v>
      </c>
    </row>
    <row r="94" spans="2:15" x14ac:dyDescent="0.2">
      <c r="B94" s="4" t="s">
        <v>153</v>
      </c>
      <c r="C94" s="45">
        <v>-0.51060000000000005</v>
      </c>
      <c r="D94" s="45">
        <v>6.7999999999999996E-3</v>
      </c>
      <c r="E94" s="45">
        <v>0.48280000000000001</v>
      </c>
      <c r="L94" s="4">
        <v>88</v>
      </c>
      <c r="M94" s="21">
        <v>-128153.58520599146</v>
      </c>
      <c r="N94" s="42">
        <v>50.044411184612613</v>
      </c>
      <c r="O94" s="43">
        <v>12330.070062019025</v>
      </c>
    </row>
    <row r="95" spans="2:15" x14ac:dyDescent="0.2">
      <c r="B95" s="2" t="s">
        <v>154</v>
      </c>
      <c r="L95" s="4">
        <v>89</v>
      </c>
      <c r="M95" s="21">
        <v>-96251.087456124049</v>
      </c>
      <c r="N95" s="42">
        <v>48.85243102847496</v>
      </c>
      <c r="O95" s="43">
        <v>14166.288947279638</v>
      </c>
    </row>
    <row r="96" spans="2:15" x14ac:dyDescent="0.2">
      <c r="L96" s="4">
        <v>90</v>
      </c>
      <c r="M96" s="21">
        <v>69671.856097014621</v>
      </c>
      <c r="N96" s="42">
        <v>48.151484548934334</v>
      </c>
      <c r="O96" s="43">
        <v>16212.723515608302</v>
      </c>
    </row>
    <row r="97" spans="12:15" x14ac:dyDescent="0.2">
      <c r="L97" s="4">
        <v>91</v>
      </c>
      <c r="M97" s="21">
        <v>95258.069472828152</v>
      </c>
      <c r="N97" s="42">
        <v>49.707909511042182</v>
      </c>
      <c r="O97" s="43">
        <v>15964.650334263662</v>
      </c>
    </row>
    <row r="98" spans="12:15" x14ac:dyDescent="0.2">
      <c r="L98" s="4">
        <v>92</v>
      </c>
      <c r="M98" s="21">
        <v>94209.908423000335</v>
      </c>
      <c r="N98" s="42">
        <v>49.54907628462734</v>
      </c>
      <c r="O98" s="43">
        <v>15241.45511792564</v>
      </c>
    </row>
    <row r="99" spans="12:15" x14ac:dyDescent="0.2">
      <c r="L99" s="4">
        <v>93</v>
      </c>
      <c r="M99" s="21">
        <v>36467.73191294272</v>
      </c>
      <c r="N99" s="42">
        <v>48.985554249185519</v>
      </c>
      <c r="O99" s="43">
        <v>15449.204902336493</v>
      </c>
    </row>
    <row r="100" spans="12:15" x14ac:dyDescent="0.2">
      <c r="L100" s="4">
        <v>94</v>
      </c>
      <c r="M100" s="21">
        <v>-99490.902438852252</v>
      </c>
      <c r="N100" s="42">
        <v>51.112644272884651</v>
      </c>
      <c r="O100" s="43">
        <v>12701.538267871889</v>
      </c>
    </row>
    <row r="101" spans="12:15" x14ac:dyDescent="0.2">
      <c r="L101" s="4">
        <v>95</v>
      </c>
      <c r="M101" s="21">
        <v>32974.293415712891</v>
      </c>
      <c r="N101" s="42">
        <v>50.931999111468684</v>
      </c>
      <c r="O101" s="43">
        <v>14246.906841525826</v>
      </c>
    </row>
    <row r="102" spans="12:15" x14ac:dyDescent="0.2">
      <c r="L102" s="4">
        <v>96</v>
      </c>
      <c r="M102" s="21">
        <v>12257.819966742216</v>
      </c>
      <c r="N102" s="42">
        <v>47.320886734012014</v>
      </c>
      <c r="O102" s="43">
        <v>16196.355814524313</v>
      </c>
    </row>
    <row r="103" spans="12:15" x14ac:dyDescent="0.2">
      <c r="L103" s="4">
        <v>97</v>
      </c>
      <c r="M103" s="21">
        <v>-71492.435753491911</v>
      </c>
      <c r="N103" s="42">
        <v>47.587700989026061</v>
      </c>
      <c r="O103" s="43">
        <v>16525.63554616888</v>
      </c>
    </row>
    <row r="104" spans="12:15" x14ac:dyDescent="0.2">
      <c r="L104" s="4">
        <v>98</v>
      </c>
      <c r="M104" s="21">
        <v>21818.190463170526</v>
      </c>
      <c r="N104" s="42">
        <v>49.990873796366735</v>
      </c>
      <c r="O104" s="43">
        <v>14853.995379281341</v>
      </c>
    </row>
    <row r="105" spans="12:15" x14ac:dyDescent="0.2">
      <c r="L105" s="4">
        <v>99</v>
      </c>
      <c r="M105" s="21">
        <v>92943.545796961349</v>
      </c>
      <c r="N105" s="42">
        <v>49.126597766108276</v>
      </c>
      <c r="O105" s="43">
        <v>17837.049460310405</v>
      </c>
    </row>
    <row r="106" spans="12:15" x14ac:dyDescent="0.2">
      <c r="L106" s="4">
        <v>100</v>
      </c>
      <c r="M106" s="21">
        <v>-340044.79483398749</v>
      </c>
      <c r="N106" s="42">
        <v>50.732790278441179</v>
      </c>
      <c r="O106" s="43">
        <v>12091.746254597087</v>
      </c>
    </row>
    <row r="107" spans="12:15" x14ac:dyDescent="0.2">
      <c r="L107" s="4">
        <v>101</v>
      </c>
      <c r="M107" s="21">
        <v>181523.94398521297</v>
      </c>
      <c r="N107" s="42">
        <v>50.688852167238181</v>
      </c>
      <c r="O107" s="43">
        <v>16136.274210222393</v>
      </c>
    </row>
    <row r="108" spans="12:15" x14ac:dyDescent="0.2">
      <c r="L108" s="4">
        <v>102</v>
      </c>
      <c r="M108" s="21">
        <v>-96092.955234642184</v>
      </c>
      <c r="N108" s="42">
        <v>49.198407669825507</v>
      </c>
      <c r="O108" s="43">
        <v>12736.059258003508</v>
      </c>
    </row>
    <row r="109" spans="12:15" x14ac:dyDescent="0.2">
      <c r="L109" s="4">
        <v>103</v>
      </c>
      <c r="M109" s="21">
        <v>-126327.36698962876</v>
      </c>
      <c r="N109" s="42">
        <v>49.363924338625687</v>
      </c>
      <c r="O109" s="43">
        <v>13876.287447026927</v>
      </c>
    </row>
    <row r="110" spans="12:15" x14ac:dyDescent="0.2">
      <c r="L110" s="4">
        <v>104</v>
      </c>
      <c r="M110" s="21">
        <v>41292.709393606492</v>
      </c>
      <c r="N110" s="42">
        <v>47.403436755063453</v>
      </c>
      <c r="O110" s="43">
        <v>16333.676199242998</v>
      </c>
    </row>
    <row r="111" spans="12:15" x14ac:dyDescent="0.2">
      <c r="L111" s="4">
        <v>105</v>
      </c>
      <c r="M111" s="21">
        <v>10783.146362616739</v>
      </c>
      <c r="N111" s="42">
        <v>49.982412489449196</v>
      </c>
      <c r="O111" s="43">
        <v>14253.66574824398</v>
      </c>
    </row>
    <row r="112" spans="12:15" x14ac:dyDescent="0.2">
      <c r="L112" s="4">
        <v>106</v>
      </c>
      <c r="M112" s="21">
        <v>36669.041973233252</v>
      </c>
      <c r="N112" s="42">
        <v>50.996780372877183</v>
      </c>
      <c r="O112" s="43">
        <v>15418.944934131039</v>
      </c>
    </row>
    <row r="113" spans="12:15" x14ac:dyDescent="0.2">
      <c r="L113" s="4">
        <v>107</v>
      </c>
      <c r="M113" s="21">
        <v>196745.53000111232</v>
      </c>
      <c r="N113" s="42">
        <v>50.078769252556107</v>
      </c>
      <c r="O113" s="43">
        <v>16074.618073343134</v>
      </c>
    </row>
    <row r="114" spans="12:15" x14ac:dyDescent="0.2">
      <c r="L114" s="4">
        <v>108</v>
      </c>
      <c r="M114" s="21">
        <v>-58514.571144041314</v>
      </c>
      <c r="N114" s="42">
        <v>49.591631340784105</v>
      </c>
      <c r="O114" s="43">
        <v>13142.627998785532</v>
      </c>
    </row>
    <row r="115" spans="12:15" x14ac:dyDescent="0.2">
      <c r="L115" s="4">
        <v>109</v>
      </c>
      <c r="M115" s="21">
        <v>19377.147427510383</v>
      </c>
      <c r="N115" s="42">
        <v>48.67159015851913</v>
      </c>
      <c r="O115" s="43">
        <v>15673.41911268154</v>
      </c>
    </row>
    <row r="116" spans="12:15" x14ac:dyDescent="0.2">
      <c r="L116" s="4">
        <v>110</v>
      </c>
      <c r="M116" s="21">
        <v>-57101.831038197939</v>
      </c>
      <c r="N116" s="42">
        <v>47.288813968699522</v>
      </c>
      <c r="O116" s="43">
        <v>17851.684235152392</v>
      </c>
    </row>
    <row r="117" spans="12:15" x14ac:dyDescent="0.2">
      <c r="L117" s="4">
        <v>111</v>
      </c>
      <c r="M117" s="21">
        <v>-46624.647725625182</v>
      </c>
      <c r="N117" s="42">
        <v>50.033043128122323</v>
      </c>
      <c r="O117" s="43">
        <v>16614.781979089934</v>
      </c>
    </row>
    <row r="118" spans="12:15" x14ac:dyDescent="0.2">
      <c r="L118" s="4">
        <v>112</v>
      </c>
      <c r="M118" s="21">
        <v>1482.64738058066</v>
      </c>
      <c r="N118" s="42">
        <v>49.008766194411145</v>
      </c>
      <c r="O118" s="43">
        <v>15237.201884610782</v>
      </c>
    </row>
    <row r="119" spans="12:15" x14ac:dyDescent="0.2">
      <c r="L119" s="4">
        <v>113</v>
      </c>
      <c r="M119" s="21">
        <v>-66818.935548181718</v>
      </c>
      <c r="N119" s="42">
        <v>50.71802254540507</v>
      </c>
      <c r="O119" s="43">
        <v>12989.587406654</v>
      </c>
    </row>
    <row r="120" spans="12:15" x14ac:dyDescent="0.2">
      <c r="L120" s="4">
        <v>114</v>
      </c>
      <c r="M120" s="21">
        <v>-28816.208048370798</v>
      </c>
      <c r="N120" s="42">
        <v>49.251564759474753</v>
      </c>
      <c r="O120" s="43">
        <v>13764.626341384685</v>
      </c>
    </row>
    <row r="121" spans="12:15" x14ac:dyDescent="0.2">
      <c r="L121" s="4">
        <v>115</v>
      </c>
      <c r="M121" s="21">
        <v>-104670.55177867692</v>
      </c>
      <c r="N121" s="42">
        <v>47.957480496789543</v>
      </c>
      <c r="O121" s="43">
        <v>15649.982755844387</v>
      </c>
    </row>
    <row r="122" spans="12:15" x14ac:dyDescent="0.2">
      <c r="L122" s="4">
        <v>116</v>
      </c>
      <c r="M122" s="21">
        <v>-155688.02663671633</v>
      </c>
      <c r="N122" s="42">
        <v>48.865501930252059</v>
      </c>
      <c r="O122" s="43">
        <v>13552.738393724363</v>
      </c>
    </row>
    <row r="123" spans="12:15" x14ac:dyDescent="0.2">
      <c r="L123" s="4">
        <v>117</v>
      </c>
      <c r="M123" s="21">
        <v>-155927.07279401348</v>
      </c>
      <c r="N123" s="42">
        <v>50.372625732687276</v>
      </c>
      <c r="O123" s="43">
        <v>12461.782010862697</v>
      </c>
    </row>
    <row r="124" spans="12:15" x14ac:dyDescent="0.2">
      <c r="L124" s="4">
        <v>118</v>
      </c>
      <c r="M124" s="21">
        <v>-39819.098513888181</v>
      </c>
      <c r="N124" s="42">
        <v>51.128080570576664</v>
      </c>
      <c r="O124" s="43">
        <v>13914.228012566162</v>
      </c>
    </row>
    <row r="125" spans="12:15" x14ac:dyDescent="0.2">
      <c r="L125" s="4">
        <v>119</v>
      </c>
      <c r="M125" s="21">
        <v>140916.69937270141</v>
      </c>
      <c r="N125" s="42">
        <v>49.475734917283162</v>
      </c>
      <c r="O125" s="43">
        <v>14979.334700862271</v>
      </c>
    </row>
    <row r="126" spans="12:15" x14ac:dyDescent="0.2">
      <c r="L126" s="4">
        <v>120</v>
      </c>
      <c r="M126" s="21">
        <v>-650.9276288227411</v>
      </c>
      <c r="N126" s="42">
        <v>50.840773366935416</v>
      </c>
      <c r="O126" s="43">
        <v>14564.414762540897</v>
      </c>
    </row>
    <row r="127" spans="12:15" x14ac:dyDescent="0.2">
      <c r="L127" s="4">
        <v>121</v>
      </c>
      <c r="M127" s="21">
        <v>-8113.6301647377259</v>
      </c>
      <c r="N127" s="42">
        <v>49.133025557722178</v>
      </c>
      <c r="O127" s="43">
        <v>16007.50898120656</v>
      </c>
    </row>
    <row r="128" spans="12:15" x14ac:dyDescent="0.2">
      <c r="L128" s="4">
        <v>122</v>
      </c>
      <c r="M128" s="21">
        <v>42815.947742438322</v>
      </c>
      <c r="N128" s="42">
        <v>49.946541850476585</v>
      </c>
      <c r="O128" s="43">
        <v>14736.485899537949</v>
      </c>
    </row>
    <row r="129" spans="12:15" x14ac:dyDescent="0.2">
      <c r="L129" s="4">
        <v>123</v>
      </c>
      <c r="M129" s="21">
        <v>-126077.10946788156</v>
      </c>
      <c r="N129" s="42">
        <v>50.266744982737421</v>
      </c>
      <c r="O129" s="43">
        <v>12946.576986544613</v>
      </c>
    </row>
    <row r="130" spans="12:15" x14ac:dyDescent="0.2">
      <c r="L130" s="4">
        <v>124</v>
      </c>
      <c r="M130" s="21">
        <v>-50205.184727181346</v>
      </c>
      <c r="N130" s="42">
        <v>49.956292233390393</v>
      </c>
      <c r="O130" s="43">
        <v>16119.368848012611</v>
      </c>
    </row>
    <row r="131" spans="12:15" x14ac:dyDescent="0.2">
      <c r="L131" s="4">
        <v>125</v>
      </c>
      <c r="M131" s="21">
        <v>-86745.975422415126</v>
      </c>
      <c r="N131" s="42">
        <v>48.84752749143739</v>
      </c>
      <c r="O131" s="43">
        <v>14891.558440297402</v>
      </c>
    </row>
    <row r="132" spans="12:15" x14ac:dyDescent="0.2">
      <c r="L132" s="4">
        <v>126</v>
      </c>
      <c r="M132" s="21">
        <v>-9255.1327303824364</v>
      </c>
      <c r="N132" s="42">
        <v>50.989791954881042</v>
      </c>
      <c r="O132" s="43">
        <v>13504.509210825563</v>
      </c>
    </row>
    <row r="133" spans="12:15" x14ac:dyDescent="0.2">
      <c r="L133" s="4">
        <v>127</v>
      </c>
      <c r="M133" s="21">
        <v>-114525.81125445601</v>
      </c>
      <c r="N133" s="42">
        <v>46.501185782399276</v>
      </c>
      <c r="O133" s="43">
        <v>17462.52063986925</v>
      </c>
    </row>
    <row r="134" spans="12:15" x14ac:dyDescent="0.2">
      <c r="L134" s="4">
        <v>128</v>
      </c>
      <c r="M134" s="21">
        <v>99758.934180577082</v>
      </c>
      <c r="N134" s="42">
        <v>49.839190423897037</v>
      </c>
      <c r="O134" s="43">
        <v>16373.171492206238</v>
      </c>
    </row>
    <row r="135" spans="12:15" x14ac:dyDescent="0.2">
      <c r="L135" s="4">
        <v>129</v>
      </c>
      <c r="M135" s="21">
        <v>210329.28022595734</v>
      </c>
      <c r="N135" s="42">
        <v>51.489164184920199</v>
      </c>
      <c r="O135" s="43">
        <v>14925.955138546857</v>
      </c>
    </row>
    <row r="136" spans="12:15" x14ac:dyDescent="0.2">
      <c r="L136" s="4">
        <v>130</v>
      </c>
      <c r="M136" s="21">
        <v>-110263.28068828586</v>
      </c>
      <c r="N136" s="42">
        <v>51.006522625962738</v>
      </c>
      <c r="O136" s="43">
        <v>13105.022628731313</v>
      </c>
    </row>
    <row r="137" spans="12:15" x14ac:dyDescent="0.2">
      <c r="L137" s="4">
        <v>131</v>
      </c>
      <c r="M137" s="21">
        <v>31217.571533571754</v>
      </c>
      <c r="N137" s="42">
        <v>50.807159292934365</v>
      </c>
      <c r="O137" s="43">
        <v>13276.131209079143</v>
      </c>
    </row>
    <row r="138" spans="12:15" x14ac:dyDescent="0.2">
      <c r="L138" s="4">
        <v>132</v>
      </c>
      <c r="M138" s="21">
        <v>122795.01967571024</v>
      </c>
      <c r="N138" s="42">
        <v>50.30270408112159</v>
      </c>
      <c r="O138" s="43">
        <v>15746.409470992052</v>
      </c>
    </row>
    <row r="139" spans="12:15" x14ac:dyDescent="0.2">
      <c r="L139" s="4">
        <v>133</v>
      </c>
      <c r="M139" s="21">
        <v>-3796.0631744048878</v>
      </c>
      <c r="N139" s="42">
        <v>51.160306622379849</v>
      </c>
      <c r="O139" s="43">
        <v>13993.349034775803</v>
      </c>
    </row>
    <row r="140" spans="12:15" x14ac:dyDescent="0.2">
      <c r="L140" s="4">
        <v>134</v>
      </c>
      <c r="M140" s="21">
        <v>-281712.97352871543</v>
      </c>
      <c r="N140" s="42">
        <v>47.620677899997972</v>
      </c>
      <c r="O140" s="43">
        <v>14473.505985673648</v>
      </c>
    </row>
    <row r="141" spans="12:15" x14ac:dyDescent="0.2">
      <c r="L141" s="4">
        <v>135</v>
      </c>
      <c r="M141" s="21">
        <v>93833.833057902288</v>
      </c>
      <c r="N141" s="42">
        <v>48.149118623918746</v>
      </c>
      <c r="O141" s="43">
        <v>17599.508462305988</v>
      </c>
    </row>
    <row r="142" spans="12:15" x14ac:dyDescent="0.2">
      <c r="L142" s="4">
        <v>136</v>
      </c>
      <c r="M142" s="21">
        <v>68840.641952107981</v>
      </c>
      <c r="N142" s="42">
        <v>47.374964430774675</v>
      </c>
      <c r="O142" s="43">
        <v>16699.902019309531</v>
      </c>
    </row>
    <row r="143" spans="12:15" x14ac:dyDescent="0.2">
      <c r="L143" s="4">
        <v>137</v>
      </c>
      <c r="M143" s="21">
        <v>104619.78974413173</v>
      </c>
      <c r="N143" s="42">
        <v>50.247825540616979</v>
      </c>
      <c r="O143" s="43">
        <v>15379.025818039994</v>
      </c>
    </row>
    <row r="144" spans="12:15" x14ac:dyDescent="0.2">
      <c r="L144" s="4">
        <v>138</v>
      </c>
      <c r="M144" s="21">
        <v>32439.02648000003</v>
      </c>
      <c r="N144" s="42">
        <v>47.847598227239175</v>
      </c>
      <c r="O144" s="43">
        <v>15570.924178708434</v>
      </c>
    </row>
    <row r="145" spans="12:15" x14ac:dyDescent="0.2">
      <c r="L145" s="4">
        <v>139</v>
      </c>
      <c r="M145" s="21">
        <v>62991.390927564673</v>
      </c>
      <c r="N145" s="42">
        <v>50.277507128023984</v>
      </c>
      <c r="O145" s="43">
        <v>17149.483739799358</v>
      </c>
    </row>
    <row r="146" spans="12:15" x14ac:dyDescent="0.2">
      <c r="L146" s="4">
        <v>140</v>
      </c>
      <c r="M146" s="21">
        <v>-293115.3234237103</v>
      </c>
      <c r="N146" s="42">
        <v>48.336101851719086</v>
      </c>
      <c r="O146" s="43">
        <v>13141.49237196855</v>
      </c>
    </row>
    <row r="147" spans="12:15" x14ac:dyDescent="0.2">
      <c r="L147" s="4">
        <v>141</v>
      </c>
      <c r="M147" s="21">
        <v>138328.07778313034</v>
      </c>
      <c r="N147" s="42">
        <v>51.1477092192697</v>
      </c>
      <c r="O147" s="43">
        <v>14833.329990885582</v>
      </c>
    </row>
    <row r="148" spans="12:15" x14ac:dyDescent="0.2">
      <c r="L148" s="4">
        <v>142</v>
      </c>
      <c r="M148" s="21">
        <v>-176872.64498307614</v>
      </c>
      <c r="N148" s="42">
        <v>50.91911864409122</v>
      </c>
      <c r="O148" s="43">
        <v>12743.457718846024</v>
      </c>
    </row>
    <row r="149" spans="12:15" x14ac:dyDescent="0.2">
      <c r="L149" s="4">
        <v>143</v>
      </c>
      <c r="M149" s="21">
        <v>-18061.104265433358</v>
      </c>
      <c r="N149" s="42">
        <v>49.87537646519182</v>
      </c>
      <c r="O149" s="43">
        <v>14379.919549155498</v>
      </c>
    </row>
    <row r="150" spans="12:15" x14ac:dyDescent="0.2">
      <c r="L150" s="4">
        <v>144</v>
      </c>
      <c r="M150" s="21">
        <v>33177.399253950658</v>
      </c>
      <c r="N150" s="42">
        <v>48.934914339822299</v>
      </c>
      <c r="O150" s="43">
        <v>17537.344525581109</v>
      </c>
    </row>
    <row r="151" spans="12:15" x14ac:dyDescent="0.2">
      <c r="L151" s="4">
        <v>145</v>
      </c>
      <c r="M151" s="21">
        <v>68214.040462172066</v>
      </c>
      <c r="N151" s="42">
        <v>50.980753359943272</v>
      </c>
      <c r="O151" s="43">
        <v>14129.093414263749</v>
      </c>
    </row>
    <row r="152" spans="12:15" x14ac:dyDescent="0.2">
      <c r="L152" s="4">
        <v>146</v>
      </c>
      <c r="M152" s="21">
        <v>134923.39174524898</v>
      </c>
      <c r="N152" s="42">
        <v>48.68832214446833</v>
      </c>
      <c r="O152" s="43">
        <v>16060.408218434097</v>
      </c>
    </row>
    <row r="153" spans="12:15" x14ac:dyDescent="0.2">
      <c r="L153" s="4">
        <v>147</v>
      </c>
      <c r="M153" s="21">
        <v>-122299.78615411282</v>
      </c>
      <c r="N153" s="42">
        <v>49.769294068645088</v>
      </c>
      <c r="O153" s="43">
        <v>14483.785050489671</v>
      </c>
    </row>
    <row r="154" spans="12:15" x14ac:dyDescent="0.2">
      <c r="L154" s="4">
        <v>148</v>
      </c>
      <c r="M154" s="21">
        <v>-85501.056810041744</v>
      </c>
      <c r="N154" s="42">
        <v>49.964090219206007</v>
      </c>
      <c r="O154" s="43">
        <v>13732.734936797471</v>
      </c>
    </row>
    <row r="155" spans="12:15" x14ac:dyDescent="0.2">
      <c r="L155" s="4">
        <v>149</v>
      </c>
      <c r="M155" s="21">
        <v>23650.172209161159</v>
      </c>
      <c r="N155" s="42">
        <v>49.779145307114973</v>
      </c>
      <c r="O155" s="43">
        <v>14464.213087095615</v>
      </c>
    </row>
    <row r="156" spans="12:15" x14ac:dyDescent="0.2">
      <c r="L156" s="4">
        <v>150</v>
      </c>
      <c r="M156" s="21">
        <v>-123364.12902001773</v>
      </c>
      <c r="N156" s="42">
        <v>46.684843583175301</v>
      </c>
      <c r="O156" s="43">
        <v>15616.583456551729</v>
      </c>
    </row>
    <row r="157" spans="12:15" x14ac:dyDescent="0.2">
      <c r="L157" s="4">
        <v>151</v>
      </c>
      <c r="M157" s="21">
        <v>149681.84862331318</v>
      </c>
      <c r="N157" s="42">
        <v>49.22379374288505</v>
      </c>
      <c r="O157" s="43">
        <v>15474.691431374657</v>
      </c>
    </row>
    <row r="158" spans="12:15" x14ac:dyDescent="0.2">
      <c r="L158" s="4">
        <v>152</v>
      </c>
      <c r="M158" s="21">
        <v>-188603.76632374615</v>
      </c>
      <c r="N158" s="42">
        <v>48.122291785255854</v>
      </c>
      <c r="O158" s="43">
        <v>14766.983850831859</v>
      </c>
    </row>
    <row r="159" spans="12:15" x14ac:dyDescent="0.2">
      <c r="L159" s="4">
        <v>153</v>
      </c>
      <c r="M159" s="21">
        <v>-13655.535902848264</v>
      </c>
      <c r="N159" s="42">
        <v>49.141840963010978</v>
      </c>
      <c r="O159" s="43">
        <v>16396.855011333573</v>
      </c>
    </row>
    <row r="160" spans="12:15" x14ac:dyDescent="0.2">
      <c r="L160" s="4">
        <v>154</v>
      </c>
      <c r="M160" s="21">
        <v>44664.373310884752</v>
      </c>
      <c r="N160" s="42">
        <v>49.680485272732454</v>
      </c>
      <c r="O160" s="43">
        <v>16117.915614352914</v>
      </c>
    </row>
    <row r="161" spans="12:15" x14ac:dyDescent="0.2">
      <c r="L161" s="4">
        <v>155</v>
      </c>
      <c r="M161" s="21">
        <v>98431.870826703322</v>
      </c>
      <c r="N161" s="42">
        <v>48.516361767239736</v>
      </c>
      <c r="O161" s="43">
        <v>16521.059125844771</v>
      </c>
    </row>
    <row r="162" spans="12:15" x14ac:dyDescent="0.2">
      <c r="L162" s="4">
        <v>156</v>
      </c>
      <c r="M162" s="21">
        <v>-111526.91051276353</v>
      </c>
      <c r="N162" s="42">
        <v>48.734995125141616</v>
      </c>
      <c r="O162" s="43">
        <v>14905.95891216883</v>
      </c>
    </row>
    <row r="163" spans="12:15" x14ac:dyDescent="0.2">
      <c r="L163" s="4">
        <v>157</v>
      </c>
      <c r="M163" s="21">
        <v>-136014.93450587447</v>
      </c>
      <c r="N163" s="42">
        <v>49.700577145154519</v>
      </c>
      <c r="O163" s="43">
        <v>12445.539292347075</v>
      </c>
    </row>
    <row r="164" spans="12:15" x14ac:dyDescent="0.2">
      <c r="L164" s="4">
        <v>158</v>
      </c>
      <c r="M164" s="21">
        <v>-5191.5958649274107</v>
      </c>
      <c r="N164" s="42">
        <v>50.146702295882015</v>
      </c>
      <c r="O164" s="43">
        <v>12933.543067674553</v>
      </c>
    </row>
    <row r="165" spans="12:15" x14ac:dyDescent="0.2">
      <c r="L165" s="4">
        <v>159</v>
      </c>
      <c r="M165" s="21">
        <v>-194722.80989863508</v>
      </c>
      <c r="N165" s="42">
        <v>51.843350194035672</v>
      </c>
      <c r="O165" s="43">
        <v>11122.716419887387</v>
      </c>
    </row>
    <row r="166" spans="12:15" x14ac:dyDescent="0.2">
      <c r="L166" s="4">
        <v>160</v>
      </c>
      <c r="M166" s="21">
        <v>-35802.346420119444</v>
      </c>
      <c r="N166" s="42">
        <v>48.629512948276471</v>
      </c>
      <c r="O166" s="43">
        <v>14519.56584599624</v>
      </c>
    </row>
    <row r="167" spans="12:15" x14ac:dyDescent="0.2">
      <c r="L167" s="4">
        <v>161</v>
      </c>
      <c r="M167" s="21">
        <v>-168854.20424133036</v>
      </c>
      <c r="N167" s="42">
        <v>49.265914640815197</v>
      </c>
      <c r="O167" s="43">
        <v>12273.51569335756</v>
      </c>
    </row>
    <row r="168" spans="12:15" x14ac:dyDescent="0.2">
      <c r="L168" s="4">
        <v>162</v>
      </c>
      <c r="M168" s="21">
        <v>192838.4931817282</v>
      </c>
      <c r="N168" s="42">
        <v>49.550412296521408</v>
      </c>
      <c r="O168" s="43">
        <v>16068.815339934728</v>
      </c>
    </row>
    <row r="169" spans="12:15" x14ac:dyDescent="0.2">
      <c r="L169" s="4">
        <v>163</v>
      </c>
      <c r="M169" s="21">
        <v>-22254.783761052808</v>
      </c>
      <c r="N169" s="42">
        <v>49.775183085108615</v>
      </c>
      <c r="O169" s="43">
        <v>15094.245545430196</v>
      </c>
    </row>
    <row r="170" spans="12:15" x14ac:dyDescent="0.2">
      <c r="L170" s="4">
        <v>164</v>
      </c>
      <c r="M170" s="21">
        <v>-172490.62407570161</v>
      </c>
      <c r="N170" s="42">
        <v>48.580351709807488</v>
      </c>
      <c r="O170" s="43">
        <v>13094.363508890923</v>
      </c>
    </row>
    <row r="171" spans="12:15" x14ac:dyDescent="0.2">
      <c r="L171" s="4">
        <v>165</v>
      </c>
      <c r="M171" s="21">
        <v>48099.192038765439</v>
      </c>
      <c r="N171" s="42">
        <v>47.091639853419167</v>
      </c>
      <c r="O171" s="43">
        <v>18277.327849143414</v>
      </c>
    </row>
    <row r="172" spans="12:15" x14ac:dyDescent="0.2">
      <c r="L172" s="4">
        <v>166</v>
      </c>
      <c r="M172" s="21">
        <v>-151502.39253451774</v>
      </c>
      <c r="N172" s="42">
        <v>50.035248099017558</v>
      </c>
      <c r="O172" s="43">
        <v>14463.151353574262</v>
      </c>
    </row>
    <row r="173" spans="12:15" x14ac:dyDescent="0.2">
      <c r="L173" s="4">
        <v>167</v>
      </c>
      <c r="M173" s="21">
        <v>22649.516777593468</v>
      </c>
      <c r="N173" s="42">
        <v>49.260051952140344</v>
      </c>
      <c r="O173" s="43">
        <v>15077.167218479095</v>
      </c>
    </row>
    <row r="174" spans="12:15" x14ac:dyDescent="0.2">
      <c r="L174" s="4">
        <v>168</v>
      </c>
      <c r="M174" s="21">
        <v>65522.620671328652</v>
      </c>
      <c r="N174" s="42">
        <v>51.058537082916871</v>
      </c>
      <c r="O174" s="43">
        <v>14856.467233875865</v>
      </c>
    </row>
    <row r="175" spans="12:15" x14ac:dyDescent="0.2">
      <c r="L175" s="4">
        <v>169</v>
      </c>
      <c r="M175" s="21">
        <v>-63109.388564201712</v>
      </c>
      <c r="N175" s="42">
        <v>50.719984400972407</v>
      </c>
      <c r="O175" s="43">
        <v>14315.413652601943</v>
      </c>
    </row>
    <row r="176" spans="12:15" x14ac:dyDescent="0.2">
      <c r="L176" s="4">
        <v>170</v>
      </c>
      <c r="M176" s="21">
        <v>-89262.633301611218</v>
      </c>
      <c r="N176" s="42">
        <v>45.07026429318914</v>
      </c>
      <c r="O176" s="43">
        <v>17476.371099984099</v>
      </c>
    </row>
    <row r="177" spans="12:15" x14ac:dyDescent="0.2">
      <c r="L177" s="4">
        <v>171</v>
      </c>
      <c r="M177" s="21">
        <v>-183441.09565403371</v>
      </c>
      <c r="N177" s="42">
        <v>46.40944658143804</v>
      </c>
      <c r="O177" s="43">
        <v>14317.2732644554</v>
      </c>
    </row>
    <row r="178" spans="12:15" x14ac:dyDescent="0.2">
      <c r="L178" s="4">
        <v>172</v>
      </c>
      <c r="M178" s="21">
        <v>34048.397451328521</v>
      </c>
      <c r="N178" s="42">
        <v>50.722304397181347</v>
      </c>
      <c r="O178" s="43">
        <v>13722.369171130198</v>
      </c>
    </row>
    <row r="179" spans="12:15" x14ac:dyDescent="0.2">
      <c r="L179" s="4">
        <v>173</v>
      </c>
      <c r="M179" s="21">
        <v>-23449.577884823229</v>
      </c>
      <c r="N179" s="42">
        <v>49.752481918354121</v>
      </c>
      <c r="O179" s="43">
        <v>15842.395823451759</v>
      </c>
    </row>
    <row r="180" spans="12:15" x14ac:dyDescent="0.2">
      <c r="L180" s="4">
        <v>174</v>
      </c>
      <c r="M180" s="21">
        <v>12940.437874063675</v>
      </c>
      <c r="N180" s="42">
        <v>49.881454859900323</v>
      </c>
      <c r="O180" s="43">
        <v>15365.422538728084</v>
      </c>
    </row>
    <row r="181" spans="12:15" x14ac:dyDescent="0.2">
      <c r="L181" s="4">
        <v>175</v>
      </c>
      <c r="M181" s="21">
        <v>-189147.95334600663</v>
      </c>
      <c r="N181" s="42">
        <v>48.61746061014648</v>
      </c>
      <c r="O181" s="43">
        <v>14291.45960146367</v>
      </c>
    </row>
    <row r="182" spans="12:15" x14ac:dyDescent="0.2">
      <c r="L182" s="4">
        <v>176</v>
      </c>
      <c r="M182" s="21">
        <v>27666.947004302405</v>
      </c>
      <c r="N182" s="42">
        <v>50.077371347799712</v>
      </c>
      <c r="O182" s="43">
        <v>14557.123865024732</v>
      </c>
    </row>
    <row r="183" spans="12:15" x14ac:dyDescent="0.2">
      <c r="L183" s="4">
        <v>177</v>
      </c>
      <c r="M183" s="21">
        <v>-20660.610182880599</v>
      </c>
      <c r="N183" s="42">
        <v>49.048666374923222</v>
      </c>
      <c r="O183" s="43">
        <v>14246.131071672226</v>
      </c>
    </row>
    <row r="184" spans="12:15" x14ac:dyDescent="0.2">
      <c r="L184" s="4">
        <v>178</v>
      </c>
      <c r="M184" s="21">
        <v>87821.578592808015</v>
      </c>
      <c r="N184" s="42">
        <v>49.114602043511461</v>
      </c>
      <c r="O184" s="43">
        <v>16644.45397277837</v>
      </c>
    </row>
    <row r="185" spans="12:15" x14ac:dyDescent="0.2">
      <c r="L185" s="4">
        <v>179</v>
      </c>
      <c r="M185" s="21">
        <v>-43428.111233424061</v>
      </c>
      <c r="N185" s="42">
        <v>47.469502902284631</v>
      </c>
      <c r="O185" s="43">
        <v>16688.040583919304</v>
      </c>
    </row>
    <row r="186" spans="12:15" x14ac:dyDescent="0.2">
      <c r="L186" s="4">
        <v>180</v>
      </c>
      <c r="M186" s="21">
        <v>-61632.037822420243</v>
      </c>
      <c r="N186" s="42">
        <v>47.816474834257839</v>
      </c>
      <c r="O186" s="43">
        <v>16249.727401763677</v>
      </c>
    </row>
    <row r="187" spans="12:15" x14ac:dyDescent="0.2">
      <c r="L187" s="4">
        <v>181</v>
      </c>
      <c r="M187" s="21">
        <v>10497.716777072143</v>
      </c>
      <c r="N187" s="42">
        <v>51.145053709302395</v>
      </c>
      <c r="O187" s="43">
        <v>13200.753275102556</v>
      </c>
    </row>
    <row r="188" spans="12:15" x14ac:dyDescent="0.2">
      <c r="L188" s="4">
        <v>182</v>
      </c>
      <c r="M188" s="21">
        <v>-30771.714942942184</v>
      </c>
      <c r="N188" s="42">
        <v>48.963109587055214</v>
      </c>
      <c r="O188" s="43">
        <v>14619.426218217486</v>
      </c>
    </row>
    <row r="189" spans="12:15" x14ac:dyDescent="0.2">
      <c r="L189" s="4">
        <v>183</v>
      </c>
      <c r="M189" s="21">
        <v>-130405.37127936121</v>
      </c>
      <c r="N189" s="42">
        <v>50.132177780541141</v>
      </c>
      <c r="O189" s="43">
        <v>12747.738271347456</v>
      </c>
    </row>
    <row r="190" spans="12:15" x14ac:dyDescent="0.2">
      <c r="L190" s="4">
        <v>184</v>
      </c>
      <c r="M190" s="21">
        <v>137425.1695737319</v>
      </c>
      <c r="N190" s="42">
        <v>50.249170473240632</v>
      </c>
      <c r="O190" s="43">
        <v>16066.634585403601</v>
      </c>
    </row>
    <row r="191" spans="12:15" x14ac:dyDescent="0.2">
      <c r="L191" s="4">
        <v>185</v>
      </c>
      <c r="M191" s="21">
        <v>-37156.415305233211</v>
      </c>
      <c r="N191" s="42">
        <v>48.80150102687778</v>
      </c>
      <c r="O191" s="43">
        <v>14661.59215123423</v>
      </c>
    </row>
    <row r="192" spans="12:15" x14ac:dyDescent="0.2">
      <c r="L192" s="4">
        <v>186</v>
      </c>
      <c r="M192" s="21">
        <v>-188701.11167741625</v>
      </c>
      <c r="N192" s="42">
        <v>45.394059250053886</v>
      </c>
      <c r="O192" s="43">
        <v>19340.600370779943</v>
      </c>
    </row>
    <row r="193" spans="12:15" x14ac:dyDescent="0.2">
      <c r="L193" s="4">
        <v>187</v>
      </c>
      <c r="M193" s="21">
        <v>15889.03720117404</v>
      </c>
      <c r="N193" s="42">
        <v>51.138108286073603</v>
      </c>
      <c r="O193" s="43">
        <v>12737.88842580151</v>
      </c>
    </row>
    <row r="194" spans="12:15" x14ac:dyDescent="0.2">
      <c r="L194" s="4">
        <v>188</v>
      </c>
      <c r="M194" s="21">
        <v>-18486.526806465306</v>
      </c>
      <c r="N194" s="42">
        <v>49.708045663337124</v>
      </c>
      <c r="O194" s="43">
        <v>16665.688978722374</v>
      </c>
    </row>
    <row r="195" spans="12:15" x14ac:dyDescent="0.2">
      <c r="L195" s="4">
        <v>189</v>
      </c>
      <c r="M195" s="21">
        <v>23039.188831861247</v>
      </c>
      <c r="N195" s="42">
        <v>49.80498336935738</v>
      </c>
      <c r="O195" s="43">
        <v>15825.667499027808</v>
      </c>
    </row>
    <row r="196" spans="12:15" x14ac:dyDescent="0.2">
      <c r="L196" s="4">
        <v>190</v>
      </c>
      <c r="M196" s="21">
        <v>124311.69084314429</v>
      </c>
      <c r="N196" s="42">
        <v>51.379030060022899</v>
      </c>
      <c r="O196" s="43">
        <v>15957.270464385347</v>
      </c>
    </row>
    <row r="197" spans="12:15" x14ac:dyDescent="0.2">
      <c r="L197" s="4">
        <v>191</v>
      </c>
      <c r="M197" s="21">
        <v>71477.583991907333</v>
      </c>
      <c r="N197" s="42">
        <v>50.896693607717154</v>
      </c>
      <c r="O197" s="43">
        <v>14053.777230276595</v>
      </c>
    </row>
    <row r="198" spans="12:15" x14ac:dyDescent="0.2">
      <c r="L198" s="4">
        <v>192</v>
      </c>
      <c r="M198" s="21">
        <v>289277.3198942219</v>
      </c>
      <c r="N198" s="42">
        <v>51.288658571790407</v>
      </c>
      <c r="O198" s="43">
        <v>15756.710366392626</v>
      </c>
    </row>
    <row r="199" spans="12:15" x14ac:dyDescent="0.2">
      <c r="L199" s="4">
        <v>193</v>
      </c>
      <c r="M199" s="21">
        <v>86919.691194207378</v>
      </c>
      <c r="N199" s="42">
        <v>51.447486978599557</v>
      </c>
      <c r="O199" s="43">
        <v>15210.180225089951</v>
      </c>
    </row>
    <row r="200" spans="12:15" x14ac:dyDescent="0.2">
      <c r="L200" s="4">
        <v>194</v>
      </c>
      <c r="M200" s="21">
        <v>36281.433101513278</v>
      </c>
      <c r="N200" s="42">
        <v>51.135646655364532</v>
      </c>
      <c r="O200" s="43">
        <v>14951.338109534492</v>
      </c>
    </row>
    <row r="201" spans="12:15" x14ac:dyDescent="0.2">
      <c r="L201" s="4">
        <v>195</v>
      </c>
      <c r="M201" s="21">
        <v>-10748.394910892544</v>
      </c>
      <c r="N201" s="42">
        <v>50.805069037531958</v>
      </c>
      <c r="O201" s="43">
        <v>14690.995330840829</v>
      </c>
    </row>
    <row r="202" spans="12:15" x14ac:dyDescent="0.2">
      <c r="L202" s="4">
        <v>196</v>
      </c>
      <c r="M202" s="21">
        <v>131178.37646944582</v>
      </c>
      <c r="N202" s="42">
        <v>50.925612095752392</v>
      </c>
      <c r="O202" s="43">
        <v>15988.746017686204</v>
      </c>
    </row>
    <row r="203" spans="12:15" x14ac:dyDescent="0.2">
      <c r="L203" s="4">
        <v>197</v>
      </c>
      <c r="M203" s="21">
        <v>5589.2032730523788</v>
      </c>
      <c r="N203" s="42">
        <v>50.248780109437526</v>
      </c>
      <c r="O203" s="43">
        <v>14348.806721517147</v>
      </c>
    </row>
    <row r="204" spans="12:15" x14ac:dyDescent="0.2">
      <c r="L204" s="4">
        <v>198</v>
      </c>
      <c r="M204" s="21">
        <v>36556.954989990743</v>
      </c>
      <c r="N204" s="42">
        <v>50.651679390960332</v>
      </c>
      <c r="O204" s="43">
        <v>16406.901847361012</v>
      </c>
    </row>
    <row r="205" spans="12:15" x14ac:dyDescent="0.2">
      <c r="L205" s="4">
        <v>199</v>
      </c>
      <c r="M205" s="21">
        <v>101452.89791968054</v>
      </c>
      <c r="N205" s="42">
        <v>50.106424549453301</v>
      </c>
      <c r="O205" s="43">
        <v>14569.153492660962</v>
      </c>
    </row>
    <row r="206" spans="12:15" x14ac:dyDescent="0.2">
      <c r="L206" s="4">
        <v>200</v>
      </c>
      <c r="M206" s="21">
        <v>-55839.357778149439</v>
      </c>
      <c r="N206" s="42">
        <v>51.163469800217342</v>
      </c>
      <c r="O206" s="43">
        <v>14520.371461740755</v>
      </c>
    </row>
    <row r="207" spans="12:15" x14ac:dyDescent="0.2">
      <c r="L207" s="4">
        <v>201</v>
      </c>
      <c r="M207" s="21">
        <v>-69711.346652625318</v>
      </c>
      <c r="N207" s="42">
        <v>46.680358033833294</v>
      </c>
      <c r="O207" s="43">
        <v>15811.9041547251</v>
      </c>
    </row>
    <row r="208" spans="12:15" x14ac:dyDescent="0.2">
      <c r="L208" s="4">
        <v>202</v>
      </c>
      <c r="M208" s="21">
        <v>180280.3830859958</v>
      </c>
      <c r="N208" s="42">
        <v>50.760129057715069</v>
      </c>
      <c r="O208" s="43">
        <v>17093.027862109506</v>
      </c>
    </row>
    <row r="209" spans="12:15" x14ac:dyDescent="0.2">
      <c r="L209" s="4">
        <v>203</v>
      </c>
      <c r="M209" s="21">
        <v>39997.023663258209</v>
      </c>
      <c r="N209" s="42">
        <v>50.04017239506009</v>
      </c>
      <c r="O209" s="43">
        <v>15146.662718249434</v>
      </c>
    </row>
    <row r="210" spans="12:15" x14ac:dyDescent="0.2">
      <c r="L210" s="4">
        <v>204</v>
      </c>
      <c r="M210" s="21">
        <v>125861.09287888007</v>
      </c>
      <c r="N210" s="42">
        <v>49.791552482792355</v>
      </c>
      <c r="O210" s="43">
        <v>17835.358162459233</v>
      </c>
    </row>
    <row r="211" spans="12:15" x14ac:dyDescent="0.2">
      <c r="L211" s="4">
        <v>205</v>
      </c>
      <c r="M211" s="21">
        <v>-36267.070369010602</v>
      </c>
      <c r="N211" s="42">
        <v>49.649128859116544</v>
      </c>
      <c r="O211" s="43">
        <v>14725.446182753807</v>
      </c>
    </row>
    <row r="212" spans="12:15" x14ac:dyDescent="0.2">
      <c r="L212" s="4">
        <v>206</v>
      </c>
      <c r="M212" s="21">
        <v>214547.81443196844</v>
      </c>
      <c r="N212" s="42">
        <v>50.371811211656166</v>
      </c>
      <c r="O212" s="43">
        <v>15673.171003129504</v>
      </c>
    </row>
    <row r="213" spans="12:15" x14ac:dyDescent="0.2">
      <c r="L213" s="4">
        <v>207</v>
      </c>
      <c r="M213" s="21">
        <v>-187678.30330029002</v>
      </c>
      <c r="N213" s="42">
        <v>51.653016017927449</v>
      </c>
      <c r="O213" s="43">
        <v>11320.601704922487</v>
      </c>
    </row>
    <row r="214" spans="12:15" x14ac:dyDescent="0.2">
      <c r="L214" s="4">
        <v>208</v>
      </c>
      <c r="M214" s="21">
        <v>-52630.724221239114</v>
      </c>
      <c r="N214" s="42">
        <v>50.587564481005195</v>
      </c>
      <c r="O214" s="43">
        <v>13499.26291369625</v>
      </c>
    </row>
    <row r="215" spans="12:15" x14ac:dyDescent="0.2">
      <c r="L215" s="4">
        <v>209</v>
      </c>
      <c r="M215" s="21">
        <v>-62169.950327490282</v>
      </c>
      <c r="N215" s="42">
        <v>51.61945583241323</v>
      </c>
      <c r="O215" s="43">
        <v>13396.409689211949</v>
      </c>
    </row>
    <row r="216" spans="12:15" x14ac:dyDescent="0.2">
      <c r="L216" s="4">
        <v>210</v>
      </c>
      <c r="M216" s="21">
        <v>-21949.580818615723</v>
      </c>
      <c r="N216" s="42">
        <v>49.833369710677317</v>
      </c>
      <c r="O216" s="43">
        <v>13777.048991525144</v>
      </c>
    </row>
    <row r="217" spans="12:15" x14ac:dyDescent="0.2">
      <c r="L217" s="4">
        <v>211</v>
      </c>
      <c r="M217" s="21">
        <v>-313566.38780096913</v>
      </c>
      <c r="N217" s="42">
        <v>49.10945142259046</v>
      </c>
      <c r="O217" s="43">
        <v>12125.22444966394</v>
      </c>
    </row>
    <row r="218" spans="12:15" x14ac:dyDescent="0.2">
      <c r="L218" s="4">
        <v>212</v>
      </c>
      <c r="M218" s="21">
        <v>6978.9499479938822</v>
      </c>
      <c r="N218" s="42">
        <v>50.944609259418087</v>
      </c>
      <c r="O218" s="43">
        <v>14518.332838361268</v>
      </c>
    </row>
    <row r="219" spans="12:15" x14ac:dyDescent="0.2">
      <c r="L219" s="4">
        <v>213</v>
      </c>
      <c r="M219" s="21">
        <v>-133050.87853630271</v>
      </c>
      <c r="N219" s="42">
        <v>48.311308802187284</v>
      </c>
      <c r="O219" s="43">
        <v>14245.063634144231</v>
      </c>
    </row>
    <row r="220" spans="12:15" x14ac:dyDescent="0.2">
      <c r="L220" s="4">
        <v>214</v>
      </c>
      <c r="M220" s="21">
        <v>-167959.59100508358</v>
      </c>
      <c r="N220" s="42">
        <v>47.103630568444402</v>
      </c>
      <c r="O220" s="43">
        <v>15624.123222992244</v>
      </c>
    </row>
    <row r="221" spans="12:15" x14ac:dyDescent="0.2">
      <c r="L221" s="4">
        <v>215</v>
      </c>
      <c r="M221" s="21">
        <v>71107.566860821738</v>
      </c>
      <c r="N221" s="42">
        <v>50.422917308162461</v>
      </c>
      <c r="O221" s="43">
        <v>14547.326440937184</v>
      </c>
    </row>
    <row r="222" spans="12:15" x14ac:dyDescent="0.2">
      <c r="L222" s="4">
        <v>216</v>
      </c>
      <c r="M222" s="21">
        <v>185004.12325253934</v>
      </c>
      <c r="N222" s="42">
        <v>49.719615907376578</v>
      </c>
      <c r="O222" s="43">
        <v>14954.516114578493</v>
      </c>
    </row>
    <row r="223" spans="12:15" x14ac:dyDescent="0.2">
      <c r="L223" s="4">
        <v>217</v>
      </c>
      <c r="M223" s="21">
        <v>-24637.303237038112</v>
      </c>
      <c r="N223" s="42">
        <v>48.556388136597924</v>
      </c>
      <c r="O223" s="43">
        <v>14533.464186511685</v>
      </c>
    </row>
    <row r="224" spans="12:15" x14ac:dyDescent="0.2">
      <c r="L224" s="4">
        <v>218</v>
      </c>
      <c r="M224" s="21">
        <v>-93085.793475129918</v>
      </c>
      <c r="N224" s="42">
        <v>48.445039787961974</v>
      </c>
      <c r="O224" s="43">
        <v>15919.100539509507</v>
      </c>
    </row>
    <row r="225" spans="12:15" x14ac:dyDescent="0.2">
      <c r="L225" s="4">
        <v>219</v>
      </c>
      <c r="M225" s="21">
        <v>-5018.8500868782867</v>
      </c>
      <c r="N225" s="42">
        <v>51.108437507518815</v>
      </c>
      <c r="O225" s="43">
        <v>14201.626782041625</v>
      </c>
    </row>
    <row r="226" spans="12:15" x14ac:dyDescent="0.2">
      <c r="L226" s="4">
        <v>220</v>
      </c>
      <c r="M226" s="21">
        <v>-197047.92537271298</v>
      </c>
      <c r="N226" s="42">
        <v>48.086750878965816</v>
      </c>
      <c r="O226" s="43">
        <v>14845.566256894763</v>
      </c>
    </row>
    <row r="227" spans="12:15" x14ac:dyDescent="0.2">
      <c r="L227" s="4">
        <v>221</v>
      </c>
      <c r="M227" s="21">
        <v>-153243.03124287952</v>
      </c>
      <c r="N227" s="42">
        <v>45.926633621257331</v>
      </c>
      <c r="O227" s="43">
        <v>15893.691270103449</v>
      </c>
    </row>
    <row r="228" spans="12:15" x14ac:dyDescent="0.2">
      <c r="L228" s="4">
        <v>222</v>
      </c>
      <c r="M228" s="21">
        <v>-119747.3495128971</v>
      </c>
      <c r="N228" s="42">
        <v>46.483771367339877</v>
      </c>
      <c r="O228" s="43">
        <v>16451.246379660985</v>
      </c>
    </row>
    <row r="229" spans="12:15" x14ac:dyDescent="0.2">
      <c r="L229" s="4">
        <v>223</v>
      </c>
      <c r="M229" s="21">
        <v>-136198.12197897289</v>
      </c>
      <c r="N229" s="42">
        <v>51.271786289972283</v>
      </c>
      <c r="O229" s="43">
        <v>13284.397959725018</v>
      </c>
    </row>
    <row r="230" spans="12:15" x14ac:dyDescent="0.2">
      <c r="L230" s="4">
        <v>224</v>
      </c>
      <c r="M230" s="21">
        <v>-200644.57398763704</v>
      </c>
      <c r="N230" s="42">
        <v>47.687867708346872</v>
      </c>
      <c r="O230" s="43">
        <v>15400.53667517581</v>
      </c>
    </row>
    <row r="231" spans="12:15" x14ac:dyDescent="0.2">
      <c r="L231" s="4">
        <v>225</v>
      </c>
      <c r="M231" s="21">
        <v>40364.462215186562</v>
      </c>
      <c r="N231" s="42">
        <v>49.961738036975127</v>
      </c>
      <c r="O231" s="43">
        <v>14509.335852186583</v>
      </c>
    </row>
    <row r="232" spans="12:15" x14ac:dyDescent="0.2">
      <c r="L232" s="4">
        <v>226</v>
      </c>
      <c r="M232" s="21">
        <v>-38398.015826899587</v>
      </c>
      <c r="N232" s="42">
        <v>48.528185917954417</v>
      </c>
      <c r="O232" s="43">
        <v>14578.532737932437</v>
      </c>
    </row>
    <row r="233" spans="12:15" x14ac:dyDescent="0.2">
      <c r="L233" s="4">
        <v>227</v>
      </c>
      <c r="M233" s="21">
        <v>12914.28707861458</v>
      </c>
      <c r="N233" s="42">
        <v>49.772271851939266</v>
      </c>
      <c r="O233" s="43">
        <v>15471.053128728199</v>
      </c>
    </row>
    <row r="234" spans="12:15" x14ac:dyDescent="0.2">
      <c r="L234" s="4">
        <v>228</v>
      </c>
      <c r="M234" s="21">
        <v>-115350.93386758998</v>
      </c>
      <c r="N234" s="42">
        <v>51.595652148121587</v>
      </c>
      <c r="O234" s="43">
        <v>11954.013357663833</v>
      </c>
    </row>
    <row r="235" spans="12:15" x14ac:dyDescent="0.2">
      <c r="L235" s="4">
        <v>229</v>
      </c>
      <c r="M235" s="21">
        <v>-114642.61234744446</v>
      </c>
      <c r="N235" s="42">
        <v>50.680210986027014</v>
      </c>
      <c r="O235" s="43">
        <v>12340.214746845355</v>
      </c>
    </row>
    <row r="236" spans="12:15" x14ac:dyDescent="0.2">
      <c r="L236" s="4">
        <v>230</v>
      </c>
      <c r="M236" s="21">
        <v>109434.15805921753</v>
      </c>
      <c r="N236" s="42">
        <v>50.733973038502739</v>
      </c>
      <c r="O236" s="43">
        <v>14831.195998484689</v>
      </c>
    </row>
    <row r="237" spans="12:15" x14ac:dyDescent="0.2">
      <c r="L237" s="4">
        <v>231</v>
      </c>
      <c r="M237" s="21">
        <v>36237.371471440769</v>
      </c>
      <c r="N237" s="42">
        <v>50.381245003403976</v>
      </c>
      <c r="O237" s="43">
        <v>14445.977507980564</v>
      </c>
    </row>
    <row r="238" spans="12:15" x14ac:dyDescent="0.2">
      <c r="L238" s="4">
        <v>232</v>
      </c>
      <c r="M238" s="21">
        <v>130810.46987707994</v>
      </c>
      <c r="N238" s="42">
        <v>50.358747202639506</v>
      </c>
      <c r="O238" s="43">
        <v>15161.645488435628</v>
      </c>
    </row>
    <row r="239" spans="12:15" x14ac:dyDescent="0.2">
      <c r="L239" s="4">
        <v>233</v>
      </c>
      <c r="M239" s="21">
        <v>7347.2567743826366</v>
      </c>
      <c r="N239" s="42">
        <v>48.784267496599306</v>
      </c>
      <c r="O239" s="43">
        <v>14412.336866438432</v>
      </c>
    </row>
    <row r="240" spans="12:15" x14ac:dyDescent="0.2">
      <c r="L240" s="4">
        <v>234</v>
      </c>
      <c r="M240" s="21">
        <v>172805.58825639679</v>
      </c>
      <c r="N240" s="42">
        <v>49.850261776049287</v>
      </c>
      <c r="O240" s="43">
        <v>16275.752050525476</v>
      </c>
    </row>
    <row r="241" spans="12:15" x14ac:dyDescent="0.2">
      <c r="L241" s="4">
        <v>235</v>
      </c>
      <c r="M241" s="21">
        <v>11349.207211662841</v>
      </c>
      <c r="N241" s="42">
        <v>48.409789684869509</v>
      </c>
      <c r="O241" s="43">
        <v>16461.142165165857</v>
      </c>
    </row>
    <row r="242" spans="12:15" x14ac:dyDescent="0.2">
      <c r="L242" s="4">
        <v>236</v>
      </c>
      <c r="M242" s="21">
        <v>-65888.789567883767</v>
      </c>
      <c r="N242" s="42">
        <v>50.530697877327853</v>
      </c>
      <c r="O242" s="43">
        <v>12880.198743338387</v>
      </c>
    </row>
    <row r="243" spans="12:15" x14ac:dyDescent="0.2">
      <c r="L243" s="4">
        <v>237</v>
      </c>
      <c r="M243" s="21">
        <v>87187.934565653501</v>
      </c>
      <c r="N243" s="42">
        <v>50.956104409220771</v>
      </c>
      <c r="O243" s="43">
        <v>14031.241058596781</v>
      </c>
    </row>
    <row r="244" spans="12:15" x14ac:dyDescent="0.2">
      <c r="L244" s="4">
        <v>238</v>
      </c>
      <c r="M244" s="21">
        <v>17064.779942725727</v>
      </c>
      <c r="N244" s="42">
        <v>50.477103960636541</v>
      </c>
      <c r="O244" s="43">
        <v>14864.229901398405</v>
      </c>
    </row>
    <row r="245" spans="12:15" x14ac:dyDescent="0.2">
      <c r="L245" s="4">
        <v>239</v>
      </c>
      <c r="M245" s="21">
        <v>-172721.15122262132</v>
      </c>
      <c r="N245" s="42">
        <v>47.450455385412837</v>
      </c>
      <c r="O245" s="43">
        <v>13970.771804343978</v>
      </c>
    </row>
    <row r="246" spans="12:15" x14ac:dyDescent="0.2">
      <c r="L246" s="4">
        <v>240</v>
      </c>
      <c r="M246" s="21">
        <v>9624.5761592611379</v>
      </c>
      <c r="N246" s="42">
        <v>48.029838781491364</v>
      </c>
      <c r="O246" s="43">
        <v>17544.809103502892</v>
      </c>
    </row>
    <row r="247" spans="12:15" x14ac:dyDescent="0.2">
      <c r="L247" s="4">
        <v>241</v>
      </c>
      <c r="M247" s="21">
        <v>310.48722511911183</v>
      </c>
      <c r="N247" s="42">
        <v>50.765470591631235</v>
      </c>
      <c r="O247" s="43">
        <v>15901.651017623002</v>
      </c>
    </row>
    <row r="248" spans="12:15" x14ac:dyDescent="0.2">
      <c r="L248" s="4">
        <v>242</v>
      </c>
      <c r="M248" s="21">
        <v>81019.125658911595</v>
      </c>
      <c r="N248" s="42">
        <v>48.037526877700721</v>
      </c>
      <c r="O248" s="43">
        <v>14753.042105106026</v>
      </c>
    </row>
    <row r="249" spans="12:15" x14ac:dyDescent="0.2">
      <c r="L249" s="4">
        <v>243</v>
      </c>
      <c r="M249" s="21">
        <v>-104096.24212872163</v>
      </c>
      <c r="N249" s="42">
        <v>49.236066536381855</v>
      </c>
      <c r="O249" s="43">
        <v>14042.682594816673</v>
      </c>
    </row>
    <row r="250" spans="12:15" x14ac:dyDescent="0.2">
      <c r="L250" s="4">
        <v>244</v>
      </c>
      <c r="M250" s="21">
        <v>101212.87616033369</v>
      </c>
      <c r="N250" s="42">
        <v>49.571547159977108</v>
      </c>
      <c r="O250" s="43">
        <v>17404.163609509193</v>
      </c>
    </row>
    <row r="251" spans="12:15" x14ac:dyDescent="0.2">
      <c r="L251" s="4">
        <v>245</v>
      </c>
      <c r="M251" s="21">
        <v>30029.468080443447</v>
      </c>
      <c r="N251" s="42">
        <v>47.585349103302612</v>
      </c>
      <c r="O251" s="43">
        <v>16308.60532452963</v>
      </c>
    </row>
    <row r="252" spans="12:15" x14ac:dyDescent="0.2">
      <c r="L252" s="4">
        <v>246</v>
      </c>
      <c r="M252" s="21">
        <v>323134.37655984343</v>
      </c>
      <c r="N252" s="42">
        <v>50.995146944457446</v>
      </c>
      <c r="O252" s="43">
        <v>17388.616540911386</v>
      </c>
    </row>
    <row r="253" spans="12:15" x14ac:dyDescent="0.2">
      <c r="L253" s="4">
        <v>247</v>
      </c>
      <c r="M253" s="21">
        <v>54805.896956444922</v>
      </c>
      <c r="N253" s="42">
        <v>50.320725260647784</v>
      </c>
      <c r="O253" s="43">
        <v>16061.381566920894</v>
      </c>
    </row>
    <row r="254" spans="12:15" x14ac:dyDescent="0.2">
      <c r="L254" s="4">
        <v>248</v>
      </c>
      <c r="M254" s="21">
        <v>18198.250385198568</v>
      </c>
      <c r="N254" s="42">
        <v>49.015600484125322</v>
      </c>
      <c r="O254" s="43">
        <v>15805.718179793914</v>
      </c>
    </row>
    <row r="255" spans="12:15" x14ac:dyDescent="0.2">
      <c r="L255" s="4">
        <v>249</v>
      </c>
      <c r="M255" s="21">
        <v>-26318.493846662459</v>
      </c>
      <c r="N255" s="42">
        <v>48.743040509291227</v>
      </c>
      <c r="O255" s="43">
        <v>16570.247957682288</v>
      </c>
    </row>
    <row r="256" spans="12:15" x14ac:dyDescent="0.2">
      <c r="L256" s="4">
        <v>250</v>
      </c>
      <c r="M256" s="21">
        <v>-63848.750567383904</v>
      </c>
      <c r="N256" s="42">
        <v>49.241890291321241</v>
      </c>
      <c r="O256" s="43">
        <v>15517.059892921789</v>
      </c>
    </row>
    <row r="257" spans="12:15" x14ac:dyDescent="0.2">
      <c r="L257" s="4">
        <v>251</v>
      </c>
      <c r="M257" s="21">
        <v>-17621.941817039347</v>
      </c>
      <c r="N257" s="42">
        <v>49.94357639718509</v>
      </c>
      <c r="O257" s="43">
        <v>14570.094290844021</v>
      </c>
    </row>
    <row r="258" spans="12:15" x14ac:dyDescent="0.2">
      <c r="L258" s="4">
        <v>252</v>
      </c>
      <c r="M258" s="21">
        <v>-220174.47835263552</v>
      </c>
      <c r="N258" s="42">
        <v>47.956630077914468</v>
      </c>
      <c r="O258" s="43">
        <v>12942.178199159353</v>
      </c>
    </row>
    <row r="259" spans="12:15" x14ac:dyDescent="0.2">
      <c r="L259" s="4">
        <v>253</v>
      </c>
      <c r="M259" s="21">
        <v>-200850.97567673837</v>
      </c>
      <c r="N259" s="42">
        <v>51.660785575975083</v>
      </c>
      <c r="O259" s="43">
        <v>11694.789932372998</v>
      </c>
    </row>
    <row r="260" spans="12:15" x14ac:dyDescent="0.2">
      <c r="L260" s="4">
        <v>254</v>
      </c>
      <c r="M260" s="21">
        <v>-123020.35371151542</v>
      </c>
      <c r="N260" s="42">
        <v>47.032253025584701</v>
      </c>
      <c r="O260" s="43">
        <v>15504.696289078354</v>
      </c>
    </row>
    <row r="261" spans="12:15" x14ac:dyDescent="0.2">
      <c r="L261" s="4">
        <v>255</v>
      </c>
      <c r="M261" s="21">
        <v>85480.523367402842</v>
      </c>
      <c r="N261" s="42">
        <v>50.411523930661339</v>
      </c>
      <c r="O261" s="43">
        <v>14554.137079654356</v>
      </c>
    </row>
    <row r="262" spans="12:15" x14ac:dyDescent="0.2">
      <c r="L262" s="4">
        <v>256</v>
      </c>
      <c r="M262" s="21">
        <v>134005.44226144467</v>
      </c>
      <c r="N262" s="42">
        <v>49.347767333061626</v>
      </c>
      <c r="O262" s="43">
        <v>16617.331447803728</v>
      </c>
    </row>
    <row r="263" spans="12:15" x14ac:dyDescent="0.2">
      <c r="L263" s="4">
        <v>257</v>
      </c>
      <c r="M263" s="21">
        <v>21792.528936685034</v>
      </c>
      <c r="N263" s="42">
        <v>51.814559855095084</v>
      </c>
      <c r="O263" s="43">
        <v>13914.066034289854</v>
      </c>
    </row>
    <row r="264" spans="12:15" x14ac:dyDescent="0.2">
      <c r="L264" s="4">
        <v>258</v>
      </c>
      <c r="M264" s="21">
        <v>141605.06461290785</v>
      </c>
      <c r="N264" s="42">
        <v>47.096838103144492</v>
      </c>
      <c r="O264" s="43">
        <v>17604.959372080168</v>
      </c>
    </row>
    <row r="265" spans="12:15" x14ac:dyDescent="0.2">
      <c r="L265" s="4">
        <v>259</v>
      </c>
      <c r="M265" s="21">
        <v>-121663.43927318809</v>
      </c>
      <c r="N265" s="42">
        <v>47.804783117800632</v>
      </c>
      <c r="O265" s="43">
        <v>15426.480053628111</v>
      </c>
    </row>
    <row r="266" spans="12:15" x14ac:dyDescent="0.2">
      <c r="L266" s="4">
        <v>260</v>
      </c>
      <c r="M266" s="21">
        <v>-20350.713007714687</v>
      </c>
      <c r="N266" s="42">
        <v>48.927150704730622</v>
      </c>
      <c r="O266" s="43">
        <v>15836.713472013369</v>
      </c>
    </row>
    <row r="267" spans="12:15" x14ac:dyDescent="0.2">
      <c r="L267" s="4">
        <v>261</v>
      </c>
      <c r="M267" s="21">
        <v>60483.636167248391</v>
      </c>
      <c r="N267" s="42">
        <v>48.85558629028607</v>
      </c>
      <c r="O267" s="43">
        <v>17800.294021844333</v>
      </c>
    </row>
    <row r="268" spans="12:15" x14ac:dyDescent="0.2">
      <c r="L268" s="4">
        <v>262</v>
      </c>
      <c r="M268" s="21">
        <v>70834.333368478925</v>
      </c>
      <c r="N268" s="42">
        <v>49.920632764756078</v>
      </c>
      <c r="O268" s="43">
        <v>13355.1910189507</v>
      </c>
    </row>
    <row r="269" spans="12:15" x14ac:dyDescent="0.2">
      <c r="L269" s="4">
        <v>263</v>
      </c>
      <c r="M269" s="21">
        <v>-67177.886490281802</v>
      </c>
      <c r="N269" s="42">
        <v>48.627813345775877</v>
      </c>
      <c r="O269" s="43">
        <v>14549.270600166896</v>
      </c>
    </row>
    <row r="270" spans="12:15" x14ac:dyDescent="0.2">
      <c r="L270" s="4">
        <v>264</v>
      </c>
      <c r="M270" s="21">
        <v>-191608.59619087275</v>
      </c>
      <c r="N270" s="42">
        <v>49.559709011383958</v>
      </c>
      <c r="O270" s="43">
        <v>12406.570334160508</v>
      </c>
    </row>
    <row r="271" spans="12:15" x14ac:dyDescent="0.2">
      <c r="L271" s="4">
        <v>265</v>
      </c>
      <c r="M271" s="21">
        <v>-157053.77310447581</v>
      </c>
      <c r="N271" s="42">
        <v>49.985548421474128</v>
      </c>
      <c r="O271" s="43">
        <v>13217.168337577577</v>
      </c>
    </row>
    <row r="272" spans="12:15" x14ac:dyDescent="0.2">
      <c r="L272" s="4">
        <v>266</v>
      </c>
      <c r="M272" s="21">
        <v>-82313.664015933929</v>
      </c>
      <c r="N272" s="42">
        <v>45.733282275667307</v>
      </c>
      <c r="O272" s="43">
        <v>16289.611101862807</v>
      </c>
    </row>
    <row r="273" spans="12:15" x14ac:dyDescent="0.2">
      <c r="L273" s="4">
        <v>267</v>
      </c>
      <c r="M273" s="21">
        <v>102603.21553824178</v>
      </c>
      <c r="N273" s="42">
        <v>47.634078953510631</v>
      </c>
      <c r="O273" s="43">
        <v>17314.686285285097</v>
      </c>
    </row>
    <row r="274" spans="12:15" x14ac:dyDescent="0.2">
      <c r="L274" s="4">
        <v>268</v>
      </c>
      <c r="M274" s="21">
        <v>825.13233848591335</v>
      </c>
      <c r="N274" s="42">
        <v>48.336074337404369</v>
      </c>
      <c r="O274" s="43">
        <v>15935.366011898921</v>
      </c>
    </row>
    <row r="275" spans="12:15" x14ac:dyDescent="0.2">
      <c r="L275" s="4">
        <v>269</v>
      </c>
      <c r="M275" s="21">
        <v>-136619.18112111499</v>
      </c>
      <c r="N275" s="42">
        <v>49.106549647012343</v>
      </c>
      <c r="O275" s="43">
        <v>13773.027505695603</v>
      </c>
    </row>
    <row r="276" spans="12:15" x14ac:dyDescent="0.2">
      <c r="L276" s="4">
        <v>270</v>
      </c>
      <c r="M276" s="21">
        <v>-150108.5473904848</v>
      </c>
      <c r="N276" s="42">
        <v>50.638668911199588</v>
      </c>
      <c r="O276" s="43">
        <v>12981.149450437069</v>
      </c>
    </row>
    <row r="277" spans="12:15" x14ac:dyDescent="0.2">
      <c r="L277" s="4">
        <v>271</v>
      </c>
      <c r="M277" s="21">
        <v>44316.36354863146</v>
      </c>
      <c r="N277" s="42">
        <v>49.149839931122003</v>
      </c>
      <c r="O277" s="43">
        <v>15267.204646600303</v>
      </c>
    </row>
    <row r="278" spans="12:15" x14ac:dyDescent="0.2">
      <c r="L278" s="4">
        <v>272</v>
      </c>
      <c r="M278" s="21">
        <v>-51298.497346259755</v>
      </c>
      <c r="N278" s="42">
        <v>47.246864635272061</v>
      </c>
      <c r="O278" s="43">
        <v>14499.828815316285</v>
      </c>
    </row>
    <row r="279" spans="12:15" x14ac:dyDescent="0.2">
      <c r="L279" s="4">
        <v>273</v>
      </c>
      <c r="M279" s="21">
        <v>-72039.172086456281</v>
      </c>
      <c r="N279" s="42">
        <v>47.034518237760416</v>
      </c>
      <c r="O279" s="43">
        <v>17023.860501497682</v>
      </c>
    </row>
    <row r="280" spans="12:15" x14ac:dyDescent="0.2">
      <c r="L280" s="4">
        <v>274</v>
      </c>
      <c r="M280" s="21">
        <v>67826.268197106518</v>
      </c>
      <c r="N280" s="42">
        <v>50.307429346857887</v>
      </c>
      <c r="O280" s="43">
        <v>15278.630528654317</v>
      </c>
    </row>
    <row r="281" spans="12:15" x14ac:dyDescent="0.2">
      <c r="L281" s="4">
        <v>275</v>
      </c>
      <c r="M281" s="21">
        <v>5162.9519241384114</v>
      </c>
      <c r="N281" s="42">
        <v>51.295185971928959</v>
      </c>
      <c r="O281" s="43">
        <v>14031.042546407414</v>
      </c>
    </row>
    <row r="282" spans="12:15" x14ac:dyDescent="0.2">
      <c r="L282" s="4">
        <v>276</v>
      </c>
      <c r="M282" s="21">
        <v>-151194.57231405392</v>
      </c>
      <c r="N282" s="42">
        <v>48.462389301358691</v>
      </c>
      <c r="O282" s="43">
        <v>14225.892956148731</v>
      </c>
    </row>
    <row r="283" spans="12:15" x14ac:dyDescent="0.2">
      <c r="L283" s="4">
        <v>277</v>
      </c>
      <c r="M283" s="21">
        <v>-142086.94298141269</v>
      </c>
      <c r="N283" s="42">
        <v>47.291850480688026</v>
      </c>
      <c r="O283" s="43">
        <v>16207.267917683506</v>
      </c>
    </row>
    <row r="284" spans="12:15" x14ac:dyDescent="0.2">
      <c r="L284" s="4">
        <v>278</v>
      </c>
      <c r="M284" s="21">
        <v>47351.228916935506</v>
      </c>
      <c r="N284" s="42">
        <v>48.864129450334829</v>
      </c>
      <c r="O284" s="43">
        <v>14425.830328208714</v>
      </c>
    </row>
    <row r="285" spans="12:15" x14ac:dyDescent="0.2">
      <c r="L285" s="4">
        <v>279</v>
      </c>
      <c r="M285" s="21">
        <v>113322.97994129805</v>
      </c>
      <c r="N285" s="42">
        <v>49.407771368566657</v>
      </c>
      <c r="O285" s="43">
        <v>16228.502246152799</v>
      </c>
    </row>
    <row r="286" spans="12:15" x14ac:dyDescent="0.2">
      <c r="L286" s="4">
        <v>280</v>
      </c>
      <c r="M286" s="21">
        <v>134897.08618427854</v>
      </c>
      <c r="N286" s="42">
        <v>49.67605749193536</v>
      </c>
      <c r="O286" s="43">
        <v>16281.137494580738</v>
      </c>
    </row>
    <row r="287" spans="12:15" x14ac:dyDescent="0.2">
      <c r="L287" s="4">
        <v>281</v>
      </c>
      <c r="M287" s="21">
        <v>123353.60515011279</v>
      </c>
      <c r="N287" s="42">
        <v>50.287367179662368</v>
      </c>
      <c r="O287" s="43">
        <v>16882.29558748447</v>
      </c>
    </row>
    <row r="288" spans="12:15" x14ac:dyDescent="0.2">
      <c r="L288" s="4">
        <v>282</v>
      </c>
      <c r="M288" s="21">
        <v>-43412.775462831123</v>
      </c>
      <c r="N288" s="42">
        <v>47.82355104261628</v>
      </c>
      <c r="O288" s="43">
        <v>16619.279847610687</v>
      </c>
    </row>
    <row r="289" spans="12:15" x14ac:dyDescent="0.2">
      <c r="L289" s="4">
        <v>283</v>
      </c>
      <c r="M289" s="21">
        <v>196517.67966315142</v>
      </c>
      <c r="N289" s="42">
        <v>48.985743413585361</v>
      </c>
      <c r="O289" s="43">
        <v>17734.461713181277</v>
      </c>
    </row>
    <row r="290" spans="12:15" x14ac:dyDescent="0.2">
      <c r="L290" s="4">
        <v>284</v>
      </c>
      <c r="M290" s="21">
        <v>33484.522335708374</v>
      </c>
      <c r="N290" s="42">
        <v>51.42155281989433</v>
      </c>
      <c r="O290" s="43">
        <v>14611.542384758608</v>
      </c>
    </row>
    <row r="291" spans="12:15" x14ac:dyDescent="0.2">
      <c r="L291" s="4">
        <v>285</v>
      </c>
      <c r="M291" s="21">
        <v>-75188.845076684695</v>
      </c>
      <c r="N291" s="42">
        <v>48.242119246582348</v>
      </c>
      <c r="O291" s="43">
        <v>15816.978188589424</v>
      </c>
    </row>
    <row r="292" spans="12:15" x14ac:dyDescent="0.2">
      <c r="L292" s="4">
        <v>286</v>
      </c>
      <c r="M292" s="21">
        <v>168836.05364449506</v>
      </c>
      <c r="N292" s="42">
        <v>48.500279129968341</v>
      </c>
      <c r="O292" s="43">
        <v>17139.14177410608</v>
      </c>
    </row>
    <row r="293" spans="12:15" x14ac:dyDescent="0.2">
      <c r="L293" s="4">
        <v>287</v>
      </c>
      <c r="M293" s="21">
        <v>-136628.25327988766</v>
      </c>
      <c r="N293" s="42">
        <v>51.365102028132149</v>
      </c>
      <c r="O293" s="43">
        <v>12948.995674411595</v>
      </c>
    </row>
    <row r="294" spans="12:15" x14ac:dyDescent="0.2">
      <c r="L294" s="4">
        <v>288</v>
      </c>
      <c r="M294" s="21">
        <v>79482.971595780371</v>
      </c>
      <c r="N294" s="42">
        <v>50.639148492606161</v>
      </c>
      <c r="O294" s="43">
        <v>16305.680387841279</v>
      </c>
    </row>
    <row r="295" spans="12:15" x14ac:dyDescent="0.2">
      <c r="L295" s="4">
        <v>289</v>
      </c>
      <c r="M295" s="21">
        <v>-17798.259054336857</v>
      </c>
      <c r="N295" s="42">
        <v>48.430241456432228</v>
      </c>
      <c r="O295" s="43">
        <v>17098.603631889513</v>
      </c>
    </row>
    <row r="296" spans="12:15" x14ac:dyDescent="0.2">
      <c r="L296" s="4">
        <v>290</v>
      </c>
      <c r="M296" s="21">
        <v>-297584.33887156373</v>
      </c>
      <c r="N296" s="42">
        <v>51.946558415978195</v>
      </c>
      <c r="O296" s="43">
        <v>9818.5908691342884</v>
      </c>
    </row>
    <row r="297" spans="12:15" x14ac:dyDescent="0.2">
      <c r="L297" s="4">
        <v>291</v>
      </c>
      <c r="M297" s="21">
        <v>-106590.22906478601</v>
      </c>
      <c r="N297" s="42">
        <v>50.102063818745926</v>
      </c>
      <c r="O297" s="43">
        <v>14383.147319770316</v>
      </c>
    </row>
    <row r="298" spans="12:15" x14ac:dyDescent="0.2">
      <c r="L298" s="4">
        <v>292</v>
      </c>
      <c r="M298" s="21">
        <v>-6179.5766539812612</v>
      </c>
      <c r="N298" s="42">
        <v>48.833508609013805</v>
      </c>
      <c r="O298" s="43">
        <v>16054.910923733922</v>
      </c>
    </row>
    <row r="299" spans="12:15" x14ac:dyDescent="0.2">
      <c r="L299" s="4">
        <v>293</v>
      </c>
      <c r="M299" s="21">
        <v>75509.091415844508</v>
      </c>
      <c r="N299" s="42">
        <v>48.16313226424333</v>
      </c>
      <c r="O299" s="43">
        <v>16131.455089960304</v>
      </c>
    </row>
    <row r="300" spans="12:15" x14ac:dyDescent="0.2">
      <c r="L300" s="4">
        <v>294</v>
      </c>
      <c r="M300" s="21">
        <v>123620.15855349164</v>
      </c>
      <c r="N300" s="42">
        <v>50.805298451209438</v>
      </c>
      <c r="O300" s="43">
        <v>15047.389998855377</v>
      </c>
    </row>
    <row r="301" spans="12:15" x14ac:dyDescent="0.2">
      <c r="L301" s="4">
        <v>295</v>
      </c>
      <c r="M301" s="21">
        <v>7437.9383196249255</v>
      </c>
      <c r="N301" s="42">
        <v>49.256586659281439</v>
      </c>
      <c r="O301" s="43">
        <v>16049.661468716889</v>
      </c>
    </row>
    <row r="302" spans="12:15" x14ac:dyDescent="0.2">
      <c r="L302" s="4">
        <v>296</v>
      </c>
      <c r="M302" s="21">
        <v>-88495.537036614871</v>
      </c>
      <c r="N302" s="42">
        <v>51.667322263272041</v>
      </c>
      <c r="O302" s="43">
        <v>12624.512792918405</v>
      </c>
    </row>
    <row r="303" spans="12:15" x14ac:dyDescent="0.2">
      <c r="L303" s="4">
        <v>297</v>
      </c>
      <c r="M303" s="21">
        <v>-117998.98102107384</v>
      </c>
      <c r="N303" s="42">
        <v>51.344307226255651</v>
      </c>
      <c r="O303" s="43">
        <v>12789.789022633839</v>
      </c>
    </row>
    <row r="304" spans="12:15" x14ac:dyDescent="0.2">
      <c r="L304" s="4">
        <v>298</v>
      </c>
      <c r="M304" s="21">
        <v>133647.93368274797</v>
      </c>
      <c r="N304" s="42">
        <v>51.151041881886059</v>
      </c>
      <c r="O304" s="43">
        <v>16806.090400949161</v>
      </c>
    </row>
    <row r="305" spans="12:15" x14ac:dyDescent="0.2">
      <c r="L305" s="4">
        <v>299</v>
      </c>
      <c r="M305" s="21">
        <v>-223345.2113541381</v>
      </c>
      <c r="N305" s="42">
        <v>47.3137086787954</v>
      </c>
      <c r="O305" s="43">
        <v>14868.107591691594</v>
      </c>
    </row>
    <row r="306" spans="12:15" x14ac:dyDescent="0.2">
      <c r="L306" s="4">
        <v>300</v>
      </c>
      <c r="M306" s="21">
        <v>164743.96187049567</v>
      </c>
      <c r="N306" s="42">
        <v>49.234624896080817</v>
      </c>
      <c r="O306" s="43">
        <v>16870.716675431373</v>
      </c>
    </row>
    <row r="307" spans="12:15" x14ac:dyDescent="0.2">
      <c r="L307" s="4">
        <v>301</v>
      </c>
      <c r="M307" s="21">
        <v>-147193.79005733825</v>
      </c>
      <c r="N307" s="42">
        <v>50.307442292067492</v>
      </c>
      <c r="O307" s="43">
        <v>13403.905038018422</v>
      </c>
    </row>
    <row r="308" spans="12:15" x14ac:dyDescent="0.2">
      <c r="L308" s="4">
        <v>302</v>
      </c>
      <c r="M308" s="21">
        <v>-160334.10025158245</v>
      </c>
      <c r="N308" s="42">
        <v>48.270577438430941</v>
      </c>
      <c r="O308" s="43">
        <v>15334.077609955739</v>
      </c>
    </row>
    <row r="309" spans="12:15" x14ac:dyDescent="0.2">
      <c r="L309" s="4">
        <v>303</v>
      </c>
      <c r="M309" s="21">
        <v>-62282.888127110316</v>
      </c>
      <c r="N309" s="42">
        <v>48.559180606223961</v>
      </c>
      <c r="O309" s="43">
        <v>15171.524185049553</v>
      </c>
    </row>
    <row r="310" spans="12:15" x14ac:dyDescent="0.2">
      <c r="L310" s="4">
        <v>304</v>
      </c>
      <c r="M310" s="21">
        <v>-6731.665855663683</v>
      </c>
      <c r="N310" s="42">
        <v>49.292995854547911</v>
      </c>
      <c r="O310" s="43">
        <v>14115.874971882911</v>
      </c>
    </row>
    <row r="311" spans="12:15" x14ac:dyDescent="0.2">
      <c r="L311" s="4">
        <v>305</v>
      </c>
      <c r="M311" s="21">
        <v>5426.8750343602151</v>
      </c>
      <c r="N311" s="42">
        <v>47.054900718264854</v>
      </c>
      <c r="O311" s="43">
        <v>17485.156775826174</v>
      </c>
    </row>
    <row r="312" spans="12:15" x14ac:dyDescent="0.2">
      <c r="L312" s="4">
        <v>306</v>
      </c>
      <c r="M312" s="21">
        <v>-163417.88276955677</v>
      </c>
      <c r="N312" s="42">
        <v>49.824133843017229</v>
      </c>
      <c r="O312" s="43">
        <v>13086.92586438195</v>
      </c>
    </row>
    <row r="313" spans="12:15" x14ac:dyDescent="0.2">
      <c r="L313" s="4">
        <v>307</v>
      </c>
      <c r="M313" s="21">
        <v>-54856.01641409655</v>
      </c>
      <c r="N313" s="42">
        <v>50.673011752914945</v>
      </c>
      <c r="O313" s="43">
        <v>14400.340776011986</v>
      </c>
    </row>
    <row r="314" spans="12:15" x14ac:dyDescent="0.2">
      <c r="L314" s="4">
        <v>308</v>
      </c>
      <c r="M314" s="21">
        <v>-88423.770879492877</v>
      </c>
      <c r="N314" s="42">
        <v>49.936695431498492</v>
      </c>
      <c r="O314" s="43">
        <v>12995.596022387133</v>
      </c>
    </row>
    <row r="315" spans="12:15" x14ac:dyDescent="0.2">
      <c r="L315" s="4">
        <v>309</v>
      </c>
      <c r="M315" s="21">
        <v>210148.08276956779</v>
      </c>
      <c r="N315" s="42">
        <v>48.372163811239389</v>
      </c>
      <c r="O315" s="43">
        <v>17126.212632280563</v>
      </c>
    </row>
    <row r="316" spans="12:15" x14ac:dyDescent="0.2">
      <c r="L316" s="4">
        <v>310</v>
      </c>
      <c r="M316" s="21">
        <v>-127734.25301765534</v>
      </c>
      <c r="N316" s="42">
        <v>49.049091014988839</v>
      </c>
      <c r="O316" s="43">
        <v>14760.105635254144</v>
      </c>
    </row>
    <row r="317" spans="12:15" x14ac:dyDescent="0.2">
      <c r="L317" s="4">
        <v>311</v>
      </c>
      <c r="M317" s="21">
        <v>22996.9356689532</v>
      </c>
      <c r="N317" s="42">
        <v>49.563547253806234</v>
      </c>
      <c r="O317" s="43">
        <v>15555.7830156123</v>
      </c>
    </row>
    <row r="318" spans="12:15" x14ac:dyDescent="0.2">
      <c r="L318" s="4">
        <v>312</v>
      </c>
      <c r="M318" s="21">
        <v>174121.9506651838</v>
      </c>
      <c r="N318" s="42">
        <v>51.189564195510997</v>
      </c>
      <c r="O318" s="43">
        <v>15882.721344961243</v>
      </c>
    </row>
    <row r="319" spans="12:15" x14ac:dyDescent="0.2">
      <c r="L319" s="4">
        <v>313</v>
      </c>
      <c r="M319" s="21">
        <v>135049.40755904585</v>
      </c>
      <c r="N319" s="42">
        <v>50.132100789239381</v>
      </c>
      <c r="O319" s="43">
        <v>15273.089204445818</v>
      </c>
    </row>
    <row r="320" spans="12:15" x14ac:dyDescent="0.2">
      <c r="L320" s="4">
        <v>314</v>
      </c>
      <c r="M320" s="21">
        <v>165213.97432741034</v>
      </c>
      <c r="N320" s="42">
        <v>48.960965723711531</v>
      </c>
      <c r="O320" s="43">
        <v>16473.912044476747</v>
      </c>
    </row>
    <row r="321" spans="12:15" x14ac:dyDescent="0.2">
      <c r="L321" s="4">
        <v>315</v>
      </c>
      <c r="M321" s="21">
        <v>165112.81748274513</v>
      </c>
      <c r="N321" s="42">
        <v>49.127247196736917</v>
      </c>
      <c r="O321" s="43">
        <v>16350.902825108313</v>
      </c>
    </row>
    <row r="322" spans="12:15" x14ac:dyDescent="0.2">
      <c r="L322" s="4">
        <v>316</v>
      </c>
      <c r="M322" s="21">
        <v>-44113.552474335942</v>
      </c>
      <c r="N322" s="42">
        <v>50.13733700119807</v>
      </c>
      <c r="O322" s="43">
        <v>14509.862486148848</v>
      </c>
    </row>
    <row r="323" spans="12:15" x14ac:dyDescent="0.2">
      <c r="L323" s="4">
        <v>317</v>
      </c>
      <c r="M323" s="21">
        <v>-56511.010923387032</v>
      </c>
      <c r="N323" s="42">
        <v>48.225805968920263</v>
      </c>
      <c r="O323" s="43">
        <v>15420.519897135819</v>
      </c>
    </row>
    <row r="324" spans="12:15" x14ac:dyDescent="0.2">
      <c r="L324" s="4">
        <v>318</v>
      </c>
      <c r="M324" s="21">
        <v>61562.020368949539</v>
      </c>
      <c r="N324" s="42">
        <v>50.002971809392484</v>
      </c>
      <c r="O324" s="43">
        <v>14704.502334747433</v>
      </c>
    </row>
    <row r="325" spans="12:15" x14ac:dyDescent="0.2">
      <c r="L325" s="4">
        <v>319</v>
      </c>
      <c r="M325" s="21">
        <v>91023.263411518885</v>
      </c>
      <c r="N325" s="42">
        <v>48.881756489671986</v>
      </c>
      <c r="O325" s="43">
        <v>19306.554226385066</v>
      </c>
    </row>
    <row r="326" spans="12:15" x14ac:dyDescent="0.2">
      <c r="L326" s="4">
        <v>320</v>
      </c>
      <c r="M326" s="21">
        <v>29860.686705449742</v>
      </c>
      <c r="N326" s="42">
        <v>51.167125177243719</v>
      </c>
      <c r="O326" s="43">
        <v>14132.984187179507</v>
      </c>
    </row>
    <row r="327" spans="12:15" x14ac:dyDescent="0.2">
      <c r="L327" s="4">
        <v>321</v>
      </c>
      <c r="M327" s="21">
        <v>-80975.249370578866</v>
      </c>
      <c r="N327" s="42">
        <v>50.68356089150894</v>
      </c>
      <c r="O327" s="43">
        <v>13750.707074915745</v>
      </c>
    </row>
    <row r="328" spans="12:15" x14ac:dyDescent="0.2">
      <c r="L328" s="4">
        <v>322</v>
      </c>
      <c r="M328" s="21">
        <v>-37681.752277586478</v>
      </c>
      <c r="N328" s="42">
        <v>48.551542763948639</v>
      </c>
      <c r="O328" s="43">
        <v>14609.820759195396</v>
      </c>
    </row>
    <row r="329" spans="12:15" x14ac:dyDescent="0.2">
      <c r="L329" s="4">
        <v>323</v>
      </c>
      <c r="M329" s="21">
        <v>119959.5241730694</v>
      </c>
      <c r="N329" s="42">
        <v>48.440093177516886</v>
      </c>
      <c r="O329" s="43">
        <v>17066.226228337389</v>
      </c>
    </row>
    <row r="330" spans="12:15" x14ac:dyDescent="0.2">
      <c r="L330" s="4">
        <v>324</v>
      </c>
      <c r="M330" s="21">
        <v>-66491.442829202759</v>
      </c>
      <c r="N330" s="42">
        <v>46.787918122582255</v>
      </c>
      <c r="O330" s="43">
        <v>16356.156069540897</v>
      </c>
    </row>
    <row r="331" spans="12:15" x14ac:dyDescent="0.2">
      <c r="L331" s="4">
        <v>325</v>
      </c>
      <c r="M331" s="21">
        <v>-17780.615280833139</v>
      </c>
      <c r="N331" s="42">
        <v>47.512266298733358</v>
      </c>
      <c r="O331" s="43">
        <v>16321.47876096535</v>
      </c>
    </row>
    <row r="332" spans="12:15" x14ac:dyDescent="0.2">
      <c r="L332" s="4">
        <v>326</v>
      </c>
      <c r="M332" s="21">
        <v>-207817.84316895588</v>
      </c>
      <c r="N332" s="42">
        <v>50.398849212027578</v>
      </c>
      <c r="O332" s="43">
        <v>12921.438620703928</v>
      </c>
    </row>
    <row r="333" spans="12:15" x14ac:dyDescent="0.2">
      <c r="L333" s="4">
        <v>327</v>
      </c>
      <c r="M333" s="21">
        <v>-84298.090586548744</v>
      </c>
      <c r="N333" s="42">
        <v>48.909062376678051</v>
      </c>
      <c r="O333" s="43">
        <v>15356.333101121229</v>
      </c>
    </row>
    <row r="334" spans="12:15" x14ac:dyDescent="0.2">
      <c r="L334" s="4">
        <v>328</v>
      </c>
      <c r="M334" s="21">
        <v>158300.72774416758</v>
      </c>
      <c r="N334" s="42">
        <v>50.06882577618385</v>
      </c>
      <c r="O334" s="43">
        <v>16890.058870659905</v>
      </c>
    </row>
    <row r="335" spans="12:15" x14ac:dyDescent="0.2">
      <c r="L335" s="4">
        <v>329</v>
      </c>
      <c r="M335" s="21">
        <v>184731.06401198028</v>
      </c>
      <c r="N335" s="42">
        <v>49.568574405551615</v>
      </c>
      <c r="O335" s="43">
        <v>17404.189988760638</v>
      </c>
    </row>
    <row r="336" spans="12:15" x14ac:dyDescent="0.2">
      <c r="L336" s="4">
        <v>330</v>
      </c>
      <c r="M336" s="21">
        <v>30601.412204257009</v>
      </c>
      <c r="N336" s="42">
        <v>49.10648980783575</v>
      </c>
      <c r="O336" s="43">
        <v>16253.765681671062</v>
      </c>
    </row>
    <row r="337" spans="12:15" x14ac:dyDescent="0.2">
      <c r="L337" s="4">
        <v>331</v>
      </c>
      <c r="M337" s="21">
        <v>10578.63298846269</v>
      </c>
      <c r="N337" s="42">
        <v>51.554362049855477</v>
      </c>
      <c r="O337" s="43">
        <v>14499.633702025763</v>
      </c>
    </row>
    <row r="338" spans="12:15" x14ac:dyDescent="0.2">
      <c r="L338" s="4">
        <v>332</v>
      </c>
      <c r="M338" s="21">
        <v>48841.313302366529</v>
      </c>
      <c r="N338" s="42">
        <v>51.336784734304842</v>
      </c>
      <c r="O338" s="43">
        <v>14488.119565883253</v>
      </c>
    </row>
    <row r="339" spans="12:15" x14ac:dyDescent="0.2">
      <c r="L339" s="4">
        <v>333</v>
      </c>
      <c r="M339" s="21">
        <v>144180.73758001468</v>
      </c>
      <c r="N339" s="42">
        <v>49.642359812768802</v>
      </c>
      <c r="O339" s="43">
        <v>14642.940342583141</v>
      </c>
    </row>
    <row r="340" spans="12:15" x14ac:dyDescent="0.2">
      <c r="L340" s="4">
        <v>334</v>
      </c>
      <c r="M340" s="21">
        <v>-24105.19639415096</v>
      </c>
      <c r="N340" s="42">
        <v>49.572274697961937</v>
      </c>
      <c r="O340" s="43">
        <v>14765.408502675609</v>
      </c>
    </row>
    <row r="341" spans="12:15" x14ac:dyDescent="0.2">
      <c r="L341" s="4">
        <v>335</v>
      </c>
      <c r="M341" s="21">
        <v>140277.8440229157</v>
      </c>
      <c r="N341" s="42">
        <v>47.693546916708208</v>
      </c>
      <c r="O341" s="43">
        <v>15219.943006492173</v>
      </c>
    </row>
    <row r="342" spans="12:15" x14ac:dyDescent="0.2">
      <c r="L342" s="4">
        <v>336</v>
      </c>
      <c r="M342" s="21">
        <v>13023.382986899553</v>
      </c>
      <c r="N342" s="42">
        <v>47.460525045123013</v>
      </c>
      <c r="O342" s="43">
        <v>15743.774513986906</v>
      </c>
    </row>
    <row r="343" spans="12:15" x14ac:dyDescent="0.2">
      <c r="L343" s="4">
        <v>337</v>
      </c>
      <c r="M343" s="21">
        <v>-17484.755568264925</v>
      </c>
      <c r="N343" s="42">
        <v>49.225467398361012</v>
      </c>
      <c r="O343" s="43">
        <v>16534.199177811945</v>
      </c>
    </row>
    <row r="344" spans="12:15" x14ac:dyDescent="0.2">
      <c r="L344" s="4">
        <v>338</v>
      </c>
      <c r="M344" s="21">
        <v>-178208.10821604222</v>
      </c>
      <c r="N344" s="42">
        <v>49.29804200490085</v>
      </c>
      <c r="O344" s="43">
        <v>12809.348556566838</v>
      </c>
    </row>
    <row r="345" spans="12:15" x14ac:dyDescent="0.2">
      <c r="L345" s="4">
        <v>339</v>
      </c>
      <c r="M345" s="21">
        <v>225448.97222580289</v>
      </c>
      <c r="N345" s="42">
        <v>48.227825181118199</v>
      </c>
      <c r="O345" s="43">
        <v>18551.001102247967</v>
      </c>
    </row>
    <row r="346" spans="12:15" x14ac:dyDescent="0.2">
      <c r="L346" s="4">
        <v>340</v>
      </c>
      <c r="M346" s="21">
        <v>-56714.560601550009</v>
      </c>
      <c r="N346" s="42">
        <v>48.925460773953617</v>
      </c>
      <c r="O346" s="43">
        <v>14828.580022498847</v>
      </c>
    </row>
    <row r="347" spans="12:15" x14ac:dyDescent="0.2">
      <c r="L347" s="4">
        <v>341</v>
      </c>
      <c r="M347" s="21">
        <v>-119787.20731166328</v>
      </c>
      <c r="N347" s="42">
        <v>50.252640661498056</v>
      </c>
      <c r="O347" s="43">
        <v>12792.152503963547</v>
      </c>
    </row>
    <row r="348" spans="12:15" x14ac:dyDescent="0.2">
      <c r="L348" s="4">
        <v>342</v>
      </c>
      <c r="M348" s="21">
        <v>-57840.685129558158</v>
      </c>
      <c r="N348" s="42">
        <v>49.50616131840097</v>
      </c>
      <c r="O348" s="43">
        <v>13201.635574782948</v>
      </c>
    </row>
    <row r="349" spans="12:15" x14ac:dyDescent="0.2">
      <c r="L349" s="4">
        <v>343</v>
      </c>
      <c r="M349" s="21">
        <v>-122385.61062553398</v>
      </c>
      <c r="N349" s="42">
        <v>49.405544913746581</v>
      </c>
      <c r="O349" s="43">
        <v>13188.344450013676</v>
      </c>
    </row>
    <row r="350" spans="12:15" x14ac:dyDescent="0.2">
      <c r="L350" s="4">
        <v>344</v>
      </c>
      <c r="M350" s="21">
        <v>-103147.20100209233</v>
      </c>
      <c r="N350" s="42">
        <v>50.740939986287017</v>
      </c>
      <c r="O350" s="43">
        <v>13068.519654794391</v>
      </c>
    </row>
    <row r="351" spans="12:15" x14ac:dyDescent="0.2">
      <c r="L351" s="4">
        <v>345</v>
      </c>
      <c r="M351" s="21">
        <v>21604.750979718025</v>
      </c>
      <c r="N351" s="42">
        <v>49.059758989617045</v>
      </c>
      <c r="O351" s="43">
        <v>15528.470750134671</v>
      </c>
    </row>
    <row r="352" spans="12:15" x14ac:dyDescent="0.2">
      <c r="L352" s="4">
        <v>346</v>
      </c>
      <c r="M352" s="21">
        <v>139052.98847579552</v>
      </c>
      <c r="N352" s="42">
        <v>48.250068754884346</v>
      </c>
      <c r="O352" s="43">
        <v>18163.188447903744</v>
      </c>
    </row>
    <row r="353" spans="12:15" x14ac:dyDescent="0.2">
      <c r="L353" s="4">
        <v>347</v>
      </c>
      <c r="M353" s="21">
        <v>-85882.643721251807</v>
      </c>
      <c r="N353" s="42">
        <v>49.650941351190198</v>
      </c>
      <c r="O353" s="43">
        <v>13152.651997614561</v>
      </c>
    </row>
    <row r="354" spans="12:15" x14ac:dyDescent="0.2">
      <c r="L354" s="4">
        <v>348</v>
      </c>
      <c r="M354" s="21">
        <v>-175804.94041357739</v>
      </c>
      <c r="N354" s="42">
        <v>51.099326545741533</v>
      </c>
      <c r="O354" s="43">
        <v>11307.483105469297</v>
      </c>
    </row>
    <row r="355" spans="12:15" x14ac:dyDescent="0.2">
      <c r="L355" s="4">
        <v>349</v>
      </c>
      <c r="M355" s="21">
        <v>78563.652611456841</v>
      </c>
      <c r="N355" s="42">
        <v>50.153578843119021</v>
      </c>
      <c r="O355" s="43">
        <v>15197.384899892239</v>
      </c>
    </row>
    <row r="356" spans="12:15" x14ac:dyDescent="0.2">
      <c r="L356" s="4">
        <v>350</v>
      </c>
      <c r="M356" s="21">
        <v>-67614.876599939336</v>
      </c>
      <c r="N356" s="42">
        <v>47.556790929288347</v>
      </c>
      <c r="O356" s="43">
        <v>17855.100835934838</v>
      </c>
    </row>
    <row r="357" spans="12:15" x14ac:dyDescent="0.2">
      <c r="L357" s="4">
        <v>351</v>
      </c>
      <c r="M357" s="21">
        <v>-60900.722519116316</v>
      </c>
      <c r="N357" s="42">
        <v>51.375633985299409</v>
      </c>
      <c r="O357" s="43">
        <v>13237.697536418596</v>
      </c>
    </row>
    <row r="358" spans="12:15" x14ac:dyDescent="0.2">
      <c r="L358" s="4">
        <v>352</v>
      </c>
      <c r="M358" s="21">
        <v>-69352.172042908918</v>
      </c>
      <c r="N358" s="42">
        <v>49.710939882356698</v>
      </c>
      <c r="O358" s="43">
        <v>14301.908027808846</v>
      </c>
    </row>
    <row r="359" spans="12:15" x14ac:dyDescent="0.2">
      <c r="L359" s="4">
        <v>353</v>
      </c>
      <c r="M359" s="21">
        <v>-58818.020456890692</v>
      </c>
      <c r="N359" s="42">
        <v>51.108121399394577</v>
      </c>
      <c r="O359" s="43">
        <v>13135.525914746579</v>
      </c>
    </row>
    <row r="360" spans="12:15" x14ac:dyDescent="0.2">
      <c r="L360" s="4">
        <v>354</v>
      </c>
      <c r="M360" s="21">
        <v>68808.14084795909</v>
      </c>
      <c r="N360" s="42">
        <v>51.147022568497093</v>
      </c>
      <c r="O360" s="43">
        <v>14436.96925195535</v>
      </c>
    </row>
    <row r="361" spans="12:15" x14ac:dyDescent="0.2">
      <c r="L361" s="4">
        <v>355</v>
      </c>
      <c r="M361" s="21">
        <v>-119121.7512584923</v>
      </c>
      <c r="N361" s="42">
        <v>49.284895654925513</v>
      </c>
      <c r="O361" s="43">
        <v>12808.800270197225</v>
      </c>
    </row>
    <row r="362" spans="12:15" x14ac:dyDescent="0.2">
      <c r="L362" s="4">
        <v>356</v>
      </c>
      <c r="M362" s="21">
        <v>-303197.90864576574</v>
      </c>
      <c r="N362" s="42">
        <v>49.065907746790785</v>
      </c>
      <c r="O362" s="43">
        <v>12462.006713685472</v>
      </c>
    </row>
    <row r="363" spans="12:15" x14ac:dyDescent="0.2">
      <c r="L363" s="4">
        <v>357</v>
      </c>
      <c r="M363" s="21">
        <v>-64177.865836989484</v>
      </c>
      <c r="N363" s="42">
        <v>51.534632646464701</v>
      </c>
      <c r="O363" s="43">
        <v>11851.127193164542</v>
      </c>
    </row>
    <row r="364" spans="12:15" x14ac:dyDescent="0.2">
      <c r="L364" s="4">
        <v>358</v>
      </c>
      <c r="M364" s="21">
        <v>49355.189777924097</v>
      </c>
      <c r="N364" s="42">
        <v>49.157443493145827</v>
      </c>
      <c r="O364" s="43">
        <v>15217.572095822514</v>
      </c>
    </row>
    <row r="365" spans="12:15" x14ac:dyDescent="0.2">
      <c r="L365" s="4">
        <v>359</v>
      </c>
      <c r="M365" s="21">
        <v>-9593.311569017882</v>
      </c>
      <c r="N365" s="42">
        <v>49.325669281004771</v>
      </c>
      <c r="O365" s="43">
        <v>15222.195358850535</v>
      </c>
    </row>
    <row r="366" spans="12:15" x14ac:dyDescent="0.2">
      <c r="L366" s="4">
        <v>360</v>
      </c>
      <c r="M366" s="21">
        <v>97396.547243756562</v>
      </c>
      <c r="N366" s="42">
        <v>48.638412854248749</v>
      </c>
      <c r="O366" s="43">
        <v>19146.749349757349</v>
      </c>
    </row>
    <row r="367" spans="12:15" x14ac:dyDescent="0.2">
      <c r="L367" s="4">
        <v>361</v>
      </c>
      <c r="M367" s="21">
        <v>191149.45709462962</v>
      </c>
      <c r="N367" s="42">
        <v>49.720225465634613</v>
      </c>
      <c r="O367" s="43">
        <v>18515.231769489925</v>
      </c>
    </row>
    <row r="368" spans="12:15" x14ac:dyDescent="0.2">
      <c r="L368" s="4">
        <v>362</v>
      </c>
      <c r="M368" s="21">
        <v>-146066.06981738668</v>
      </c>
      <c r="N368" s="42">
        <v>50.26639452437049</v>
      </c>
      <c r="O368" s="43">
        <v>14557.645760385802</v>
      </c>
    </row>
    <row r="369" spans="12:15" x14ac:dyDescent="0.2">
      <c r="L369" s="4">
        <v>363</v>
      </c>
      <c r="M369" s="21">
        <v>-201726.96063248854</v>
      </c>
      <c r="N369" s="42">
        <v>48.08482408914643</v>
      </c>
      <c r="O369" s="43">
        <v>14114.337550472097</v>
      </c>
    </row>
    <row r="370" spans="12:15" x14ac:dyDescent="0.2">
      <c r="L370" s="4">
        <v>364</v>
      </c>
      <c r="M370" s="21">
        <v>51515.564895297633</v>
      </c>
      <c r="N370" s="42">
        <v>51.223462443082823</v>
      </c>
      <c r="O370" s="43">
        <v>14361.230078492868</v>
      </c>
    </row>
    <row r="371" spans="12:15" x14ac:dyDescent="0.2">
      <c r="L371" s="4">
        <v>365</v>
      </c>
      <c r="M371" s="21">
        <v>-38499.791976828681</v>
      </c>
      <c r="N371" s="42">
        <v>50.549801364395741</v>
      </c>
      <c r="O371" s="43">
        <v>14009.700175353531</v>
      </c>
    </row>
    <row r="372" spans="12:15" x14ac:dyDescent="0.2">
      <c r="L372" s="4">
        <v>366</v>
      </c>
      <c r="M372" s="21">
        <v>-79479.528133648084</v>
      </c>
      <c r="N372" s="42">
        <v>49.051812142306012</v>
      </c>
      <c r="O372" s="43">
        <v>14433.480623602856</v>
      </c>
    </row>
    <row r="373" spans="12:15" x14ac:dyDescent="0.2">
      <c r="L373" s="4">
        <v>367</v>
      </c>
      <c r="M373" s="21">
        <v>-48603.518708290081</v>
      </c>
      <c r="N373" s="42">
        <v>50.058322289376832</v>
      </c>
      <c r="O373" s="43">
        <v>14624.514254586822</v>
      </c>
    </row>
    <row r="374" spans="12:15" x14ac:dyDescent="0.2">
      <c r="L374" s="4">
        <v>368</v>
      </c>
      <c r="M374" s="21">
        <v>134862.50985548642</v>
      </c>
      <c r="N374" s="42">
        <v>51.143991123794066</v>
      </c>
      <c r="O374" s="43">
        <v>14557.179380542973</v>
      </c>
    </row>
    <row r="375" spans="12:15" x14ac:dyDescent="0.2">
      <c r="L375" s="4">
        <v>369</v>
      </c>
      <c r="M375" s="21">
        <v>111349.6653367393</v>
      </c>
      <c r="N375" s="42">
        <v>50.911815412393366</v>
      </c>
      <c r="O375" s="43">
        <v>13107.674650232586</v>
      </c>
    </row>
    <row r="376" spans="12:15" x14ac:dyDescent="0.2">
      <c r="L376" s="4">
        <v>370</v>
      </c>
      <c r="M376" s="21">
        <v>-15339.201517306195</v>
      </c>
      <c r="N376" s="42">
        <v>50.102241668040314</v>
      </c>
      <c r="O376" s="43">
        <v>15053.427552032932</v>
      </c>
    </row>
    <row r="377" spans="12:15" x14ac:dyDescent="0.2">
      <c r="L377" s="4">
        <v>371</v>
      </c>
      <c r="M377" s="21">
        <v>-149961.60362721817</v>
      </c>
      <c r="N377" s="42">
        <v>50.186791172775806</v>
      </c>
      <c r="O377" s="43">
        <v>12596.842679684782</v>
      </c>
    </row>
    <row r="378" spans="12:15" x14ac:dyDescent="0.2">
      <c r="L378" s="4">
        <v>372</v>
      </c>
      <c r="M378" s="21">
        <v>-48036.391011284766</v>
      </c>
      <c r="N378" s="42">
        <v>48.105318036982133</v>
      </c>
      <c r="O378" s="43">
        <v>16881.310672774853</v>
      </c>
    </row>
    <row r="379" spans="12:15" x14ac:dyDescent="0.2">
      <c r="L379" s="4">
        <v>373</v>
      </c>
      <c r="M379" s="21">
        <v>-130865.85064894739</v>
      </c>
      <c r="N379" s="42">
        <v>47.180511368540103</v>
      </c>
      <c r="O379" s="43">
        <v>14847.640059915406</v>
      </c>
    </row>
    <row r="380" spans="12:15" x14ac:dyDescent="0.2">
      <c r="L380" s="4">
        <v>374</v>
      </c>
      <c r="M380" s="21">
        <v>-122567.89406152378</v>
      </c>
      <c r="N380" s="42">
        <v>49.728842543935016</v>
      </c>
      <c r="O380" s="43">
        <v>14396.80937668041</v>
      </c>
    </row>
    <row r="381" spans="12:15" x14ac:dyDescent="0.2">
      <c r="L381" s="4">
        <v>375</v>
      </c>
      <c r="M381" s="21">
        <v>-53352.771195217239</v>
      </c>
      <c r="N381" s="42">
        <v>50.994269705536603</v>
      </c>
      <c r="O381" s="43">
        <v>13692.694468318596</v>
      </c>
    </row>
    <row r="382" spans="12:15" x14ac:dyDescent="0.2">
      <c r="L382" s="4">
        <v>376</v>
      </c>
      <c r="M382" s="21">
        <v>-33.151066500853631</v>
      </c>
      <c r="N382" s="42">
        <v>51.340951290283179</v>
      </c>
      <c r="O382" s="43">
        <v>13163.877940664021</v>
      </c>
    </row>
    <row r="383" spans="12:15" x14ac:dyDescent="0.2">
      <c r="L383" s="4">
        <v>377</v>
      </c>
      <c r="M383" s="21">
        <v>-22939.038551678357</v>
      </c>
      <c r="N383" s="42">
        <v>50.683462084718464</v>
      </c>
      <c r="O383" s="43">
        <v>14813.573394568974</v>
      </c>
    </row>
    <row r="384" spans="12:15" x14ac:dyDescent="0.2">
      <c r="L384" s="4">
        <v>378</v>
      </c>
      <c r="M384" s="21">
        <v>78939.298873035616</v>
      </c>
      <c r="N384" s="42">
        <v>48.372290959811728</v>
      </c>
      <c r="O384" s="43">
        <v>15736.508677012313</v>
      </c>
    </row>
    <row r="385" spans="12:15" x14ac:dyDescent="0.2">
      <c r="L385" s="4">
        <v>379</v>
      </c>
      <c r="M385" s="21">
        <v>74660.782514992519</v>
      </c>
      <c r="N385" s="42">
        <v>50.538491407919537</v>
      </c>
      <c r="O385" s="43">
        <v>15441.636053540224</v>
      </c>
    </row>
    <row r="386" spans="12:15" x14ac:dyDescent="0.2">
      <c r="L386" s="4">
        <v>380</v>
      </c>
      <c r="M386" s="21">
        <v>-42653.647996053958</v>
      </c>
      <c r="N386" s="42">
        <v>50.67644746061044</v>
      </c>
      <c r="O386" s="43">
        <v>12195.949167283261</v>
      </c>
    </row>
    <row r="387" spans="12:15" x14ac:dyDescent="0.2">
      <c r="L387" s="4">
        <v>381</v>
      </c>
      <c r="M387" s="21">
        <v>62755.111587833555</v>
      </c>
      <c r="N387" s="42">
        <v>50.311480413369587</v>
      </c>
      <c r="O387" s="43">
        <v>16304.87106808407</v>
      </c>
    </row>
    <row r="388" spans="12:15" x14ac:dyDescent="0.2">
      <c r="L388" s="4">
        <v>382</v>
      </c>
      <c r="M388" s="21">
        <v>31945.429617769114</v>
      </c>
      <c r="N388" s="42">
        <v>49.806384626515893</v>
      </c>
      <c r="O388" s="43">
        <v>15882.624493663034</v>
      </c>
    </row>
    <row r="389" spans="12:15" x14ac:dyDescent="0.2">
      <c r="L389" s="4">
        <v>383</v>
      </c>
      <c r="M389" s="21">
        <v>-6766.0058285992855</v>
      </c>
      <c r="N389" s="42">
        <v>47.385900979423852</v>
      </c>
      <c r="O389" s="43">
        <v>19052.177002129785</v>
      </c>
    </row>
    <row r="390" spans="12:15" x14ac:dyDescent="0.2">
      <c r="L390" s="4">
        <v>384</v>
      </c>
      <c r="M390" s="21">
        <v>-136674.33519905328</v>
      </c>
      <c r="N390" s="42">
        <v>49.596673751226646</v>
      </c>
      <c r="O390" s="43">
        <v>13356.783239843755</v>
      </c>
    </row>
    <row r="391" spans="12:15" x14ac:dyDescent="0.2">
      <c r="L391" s="4">
        <v>385</v>
      </c>
      <c r="M391" s="21">
        <v>27020.656624821306</v>
      </c>
      <c r="N391" s="42">
        <v>50.256454370369262</v>
      </c>
      <c r="O391" s="43">
        <v>13956.631684352076</v>
      </c>
    </row>
    <row r="392" spans="12:15" x14ac:dyDescent="0.2">
      <c r="L392" s="4">
        <v>386</v>
      </c>
      <c r="M392" s="21">
        <v>-59350.74977547898</v>
      </c>
      <c r="N392" s="42">
        <v>48.876500853803002</v>
      </c>
      <c r="O392" s="43">
        <v>15141.175607264244</v>
      </c>
    </row>
    <row r="393" spans="12:15" x14ac:dyDescent="0.2">
      <c r="L393" s="4">
        <v>387</v>
      </c>
      <c r="M393" s="21">
        <v>-65400.944444260822</v>
      </c>
      <c r="N393" s="42">
        <v>47.073390076373798</v>
      </c>
      <c r="O393" s="43">
        <v>16107.463665402713</v>
      </c>
    </row>
    <row r="394" spans="12:15" x14ac:dyDescent="0.2">
      <c r="L394" s="4">
        <v>388</v>
      </c>
      <c r="M394" s="21">
        <v>11931.843429657427</v>
      </c>
      <c r="N394" s="42">
        <v>48.672865884724288</v>
      </c>
      <c r="O394" s="43">
        <v>15226.66473147511</v>
      </c>
    </row>
    <row r="395" spans="12:15" x14ac:dyDescent="0.2">
      <c r="L395" s="4">
        <v>389</v>
      </c>
      <c r="M395" s="21">
        <v>63704.756108522473</v>
      </c>
      <c r="N395" s="42">
        <v>48.86416619782711</v>
      </c>
      <c r="O395" s="43">
        <v>15117.341862364146</v>
      </c>
    </row>
    <row r="396" spans="12:15" x14ac:dyDescent="0.2">
      <c r="L396" s="4">
        <v>390</v>
      </c>
      <c r="M396" s="21">
        <v>38428.803995173716</v>
      </c>
      <c r="N396" s="42">
        <v>51.027876010445738</v>
      </c>
      <c r="O396" s="43">
        <v>14757.044555929351</v>
      </c>
    </row>
    <row r="397" spans="12:15" x14ac:dyDescent="0.2">
      <c r="L397" s="4">
        <v>391</v>
      </c>
      <c r="M397" s="21">
        <v>111657.19104721531</v>
      </c>
      <c r="N397" s="42">
        <v>50.385036782120963</v>
      </c>
      <c r="O397" s="43">
        <v>15335.436879040873</v>
      </c>
    </row>
    <row r="398" spans="12:15" x14ac:dyDescent="0.2">
      <c r="L398" s="4">
        <v>392</v>
      </c>
      <c r="M398" s="21">
        <v>48886.094406695251</v>
      </c>
      <c r="N398" s="42">
        <v>49.234625567405132</v>
      </c>
      <c r="O398" s="43">
        <v>15662.016368294813</v>
      </c>
    </row>
    <row r="399" spans="12:15" x14ac:dyDescent="0.2">
      <c r="L399" s="4">
        <v>393</v>
      </c>
      <c r="M399" s="21">
        <v>301135.37790886918</v>
      </c>
      <c r="N399" s="42">
        <v>50.859990517230706</v>
      </c>
      <c r="O399" s="43">
        <v>16321.043877228176</v>
      </c>
    </row>
    <row r="400" spans="12:15" x14ac:dyDescent="0.2">
      <c r="L400" s="4">
        <v>394</v>
      </c>
      <c r="M400" s="21">
        <v>31412.801609626564</v>
      </c>
      <c r="N400" s="42">
        <v>50.760813080582267</v>
      </c>
      <c r="O400" s="43">
        <v>13958.10404080194</v>
      </c>
    </row>
    <row r="401" spans="12:15" x14ac:dyDescent="0.2">
      <c r="L401" s="4">
        <v>395</v>
      </c>
      <c r="M401" s="21">
        <v>-121646.22254346556</v>
      </c>
      <c r="N401" s="42">
        <v>51.099978403257701</v>
      </c>
      <c r="O401" s="43">
        <v>12408.008834623033</v>
      </c>
    </row>
    <row r="402" spans="12:15" x14ac:dyDescent="0.2">
      <c r="L402" s="4">
        <v>396</v>
      </c>
      <c r="M402" s="21">
        <v>113125.85196003251</v>
      </c>
      <c r="N402" s="42">
        <v>46.582496250564162</v>
      </c>
      <c r="O402" s="43">
        <v>18795.260105988356</v>
      </c>
    </row>
    <row r="403" spans="12:15" x14ac:dyDescent="0.2">
      <c r="L403" s="4">
        <v>397</v>
      </c>
      <c r="M403" s="21">
        <v>114489.78604388534</v>
      </c>
      <c r="N403" s="42">
        <v>49.489445261158053</v>
      </c>
      <c r="O403" s="43">
        <v>15735.413285251112</v>
      </c>
    </row>
    <row r="404" spans="12:15" x14ac:dyDescent="0.2">
      <c r="L404" s="4">
        <v>398</v>
      </c>
      <c r="M404" s="21">
        <v>-78508.738963488751</v>
      </c>
      <c r="N404" s="42">
        <v>51.781186167673624</v>
      </c>
      <c r="O404" s="43">
        <v>12029.146889139931</v>
      </c>
    </row>
    <row r="405" spans="12:15" x14ac:dyDescent="0.2">
      <c r="L405" s="4">
        <v>399</v>
      </c>
      <c r="M405" s="21">
        <v>-84459.173978464474</v>
      </c>
      <c r="N405" s="42">
        <v>51.826822769858232</v>
      </c>
      <c r="O405" s="43">
        <v>11827.884829997745</v>
      </c>
    </row>
    <row r="406" spans="12:15" x14ac:dyDescent="0.2">
      <c r="L406" s="4">
        <v>400</v>
      </c>
      <c r="M406" s="21">
        <v>45447.497562405653</v>
      </c>
      <c r="N406" s="42">
        <v>49.849855070079101</v>
      </c>
      <c r="O406" s="43">
        <v>14565.491188775355</v>
      </c>
    </row>
    <row r="407" spans="12:15" x14ac:dyDescent="0.2">
      <c r="L407" s="4">
        <v>401</v>
      </c>
      <c r="M407" s="21">
        <v>193108.52725766707</v>
      </c>
      <c r="N407" s="42">
        <v>51.692077864657023</v>
      </c>
      <c r="O407" s="43">
        <v>16129.869201376383</v>
      </c>
    </row>
    <row r="408" spans="12:15" x14ac:dyDescent="0.2">
      <c r="L408" s="4">
        <v>402</v>
      </c>
      <c r="M408" s="21">
        <v>-43939.483953555231</v>
      </c>
      <c r="N408" s="42">
        <v>49.32133981821972</v>
      </c>
      <c r="O408" s="43">
        <v>15540.80646948779</v>
      </c>
    </row>
    <row r="409" spans="12:15" x14ac:dyDescent="0.2">
      <c r="L409" s="4">
        <v>403</v>
      </c>
      <c r="M409" s="21">
        <v>80136.466020574502</v>
      </c>
      <c r="N409" s="42">
        <v>51.266575723856839</v>
      </c>
      <c r="O409" s="43">
        <v>15848.792243059685</v>
      </c>
    </row>
    <row r="410" spans="12:15" x14ac:dyDescent="0.2">
      <c r="L410" s="4">
        <v>404</v>
      </c>
      <c r="M410" s="21">
        <v>34579.475022891071</v>
      </c>
      <c r="N410" s="42">
        <v>49.903730034984662</v>
      </c>
      <c r="O410" s="43">
        <v>15009.239571299218</v>
      </c>
    </row>
    <row r="411" spans="12:15" x14ac:dyDescent="0.2">
      <c r="L411" s="4">
        <v>405</v>
      </c>
      <c r="M411" s="21">
        <v>-14901.496767710181</v>
      </c>
      <c r="N411" s="42">
        <v>50.957293944340371</v>
      </c>
      <c r="O411" s="43">
        <v>13606.529746637883</v>
      </c>
    </row>
    <row r="412" spans="12:15" x14ac:dyDescent="0.2">
      <c r="L412" s="4">
        <v>406</v>
      </c>
      <c r="M412" s="21">
        <v>-32846.760521737961</v>
      </c>
      <c r="N412" s="42">
        <v>49.441188390276039</v>
      </c>
      <c r="O412" s="43">
        <v>15250.004002741245</v>
      </c>
    </row>
    <row r="413" spans="12:15" x14ac:dyDescent="0.2">
      <c r="L413" s="4">
        <v>407</v>
      </c>
      <c r="M413" s="21">
        <v>-159003.8779165725</v>
      </c>
      <c r="N413" s="42">
        <v>48.066887225651556</v>
      </c>
      <c r="O413" s="43">
        <v>15148.143667456952</v>
      </c>
    </row>
    <row r="414" spans="12:15" x14ac:dyDescent="0.2">
      <c r="L414" s="4">
        <v>408</v>
      </c>
      <c r="M414" s="21">
        <v>-285565.63043463766</v>
      </c>
      <c r="N414" s="42">
        <v>49.761208785835279</v>
      </c>
      <c r="O414" s="43">
        <v>11069.993876970018</v>
      </c>
    </row>
    <row r="415" spans="12:15" x14ac:dyDescent="0.2">
      <c r="L415" s="4">
        <v>409</v>
      </c>
      <c r="M415" s="21">
        <v>144899.37077601408</v>
      </c>
      <c r="N415" s="42">
        <v>49.099554915910744</v>
      </c>
      <c r="O415" s="43">
        <v>15942.209111601042</v>
      </c>
    </row>
    <row r="416" spans="12:15" x14ac:dyDescent="0.2">
      <c r="L416" s="4">
        <v>410</v>
      </c>
      <c r="M416" s="21">
        <v>-188411.1768558895</v>
      </c>
      <c r="N416" s="42">
        <v>48.961089233748538</v>
      </c>
      <c r="O416" s="43">
        <v>13678.528166672384</v>
      </c>
    </row>
    <row r="417" spans="12:15" x14ac:dyDescent="0.2">
      <c r="L417" s="4">
        <v>411</v>
      </c>
      <c r="M417" s="21">
        <v>-53808.747646059754</v>
      </c>
      <c r="N417" s="42">
        <v>49.47868208330911</v>
      </c>
      <c r="O417" s="43">
        <v>16441.276427866083</v>
      </c>
    </row>
    <row r="418" spans="12:15" x14ac:dyDescent="0.2">
      <c r="L418" s="4">
        <v>412</v>
      </c>
      <c r="M418" s="21">
        <v>-36654.417139749916</v>
      </c>
      <c r="N418" s="42">
        <v>48.392269430575595</v>
      </c>
      <c r="O418" s="43">
        <v>15561.509327248963</v>
      </c>
    </row>
    <row r="419" spans="12:15" x14ac:dyDescent="0.2">
      <c r="L419" s="4">
        <v>413</v>
      </c>
      <c r="M419" s="21">
        <v>-76540.448309126688</v>
      </c>
      <c r="N419" s="42">
        <v>48.650737385960511</v>
      </c>
      <c r="O419" s="43">
        <v>13528.267750550973</v>
      </c>
    </row>
    <row r="420" spans="12:15" x14ac:dyDescent="0.2">
      <c r="L420" s="4">
        <v>414</v>
      </c>
      <c r="M420" s="21">
        <v>-100569.13042622647</v>
      </c>
      <c r="N420" s="42">
        <v>49.323003667606464</v>
      </c>
      <c r="O420" s="43">
        <v>14013.95448340439</v>
      </c>
    </row>
    <row r="421" spans="12:15" x14ac:dyDescent="0.2">
      <c r="L421" s="4">
        <v>415</v>
      </c>
      <c r="M421" s="21">
        <v>3034.8173838396906</v>
      </c>
      <c r="N421" s="42">
        <v>51.573196077978515</v>
      </c>
      <c r="O421" s="43">
        <v>14947.084653492007</v>
      </c>
    </row>
    <row r="422" spans="12:15" x14ac:dyDescent="0.2">
      <c r="L422" s="4">
        <v>416</v>
      </c>
      <c r="M422" s="21">
        <v>-20251.474329301782</v>
      </c>
      <c r="N422" s="42">
        <v>49.247027651358643</v>
      </c>
      <c r="O422" s="43">
        <v>14056.457978089793</v>
      </c>
    </row>
    <row r="423" spans="12:15" x14ac:dyDescent="0.2">
      <c r="L423" s="4">
        <v>417</v>
      </c>
      <c r="M423" s="21">
        <v>73692.693025577842</v>
      </c>
      <c r="N423" s="42">
        <v>49.032129278663405</v>
      </c>
      <c r="O423" s="43">
        <v>15373.302849102036</v>
      </c>
    </row>
    <row r="424" spans="12:15" x14ac:dyDescent="0.2">
      <c r="L424" s="4">
        <v>418</v>
      </c>
      <c r="M424" s="21">
        <v>-35378.021940065664</v>
      </c>
      <c r="N424" s="42">
        <v>50.188729496134506</v>
      </c>
      <c r="O424" s="43">
        <v>14854.499911196508</v>
      </c>
    </row>
    <row r="425" spans="12:15" x14ac:dyDescent="0.2">
      <c r="L425" s="4">
        <v>419</v>
      </c>
      <c r="M425" s="21">
        <v>-94928.112042290741</v>
      </c>
      <c r="N425" s="42">
        <v>50.555313671053028</v>
      </c>
      <c r="O425" s="43">
        <v>12720.486972066334</v>
      </c>
    </row>
    <row r="426" spans="12:15" x14ac:dyDescent="0.2">
      <c r="L426" s="4">
        <v>420</v>
      </c>
      <c r="M426" s="21">
        <v>33206.167836962151</v>
      </c>
      <c r="N426" s="42">
        <v>50.408195493252059</v>
      </c>
      <c r="O426" s="43">
        <v>15492.82324707929</v>
      </c>
    </row>
    <row r="427" spans="12:15" x14ac:dyDescent="0.2">
      <c r="L427" s="4">
        <v>421</v>
      </c>
      <c r="M427" s="21">
        <v>-187049.11533228951</v>
      </c>
      <c r="N427" s="42">
        <v>45.650136641897056</v>
      </c>
      <c r="O427" s="43">
        <v>16462.354616714652</v>
      </c>
    </row>
    <row r="428" spans="12:15" x14ac:dyDescent="0.2">
      <c r="L428" s="4">
        <v>422</v>
      </c>
      <c r="M428" s="21">
        <v>61613.104087166023</v>
      </c>
      <c r="N428" s="42">
        <v>50.518364529193519</v>
      </c>
      <c r="O428" s="43">
        <v>14126.858960989333</v>
      </c>
    </row>
    <row r="429" spans="12:15" x14ac:dyDescent="0.2">
      <c r="L429" s="4">
        <v>423</v>
      </c>
      <c r="M429" s="21">
        <v>3397.1263320413127</v>
      </c>
      <c r="N429" s="42">
        <v>46.621100261848056</v>
      </c>
      <c r="O429" s="43">
        <v>17774.777273133466</v>
      </c>
    </row>
    <row r="430" spans="12:15" x14ac:dyDescent="0.2">
      <c r="L430" s="4">
        <v>424</v>
      </c>
      <c r="M430" s="21">
        <v>-139135.51763441483</v>
      </c>
      <c r="N430" s="42">
        <v>50.421455272174271</v>
      </c>
      <c r="O430" s="43">
        <v>13542.159763541456</v>
      </c>
    </row>
    <row r="431" spans="12:15" x14ac:dyDescent="0.2">
      <c r="L431" s="4">
        <v>425</v>
      </c>
      <c r="M431" s="21">
        <v>-59895.90087958923</v>
      </c>
      <c r="N431" s="42">
        <v>50.488930922548413</v>
      </c>
      <c r="O431" s="43">
        <v>14196.085919558756</v>
      </c>
    </row>
    <row r="432" spans="12:15" x14ac:dyDescent="0.2">
      <c r="L432" s="4">
        <v>426</v>
      </c>
      <c r="M432" s="21">
        <v>90879.554996574356</v>
      </c>
      <c r="N432" s="42">
        <v>51.665165426776703</v>
      </c>
      <c r="O432" s="43">
        <v>13836.733161565353</v>
      </c>
    </row>
    <row r="433" spans="12:15" x14ac:dyDescent="0.2">
      <c r="L433" s="4">
        <v>427</v>
      </c>
      <c r="M433" s="21">
        <v>-40789.495601702802</v>
      </c>
      <c r="N433" s="42">
        <v>49.02631079779205</v>
      </c>
      <c r="O433" s="43">
        <v>15630.555273283144</v>
      </c>
    </row>
    <row r="434" spans="12:15" x14ac:dyDescent="0.2">
      <c r="L434" s="4">
        <v>428</v>
      </c>
      <c r="M434" s="21">
        <v>-254782.17635694763</v>
      </c>
      <c r="N434" s="42">
        <v>51.276318410773094</v>
      </c>
      <c r="O434" s="43">
        <v>10994.04092561677</v>
      </c>
    </row>
    <row r="435" spans="12:15" x14ac:dyDescent="0.2">
      <c r="L435" s="4">
        <v>429</v>
      </c>
      <c r="M435" s="21">
        <v>-122422.82595819936</v>
      </c>
      <c r="N435" s="42">
        <v>50.96212845992099</v>
      </c>
      <c r="O435" s="43">
        <v>14096.002026001515</v>
      </c>
    </row>
    <row r="436" spans="12:15" x14ac:dyDescent="0.2">
      <c r="L436" s="4">
        <v>430</v>
      </c>
      <c r="M436" s="21">
        <v>-5258.4618306543416</v>
      </c>
      <c r="N436" s="42">
        <v>47.106862107022963</v>
      </c>
      <c r="O436" s="43">
        <v>16251.057512078392</v>
      </c>
    </row>
    <row r="437" spans="12:15" x14ac:dyDescent="0.2">
      <c r="L437" s="4">
        <v>431</v>
      </c>
      <c r="M437" s="21">
        <v>-169543.39783426331</v>
      </c>
      <c r="N437" s="42">
        <v>48.820502161969877</v>
      </c>
      <c r="O437" s="43">
        <v>12821.083439765418</v>
      </c>
    </row>
    <row r="438" spans="12:15" x14ac:dyDescent="0.2">
      <c r="L438" s="4">
        <v>432</v>
      </c>
      <c r="M438" s="21">
        <v>-30997.164621379561</v>
      </c>
      <c r="N438" s="42">
        <v>48.408969575157627</v>
      </c>
      <c r="O438" s="43">
        <v>14794.320019317107</v>
      </c>
    </row>
    <row r="439" spans="12:15" x14ac:dyDescent="0.2">
      <c r="L439" s="4">
        <v>433</v>
      </c>
      <c r="M439" s="21">
        <v>-70089.053986336381</v>
      </c>
      <c r="N439" s="42">
        <v>49.015484809773859</v>
      </c>
      <c r="O439" s="43">
        <v>13232.137466736662</v>
      </c>
    </row>
    <row r="440" spans="12:15" x14ac:dyDescent="0.2">
      <c r="L440" s="4">
        <v>434</v>
      </c>
      <c r="M440" s="21">
        <v>24204.784995754831</v>
      </c>
      <c r="N440" s="42">
        <v>51.054206103542221</v>
      </c>
      <c r="O440" s="43">
        <v>12987.254609806096</v>
      </c>
    </row>
    <row r="441" spans="12:15" x14ac:dyDescent="0.2">
      <c r="L441" s="4">
        <v>435</v>
      </c>
      <c r="M441" s="21">
        <v>99795.527637079387</v>
      </c>
      <c r="N441" s="42">
        <v>50.531369975201322</v>
      </c>
      <c r="O441" s="43">
        <v>15165.851367948058</v>
      </c>
    </row>
    <row r="442" spans="12:15" x14ac:dyDescent="0.2">
      <c r="L442" s="4">
        <v>436</v>
      </c>
      <c r="M442" s="21">
        <v>155888.25040434019</v>
      </c>
      <c r="N442" s="42">
        <v>49.747078867801953</v>
      </c>
      <c r="O442" s="43">
        <v>15799.988600598499</v>
      </c>
    </row>
    <row r="443" spans="12:15" x14ac:dyDescent="0.2">
      <c r="L443" s="4">
        <v>437</v>
      </c>
      <c r="M443" s="21">
        <v>-47209.23236195599</v>
      </c>
      <c r="N443" s="42">
        <v>48.431703833476838</v>
      </c>
      <c r="O443" s="43">
        <v>14664.849458364741</v>
      </c>
    </row>
    <row r="444" spans="12:15" x14ac:dyDescent="0.2">
      <c r="L444" s="4">
        <v>438</v>
      </c>
      <c r="M444" s="21">
        <v>-152378.86885232519</v>
      </c>
      <c r="N444" s="42">
        <v>51.66269448760643</v>
      </c>
      <c r="O444" s="43">
        <v>12684.587843714389</v>
      </c>
    </row>
    <row r="445" spans="12:15" x14ac:dyDescent="0.2">
      <c r="L445" s="4">
        <v>439</v>
      </c>
      <c r="M445" s="21">
        <v>28815.232583294419</v>
      </c>
      <c r="N445" s="42">
        <v>49.558387268452378</v>
      </c>
      <c r="O445" s="43">
        <v>15178.248432859944</v>
      </c>
    </row>
    <row r="446" spans="12:15" x14ac:dyDescent="0.2">
      <c r="L446" s="4">
        <v>440</v>
      </c>
      <c r="M446" s="21">
        <v>62732.850337391486</v>
      </c>
      <c r="N446" s="42">
        <v>48.636741673743806</v>
      </c>
      <c r="O446" s="43">
        <v>15403.864324951312</v>
      </c>
    </row>
    <row r="447" spans="12:15" x14ac:dyDescent="0.2">
      <c r="L447" s="4">
        <v>441</v>
      </c>
      <c r="M447" s="21">
        <v>8526.119634188799</v>
      </c>
      <c r="N447" s="42">
        <v>51.278347677208309</v>
      </c>
      <c r="O447" s="43">
        <v>13823.522197701859</v>
      </c>
    </row>
    <row r="448" spans="12:15" x14ac:dyDescent="0.2">
      <c r="L448" s="4">
        <v>442</v>
      </c>
      <c r="M448" s="21">
        <v>-95764.739193416739</v>
      </c>
      <c r="N448" s="42">
        <v>49.255740207870808</v>
      </c>
      <c r="O448" s="43">
        <v>14586.025277582959</v>
      </c>
    </row>
    <row r="449" spans="12:15" x14ac:dyDescent="0.2">
      <c r="L449" s="4">
        <v>443</v>
      </c>
      <c r="M449" s="21">
        <v>-209980.13919635565</v>
      </c>
      <c r="N449" s="42">
        <v>50.22359270425342</v>
      </c>
      <c r="O449" s="43">
        <v>12051.735342381344</v>
      </c>
    </row>
    <row r="450" spans="12:15" x14ac:dyDescent="0.2">
      <c r="L450" s="4">
        <v>444</v>
      </c>
      <c r="M450" s="21">
        <v>30533.818423183373</v>
      </c>
      <c r="N450" s="42">
        <v>51.362501622212072</v>
      </c>
      <c r="O450" s="43">
        <v>14839.452578675342</v>
      </c>
    </row>
    <row r="451" spans="12:15" x14ac:dyDescent="0.2">
      <c r="L451" s="4">
        <v>445</v>
      </c>
      <c r="M451" s="21">
        <v>-127988.66713359302</v>
      </c>
      <c r="N451" s="42">
        <v>50.137821348634475</v>
      </c>
      <c r="O451" s="43">
        <v>13402.070936388649</v>
      </c>
    </row>
    <row r="452" spans="12:15" x14ac:dyDescent="0.2">
      <c r="L452" s="4">
        <v>446</v>
      </c>
      <c r="M452" s="21">
        <v>81783.335423877084</v>
      </c>
      <c r="N452" s="42">
        <v>49.368332378055605</v>
      </c>
      <c r="O452" s="43">
        <v>15772.329912749035</v>
      </c>
    </row>
    <row r="453" spans="12:15" x14ac:dyDescent="0.2">
      <c r="L453" s="4">
        <v>447</v>
      </c>
      <c r="M453" s="21">
        <v>47874.586288550083</v>
      </c>
      <c r="N453" s="42">
        <v>48.842339697113587</v>
      </c>
      <c r="O453" s="43">
        <v>15234.535416632791</v>
      </c>
    </row>
    <row r="454" spans="12:15" x14ac:dyDescent="0.2">
      <c r="L454" s="4">
        <v>448</v>
      </c>
      <c r="M454" s="21">
        <v>-60485.28828235167</v>
      </c>
      <c r="N454" s="42">
        <v>46.497914364411926</v>
      </c>
      <c r="O454" s="43">
        <v>18836.528823978395</v>
      </c>
    </row>
    <row r="455" spans="12:15" x14ac:dyDescent="0.2">
      <c r="L455" s="4">
        <v>449</v>
      </c>
      <c r="M455" s="21">
        <v>-31445.377910758951</v>
      </c>
      <c r="N455" s="42">
        <v>49.900270738898485</v>
      </c>
      <c r="O455" s="43">
        <v>14027.907464687569</v>
      </c>
    </row>
    <row r="456" spans="12:15" x14ac:dyDescent="0.2">
      <c r="L456" s="4">
        <v>450</v>
      </c>
      <c r="M456" s="21">
        <v>73403.370675447513</v>
      </c>
      <c r="N456" s="42">
        <v>49.42704613458298</v>
      </c>
      <c r="O456" s="43">
        <v>14993.181246953496</v>
      </c>
    </row>
    <row r="457" spans="12:15" x14ac:dyDescent="0.2">
      <c r="L457" s="4">
        <v>451</v>
      </c>
      <c r="M457" s="21">
        <v>-9596.0494516685867</v>
      </c>
      <c r="N457" s="42">
        <v>49.500844532369165</v>
      </c>
      <c r="O457" s="43">
        <v>14402.048555716299</v>
      </c>
    </row>
    <row r="458" spans="12:15" x14ac:dyDescent="0.2">
      <c r="L458" s="4">
        <v>452</v>
      </c>
      <c r="M458" s="21">
        <v>101152.20830866825</v>
      </c>
      <c r="N458" s="42">
        <v>50.365417755886853</v>
      </c>
      <c r="O458" s="43">
        <v>16400.485884042355</v>
      </c>
    </row>
    <row r="459" spans="12:15" x14ac:dyDescent="0.2">
      <c r="L459" s="4">
        <v>453</v>
      </c>
      <c r="M459" s="21">
        <v>-93296.965721284403</v>
      </c>
      <c r="N459" s="42">
        <v>48.042061878346921</v>
      </c>
      <c r="O459" s="43">
        <v>13641.309173828273</v>
      </c>
    </row>
    <row r="460" spans="12:15" x14ac:dyDescent="0.2">
      <c r="L460" s="4">
        <v>454</v>
      </c>
      <c r="M460" s="21">
        <v>-70187.286602886277</v>
      </c>
      <c r="N460" s="42">
        <v>46.551329283667464</v>
      </c>
      <c r="O460" s="43">
        <v>17417.154392697117</v>
      </c>
    </row>
    <row r="461" spans="12:15" x14ac:dyDescent="0.2">
      <c r="L461" s="4">
        <v>455</v>
      </c>
      <c r="M461" s="21">
        <v>-207261.07169650058</v>
      </c>
      <c r="N461" s="42">
        <v>50.997964411435291</v>
      </c>
      <c r="O461" s="43">
        <v>12220.213680999048</v>
      </c>
    </row>
    <row r="462" spans="12:15" x14ac:dyDescent="0.2">
      <c r="L462" s="4">
        <v>456</v>
      </c>
      <c r="M462" s="21">
        <v>-124430.14621689929</v>
      </c>
      <c r="N462" s="42">
        <v>48.710536251633492</v>
      </c>
      <c r="O462" s="43">
        <v>12898.173841729347</v>
      </c>
    </row>
    <row r="463" spans="12:15" x14ac:dyDescent="0.2">
      <c r="L463" s="4">
        <v>457</v>
      </c>
      <c r="M463" s="21">
        <v>-33639.529331975617</v>
      </c>
      <c r="N463" s="42">
        <v>49.009288687239966</v>
      </c>
      <c r="O463" s="43">
        <v>15261.742641243878</v>
      </c>
    </row>
    <row r="464" spans="12:15" x14ac:dyDescent="0.2">
      <c r="L464" s="4">
        <v>458</v>
      </c>
      <c r="M464" s="21">
        <v>-3335.8251572168374</v>
      </c>
      <c r="N464" s="42">
        <v>50.311538283070313</v>
      </c>
      <c r="O464" s="43">
        <v>15032.060164419441</v>
      </c>
    </row>
    <row r="465" spans="12:15" x14ac:dyDescent="0.2">
      <c r="L465" s="4">
        <v>459</v>
      </c>
      <c r="M465" s="21">
        <v>-110752.47938677312</v>
      </c>
      <c r="N465" s="42">
        <v>47.565138831851044</v>
      </c>
      <c r="O465" s="43">
        <v>15145.943471961464</v>
      </c>
    </row>
    <row r="466" spans="12:15" x14ac:dyDescent="0.2">
      <c r="L466" s="4">
        <v>460</v>
      </c>
      <c r="M466" s="21">
        <v>95337.115910869819</v>
      </c>
      <c r="N466" s="42">
        <v>47.774393553102371</v>
      </c>
      <c r="O466" s="43">
        <v>18717.705850945302</v>
      </c>
    </row>
    <row r="467" spans="12:15" x14ac:dyDescent="0.2">
      <c r="L467" s="4">
        <v>461</v>
      </c>
      <c r="M467" s="21">
        <v>-187464.14493607718</v>
      </c>
      <c r="N467" s="42">
        <v>51.25150393754268</v>
      </c>
      <c r="O467" s="43">
        <v>12493.344200003425</v>
      </c>
    </row>
    <row r="468" spans="12:15" x14ac:dyDescent="0.2">
      <c r="L468" s="4">
        <v>462</v>
      </c>
      <c r="M468" s="21">
        <v>104475.68640536891</v>
      </c>
      <c r="N468" s="42">
        <v>46.954995316243625</v>
      </c>
      <c r="O468" s="43">
        <v>17128.013764492989</v>
      </c>
    </row>
    <row r="469" spans="12:15" x14ac:dyDescent="0.2">
      <c r="L469" s="4">
        <v>463</v>
      </c>
      <c r="M469" s="21">
        <v>-189546.20470722846</v>
      </c>
      <c r="N469" s="42">
        <v>47.636707942650681</v>
      </c>
      <c r="O469" s="43">
        <v>13151.068249100506</v>
      </c>
    </row>
    <row r="470" spans="12:15" x14ac:dyDescent="0.2">
      <c r="L470" s="4">
        <v>464</v>
      </c>
      <c r="M470" s="21">
        <v>-13588.170281756014</v>
      </c>
      <c r="N470" s="42">
        <v>51.706707088038968</v>
      </c>
      <c r="O470" s="43">
        <v>12150.001268120581</v>
      </c>
    </row>
    <row r="471" spans="12:15" x14ac:dyDescent="0.2">
      <c r="L471" s="4">
        <v>465</v>
      </c>
      <c r="M471" s="21">
        <v>44240.344283271581</v>
      </c>
      <c r="N471" s="42">
        <v>50.781381690076309</v>
      </c>
      <c r="O471" s="43">
        <v>13817.523907169121</v>
      </c>
    </row>
    <row r="472" spans="12:15" x14ac:dyDescent="0.2">
      <c r="L472" s="4">
        <v>466</v>
      </c>
      <c r="M472" s="21">
        <v>34428.050837522809</v>
      </c>
      <c r="N472" s="42">
        <v>49.905314777395674</v>
      </c>
      <c r="O472" s="43">
        <v>14255.639020740047</v>
      </c>
    </row>
    <row r="473" spans="12:15" x14ac:dyDescent="0.2">
      <c r="L473" s="4">
        <v>467</v>
      </c>
      <c r="M473" s="21">
        <v>-4265.2420295998018</v>
      </c>
      <c r="N473" s="42">
        <v>49.566954493835397</v>
      </c>
      <c r="O473" s="43">
        <v>15779.995333243332</v>
      </c>
    </row>
    <row r="474" spans="12:15" x14ac:dyDescent="0.2">
      <c r="L474" s="4">
        <v>468</v>
      </c>
      <c r="M474" s="21">
        <v>-70454.131751901543</v>
      </c>
      <c r="N474" s="42">
        <v>47.355705084757588</v>
      </c>
      <c r="O474" s="43">
        <v>14685.007730718407</v>
      </c>
    </row>
    <row r="475" spans="12:15" x14ac:dyDescent="0.2">
      <c r="L475" s="4">
        <v>469</v>
      </c>
      <c r="M475" s="21">
        <v>112161.29207896249</v>
      </c>
      <c r="N475" s="42">
        <v>50.584320721446709</v>
      </c>
      <c r="O475" s="43">
        <v>15357.467475499685</v>
      </c>
    </row>
    <row r="476" spans="12:15" x14ac:dyDescent="0.2">
      <c r="L476" s="4">
        <v>470</v>
      </c>
      <c r="M476" s="21">
        <v>18913.912455750746</v>
      </c>
      <c r="N476" s="42">
        <v>50.772502078145109</v>
      </c>
      <c r="O476" s="43">
        <v>15447.128981756525</v>
      </c>
    </row>
    <row r="477" spans="12:15" x14ac:dyDescent="0.2">
      <c r="L477" s="4">
        <v>471</v>
      </c>
      <c r="M477" s="21">
        <v>-41642.012894252155</v>
      </c>
      <c r="N477" s="42">
        <v>51.31988511704084</v>
      </c>
      <c r="O477" s="43">
        <v>13768.10395880002</v>
      </c>
    </row>
    <row r="478" spans="12:15" x14ac:dyDescent="0.2">
      <c r="L478" s="4">
        <v>472</v>
      </c>
      <c r="M478" s="21">
        <v>46789.113337935851</v>
      </c>
      <c r="N478" s="42">
        <v>47.4493804205256</v>
      </c>
      <c r="O478" s="43">
        <v>16517.180711117977</v>
      </c>
    </row>
    <row r="479" spans="12:15" x14ac:dyDescent="0.2">
      <c r="L479" s="4">
        <v>473</v>
      </c>
      <c r="M479" s="21">
        <v>-77105.2714306985</v>
      </c>
      <c r="N479" s="42">
        <v>49.024459073952933</v>
      </c>
      <c r="O479" s="43">
        <v>15444.034926865408</v>
      </c>
    </row>
    <row r="480" spans="12:15" x14ac:dyDescent="0.2">
      <c r="L480" s="4">
        <v>474</v>
      </c>
      <c r="M480" s="21">
        <v>46576.841017262108</v>
      </c>
      <c r="N480" s="42">
        <v>49.503760937643797</v>
      </c>
      <c r="O480" s="43">
        <v>15498.261037419468</v>
      </c>
    </row>
    <row r="481" spans="12:15" x14ac:dyDescent="0.2">
      <c r="L481" s="4">
        <v>475</v>
      </c>
      <c r="M481" s="21">
        <v>-44467.264343086805</v>
      </c>
      <c r="N481" s="42">
        <v>49.755413524275994</v>
      </c>
      <c r="O481" s="43">
        <v>15890.193473702551</v>
      </c>
    </row>
    <row r="482" spans="12:15" x14ac:dyDescent="0.2">
      <c r="L482" s="4">
        <v>476</v>
      </c>
      <c r="M482" s="21">
        <v>-160618.74725855194</v>
      </c>
      <c r="N482" s="42">
        <v>47.887957145089388</v>
      </c>
      <c r="O482" s="43">
        <v>15333.45372747806</v>
      </c>
    </row>
    <row r="483" spans="12:15" x14ac:dyDescent="0.2">
      <c r="L483" s="4">
        <v>477</v>
      </c>
      <c r="M483" s="21">
        <v>-49192.073586045706</v>
      </c>
      <c r="N483" s="42">
        <v>46.408084592567434</v>
      </c>
      <c r="O483" s="43">
        <v>17675.889213415685</v>
      </c>
    </row>
    <row r="484" spans="12:15" x14ac:dyDescent="0.2">
      <c r="L484" s="4">
        <v>478</v>
      </c>
      <c r="M484" s="21">
        <v>84475.353423233319</v>
      </c>
      <c r="N484" s="42">
        <v>49.327261471226549</v>
      </c>
      <c r="O484" s="43">
        <v>15776.423040407164</v>
      </c>
    </row>
    <row r="485" spans="12:15" x14ac:dyDescent="0.2">
      <c r="L485" s="4">
        <v>479</v>
      </c>
      <c r="M485" s="21">
        <v>-119485.32828588647</v>
      </c>
      <c r="N485" s="42">
        <v>47.926021279470433</v>
      </c>
      <c r="O485" s="43">
        <v>15589.712917623365</v>
      </c>
    </row>
    <row r="486" spans="12:15" x14ac:dyDescent="0.2">
      <c r="L486" s="4">
        <v>480</v>
      </c>
      <c r="M486" s="21">
        <v>-214738.04674981814</v>
      </c>
      <c r="N486" s="42">
        <v>50.008114253842685</v>
      </c>
      <c r="O486" s="43">
        <v>13547.927986858969</v>
      </c>
    </row>
    <row r="487" spans="12:15" x14ac:dyDescent="0.2">
      <c r="L487" s="4">
        <v>481</v>
      </c>
      <c r="M487" s="21">
        <v>14718.587395928975</v>
      </c>
      <c r="N487" s="42">
        <v>47.220724962935762</v>
      </c>
      <c r="O487" s="43">
        <v>15008.185748789962</v>
      </c>
    </row>
    <row r="488" spans="12:15" x14ac:dyDescent="0.2">
      <c r="L488" s="4">
        <v>482</v>
      </c>
      <c r="M488" s="21">
        <v>-30769.215703641079</v>
      </c>
      <c r="N488" s="42">
        <v>50.442501845449847</v>
      </c>
      <c r="O488" s="43">
        <v>13507.977100436317</v>
      </c>
    </row>
    <row r="489" spans="12:15" x14ac:dyDescent="0.2">
      <c r="L489" s="4">
        <v>483</v>
      </c>
      <c r="M489" s="21">
        <v>157708.10458922104</v>
      </c>
      <c r="N489" s="42">
        <v>50.401227217056146</v>
      </c>
      <c r="O489" s="43">
        <v>15902.559417161516</v>
      </c>
    </row>
    <row r="490" spans="12:15" x14ac:dyDescent="0.2">
      <c r="L490" s="4">
        <v>484</v>
      </c>
      <c r="M490" s="21">
        <v>75193.837133874011</v>
      </c>
      <c r="N490" s="42">
        <v>47.896404241371165</v>
      </c>
      <c r="O490" s="43">
        <v>17410.693055668115</v>
      </c>
    </row>
    <row r="491" spans="12:15" x14ac:dyDescent="0.2">
      <c r="L491" s="4">
        <v>485</v>
      </c>
      <c r="M491" s="21">
        <v>-189641.28456833778</v>
      </c>
      <c r="N491" s="42">
        <v>50.978563393898028</v>
      </c>
      <c r="O491" s="43">
        <v>12925.270076223818</v>
      </c>
    </row>
    <row r="492" spans="12:15" x14ac:dyDescent="0.2">
      <c r="L492" s="4">
        <v>486</v>
      </c>
      <c r="M492" s="21">
        <v>-56192.060036801195</v>
      </c>
      <c r="N492" s="42">
        <v>48.411179293980666</v>
      </c>
      <c r="O492" s="43">
        <v>14528.377931923313</v>
      </c>
    </row>
    <row r="493" spans="12:15" x14ac:dyDescent="0.2">
      <c r="L493" s="4">
        <v>487</v>
      </c>
      <c r="M493" s="21">
        <v>-210799.95940111973</v>
      </c>
      <c r="N493" s="42">
        <v>48.176100217884965</v>
      </c>
      <c r="O493" s="43">
        <v>15824.01213202683</v>
      </c>
    </row>
    <row r="494" spans="12:15" x14ac:dyDescent="0.2">
      <c r="L494" s="4">
        <v>488</v>
      </c>
      <c r="M494" s="21">
        <v>27549.200556773634</v>
      </c>
      <c r="N494" s="42">
        <v>50.963785219698977</v>
      </c>
      <c r="O494" s="43">
        <v>14961.406997953467</v>
      </c>
    </row>
    <row r="495" spans="12:15" x14ac:dyDescent="0.2">
      <c r="L495" s="4">
        <v>489</v>
      </c>
      <c r="M495" s="21">
        <v>-279141.14943993848</v>
      </c>
      <c r="N495" s="42">
        <v>49.48034733651685</v>
      </c>
      <c r="O495" s="43">
        <v>11620.066092097393</v>
      </c>
    </row>
    <row r="496" spans="12:15" x14ac:dyDescent="0.2">
      <c r="L496" s="4">
        <v>490</v>
      </c>
      <c r="M496" s="21">
        <v>72303.841200700408</v>
      </c>
      <c r="N496" s="42">
        <v>49.636298277497453</v>
      </c>
      <c r="O496" s="43">
        <v>14806.202655615873</v>
      </c>
    </row>
    <row r="497" spans="12:15" x14ac:dyDescent="0.2">
      <c r="L497" s="4">
        <v>491</v>
      </c>
      <c r="M497" s="21">
        <v>-98815.373464384247</v>
      </c>
      <c r="N497" s="42">
        <v>47.617503376355387</v>
      </c>
      <c r="O497" s="43">
        <v>15720.057245514423</v>
      </c>
    </row>
    <row r="498" spans="12:15" x14ac:dyDescent="0.2">
      <c r="L498" s="4">
        <v>492</v>
      </c>
      <c r="M498" s="21">
        <v>17550.928795974731</v>
      </c>
      <c r="N498" s="42">
        <v>48.164769264969415</v>
      </c>
      <c r="O498" s="43">
        <v>16864.354908344634</v>
      </c>
    </row>
    <row r="499" spans="12:15" x14ac:dyDescent="0.2">
      <c r="L499" s="4">
        <v>493</v>
      </c>
      <c r="M499" s="21">
        <v>-38608.671344261122</v>
      </c>
      <c r="N499" s="42">
        <v>46.873871032845855</v>
      </c>
      <c r="O499" s="43">
        <v>15427.353567946757</v>
      </c>
    </row>
    <row r="500" spans="12:15" x14ac:dyDescent="0.2">
      <c r="L500" s="4">
        <v>494</v>
      </c>
      <c r="M500" s="21">
        <v>-134513.15942905928</v>
      </c>
      <c r="N500" s="42">
        <v>47.382043584400478</v>
      </c>
      <c r="O500" s="43">
        <v>17264.5936565173</v>
      </c>
    </row>
    <row r="501" spans="12:15" x14ac:dyDescent="0.2">
      <c r="L501" s="4">
        <v>495</v>
      </c>
      <c r="M501" s="21">
        <v>-142156.82408560516</v>
      </c>
      <c r="N501" s="42">
        <v>50.152799981099633</v>
      </c>
      <c r="O501" s="43">
        <v>14632.437935591523</v>
      </c>
    </row>
    <row r="502" spans="12:15" x14ac:dyDescent="0.2">
      <c r="L502" s="4">
        <v>496</v>
      </c>
      <c r="M502" s="21">
        <v>-40978.996238126681</v>
      </c>
      <c r="N502" s="42">
        <v>50.399643692355326</v>
      </c>
      <c r="O502" s="43">
        <v>13877.684690367523</v>
      </c>
    </row>
    <row r="503" spans="12:15" x14ac:dyDescent="0.2">
      <c r="L503" s="4">
        <v>497</v>
      </c>
      <c r="M503" s="21">
        <v>121918.69821851718</v>
      </c>
      <c r="N503" s="42">
        <v>48.179988522500182</v>
      </c>
      <c r="O503" s="43">
        <v>17087.324778866052</v>
      </c>
    </row>
    <row r="504" spans="12:15" x14ac:dyDescent="0.2">
      <c r="L504" s="4">
        <v>498</v>
      </c>
      <c r="M504" s="21">
        <v>-31016.115723215087</v>
      </c>
      <c r="N504" s="42">
        <v>51.325392191366511</v>
      </c>
      <c r="O504" s="43">
        <v>14062.073394802088</v>
      </c>
    </row>
    <row r="505" spans="12:15" x14ac:dyDescent="0.2">
      <c r="L505" s="4">
        <v>499</v>
      </c>
      <c r="M505" s="21">
        <v>-111553.32395646581</v>
      </c>
      <c r="N505" s="42">
        <v>45.864836815211511</v>
      </c>
      <c r="O505" s="43">
        <v>17160.538520956139</v>
      </c>
    </row>
    <row r="506" spans="12:15" x14ac:dyDescent="0.2">
      <c r="L506" s="4">
        <v>500</v>
      </c>
      <c r="M506" s="21">
        <v>-36922.167949895651</v>
      </c>
      <c r="N506" s="42">
        <v>48.079610197938621</v>
      </c>
      <c r="O506" s="43">
        <v>16410.953239971717</v>
      </c>
    </row>
    <row r="507" spans="12:15" x14ac:dyDescent="0.2">
      <c r="L507" s="4">
        <v>501</v>
      </c>
      <c r="M507" s="21">
        <v>-66232.950825543056</v>
      </c>
      <c r="N507" s="42">
        <v>48.634184689862487</v>
      </c>
      <c r="O507" s="43">
        <v>14655.46086360558</v>
      </c>
    </row>
    <row r="508" spans="12:15" x14ac:dyDescent="0.2">
      <c r="L508" s="4">
        <v>502</v>
      </c>
      <c r="M508" s="21">
        <v>82740.986600762204</v>
      </c>
      <c r="N508" s="42">
        <v>51.577140890930522</v>
      </c>
      <c r="O508" s="43">
        <v>14254.113257624109</v>
      </c>
    </row>
    <row r="509" spans="12:15" x14ac:dyDescent="0.2">
      <c r="L509" s="4">
        <v>503</v>
      </c>
      <c r="M509" s="21">
        <v>-77496.155353394715</v>
      </c>
      <c r="N509" s="42">
        <v>48.94586408111396</v>
      </c>
      <c r="O509" s="43">
        <v>14956.001865132566</v>
      </c>
    </row>
    <row r="510" spans="12:15" x14ac:dyDescent="0.2">
      <c r="L510" s="4">
        <v>504</v>
      </c>
      <c r="M510" s="21">
        <v>175399.02263974436</v>
      </c>
      <c r="N510" s="42">
        <v>48.950676372202885</v>
      </c>
      <c r="O510" s="43">
        <v>16451.889145045461</v>
      </c>
    </row>
    <row r="511" spans="12:15" x14ac:dyDescent="0.2">
      <c r="L511" s="4">
        <v>505</v>
      </c>
      <c r="M511" s="21">
        <v>-32098.651950988686</v>
      </c>
      <c r="N511" s="42">
        <v>50.507313768426414</v>
      </c>
      <c r="O511" s="43">
        <v>13982.912543184648</v>
      </c>
    </row>
    <row r="512" spans="12:15" x14ac:dyDescent="0.2">
      <c r="L512" s="4">
        <v>506</v>
      </c>
      <c r="M512" s="21">
        <v>-130328.7493058267</v>
      </c>
      <c r="N512" s="42">
        <v>50.352343888275534</v>
      </c>
      <c r="O512" s="43">
        <v>13567.242581579458</v>
      </c>
    </row>
    <row r="513" spans="12:15" x14ac:dyDescent="0.2">
      <c r="L513" s="4">
        <v>507</v>
      </c>
      <c r="M513" s="21">
        <v>101765.79417710457</v>
      </c>
      <c r="N513" s="42">
        <v>49.227122810809064</v>
      </c>
      <c r="O513" s="43">
        <v>15884.674395569378</v>
      </c>
    </row>
    <row r="514" spans="12:15" x14ac:dyDescent="0.2">
      <c r="L514" s="4">
        <v>508</v>
      </c>
      <c r="M514" s="21">
        <v>143049.16068015064</v>
      </c>
      <c r="N514" s="42">
        <v>50.50901655204671</v>
      </c>
      <c r="O514" s="43">
        <v>16131.156416768581</v>
      </c>
    </row>
    <row r="515" spans="12:15" x14ac:dyDescent="0.2">
      <c r="L515" s="4">
        <v>509</v>
      </c>
      <c r="M515" s="21">
        <v>105228.54137298767</v>
      </c>
      <c r="N515" s="42">
        <v>46.431845601199612</v>
      </c>
      <c r="O515" s="43">
        <v>16314.137889421891</v>
      </c>
    </row>
    <row r="516" spans="12:15" x14ac:dyDescent="0.2">
      <c r="L516" s="4">
        <v>510</v>
      </c>
      <c r="M516" s="21">
        <v>-80348.829251407311</v>
      </c>
      <c r="N516" s="42">
        <v>49.858716877933304</v>
      </c>
      <c r="O516" s="43">
        <v>14813.798333149343</v>
      </c>
    </row>
    <row r="517" spans="12:15" x14ac:dyDescent="0.2">
      <c r="L517" s="4">
        <v>511</v>
      </c>
      <c r="M517" s="21">
        <v>-110191.95614519309</v>
      </c>
      <c r="N517" s="42">
        <v>48.134622030009581</v>
      </c>
      <c r="O517" s="43">
        <v>14464.333620530155</v>
      </c>
    </row>
    <row r="518" spans="12:15" x14ac:dyDescent="0.2">
      <c r="L518" s="4">
        <v>512</v>
      </c>
      <c r="M518" s="21">
        <v>-7369.9217937987851</v>
      </c>
      <c r="N518" s="42">
        <v>50.573580966562439</v>
      </c>
      <c r="O518" s="43">
        <v>14610.378861911249</v>
      </c>
    </row>
    <row r="519" spans="12:15" x14ac:dyDescent="0.2">
      <c r="L519" s="4">
        <v>513</v>
      </c>
      <c r="M519" s="21">
        <v>-143803.54142065498</v>
      </c>
      <c r="N519" s="42">
        <v>45.876308563089928</v>
      </c>
      <c r="O519" s="43">
        <v>16134.175694293946</v>
      </c>
    </row>
    <row r="520" spans="12:15" x14ac:dyDescent="0.2">
      <c r="L520" s="4">
        <v>514</v>
      </c>
      <c r="M520" s="21">
        <v>-28209.068446037287</v>
      </c>
      <c r="N520" s="42">
        <v>51.196997127908617</v>
      </c>
      <c r="O520" s="43">
        <v>13572.001911961361</v>
      </c>
    </row>
    <row r="521" spans="12:15" x14ac:dyDescent="0.2">
      <c r="L521" s="4">
        <v>515</v>
      </c>
      <c r="M521" s="21">
        <v>-31992.704499147847</v>
      </c>
      <c r="N521" s="42">
        <v>50.163990402379781</v>
      </c>
      <c r="O521" s="43">
        <v>14598.439934130072</v>
      </c>
    </row>
    <row r="522" spans="12:15" x14ac:dyDescent="0.2">
      <c r="L522" s="4">
        <v>516</v>
      </c>
      <c r="M522" s="21">
        <v>72898.668078188697</v>
      </c>
      <c r="N522" s="42">
        <v>50.205977695340039</v>
      </c>
      <c r="O522" s="43">
        <v>15459.659384173681</v>
      </c>
    </row>
    <row r="523" spans="12:15" x14ac:dyDescent="0.2">
      <c r="L523" s="4">
        <v>517</v>
      </c>
      <c r="M523" s="21">
        <v>34740.761366445979</v>
      </c>
      <c r="N523" s="42">
        <v>50.999774731510236</v>
      </c>
      <c r="O523" s="43">
        <v>13740.459164706463</v>
      </c>
    </row>
    <row r="524" spans="12:15" x14ac:dyDescent="0.2">
      <c r="L524" s="4">
        <v>518</v>
      </c>
      <c r="M524" s="21">
        <v>-116893.33230022775</v>
      </c>
      <c r="N524" s="42">
        <v>50.446403833218405</v>
      </c>
      <c r="O524" s="43">
        <v>13559.181517796223</v>
      </c>
    </row>
    <row r="525" spans="12:15" x14ac:dyDescent="0.2">
      <c r="L525" s="4">
        <v>519</v>
      </c>
      <c r="M525" s="21">
        <v>-131956.45612775857</v>
      </c>
      <c r="N525" s="42">
        <v>51.064927359276602</v>
      </c>
      <c r="O525" s="43">
        <v>12905.367373710531</v>
      </c>
    </row>
    <row r="526" spans="12:15" x14ac:dyDescent="0.2">
      <c r="L526" s="4">
        <v>520</v>
      </c>
      <c r="M526" s="21">
        <v>-140700.63092395489</v>
      </c>
      <c r="N526" s="42">
        <v>46.596325464053251</v>
      </c>
      <c r="O526" s="43">
        <v>15702.579719266409</v>
      </c>
    </row>
    <row r="527" spans="12:15" x14ac:dyDescent="0.2">
      <c r="L527" s="4">
        <v>521</v>
      </c>
      <c r="M527" s="21">
        <v>4776.1670874247502</v>
      </c>
      <c r="N527" s="42">
        <v>50.438143019170802</v>
      </c>
      <c r="O527" s="43">
        <v>13721.180058711587</v>
      </c>
    </row>
    <row r="528" spans="12:15" x14ac:dyDescent="0.2">
      <c r="L528" s="4">
        <v>522</v>
      </c>
      <c r="M528" s="21">
        <v>-42961.707252126973</v>
      </c>
      <c r="N528" s="42">
        <v>49.311074572149479</v>
      </c>
      <c r="O528" s="43">
        <v>15159.891997564258</v>
      </c>
    </row>
    <row r="529" spans="12:15" x14ac:dyDescent="0.2">
      <c r="L529" s="4">
        <v>523</v>
      </c>
      <c r="M529" s="21">
        <v>-58352.473127324454</v>
      </c>
      <c r="N529" s="42">
        <v>51.390336608040329</v>
      </c>
      <c r="O529" s="43">
        <v>13295.169745495567</v>
      </c>
    </row>
    <row r="530" spans="12:15" x14ac:dyDescent="0.2">
      <c r="L530" s="4">
        <v>524</v>
      </c>
      <c r="M530" s="21">
        <v>-50029.209872667241</v>
      </c>
      <c r="N530" s="42">
        <v>51.390991755975449</v>
      </c>
      <c r="O530" s="43">
        <v>12439.35363473824</v>
      </c>
    </row>
    <row r="531" spans="12:15" x14ac:dyDescent="0.2">
      <c r="L531" s="4">
        <v>525</v>
      </c>
      <c r="M531" s="21">
        <v>-174135.21634728735</v>
      </c>
      <c r="N531" s="42">
        <v>48.135067924338173</v>
      </c>
      <c r="O531" s="43">
        <v>13681.201578592976</v>
      </c>
    </row>
    <row r="532" spans="12:15" x14ac:dyDescent="0.2">
      <c r="L532" s="4">
        <v>526</v>
      </c>
      <c r="M532" s="21">
        <v>32109.763827343559</v>
      </c>
      <c r="N532" s="42">
        <v>50.886391483186706</v>
      </c>
      <c r="O532" s="43">
        <v>14946.466624625931</v>
      </c>
    </row>
    <row r="533" spans="12:15" x14ac:dyDescent="0.2">
      <c r="L533" s="4">
        <v>527</v>
      </c>
      <c r="M533" s="21">
        <v>-156333.43245535484</v>
      </c>
      <c r="N533" s="42">
        <v>48.772123980670344</v>
      </c>
      <c r="O533" s="43">
        <v>14440.76963951982</v>
      </c>
    </row>
    <row r="534" spans="12:15" x14ac:dyDescent="0.2">
      <c r="L534" s="4">
        <v>528</v>
      </c>
      <c r="M534" s="21">
        <v>-91659.282236592844</v>
      </c>
      <c r="N534" s="42">
        <v>50.598923886378891</v>
      </c>
      <c r="O534" s="43">
        <v>14510.820760504248</v>
      </c>
    </row>
    <row r="535" spans="12:15" x14ac:dyDescent="0.2">
      <c r="L535" s="4">
        <v>529</v>
      </c>
      <c r="M535" s="21">
        <v>-41349.647588745502</v>
      </c>
      <c r="N535" s="42">
        <v>49.616591823115712</v>
      </c>
      <c r="O535" s="43">
        <v>14571.363284100171</v>
      </c>
    </row>
    <row r="536" spans="12:15" x14ac:dyDescent="0.2">
      <c r="L536" s="4">
        <v>530</v>
      </c>
      <c r="M536" s="21">
        <v>36839.15733233653</v>
      </c>
      <c r="N536" s="42">
        <v>48.984059464572063</v>
      </c>
      <c r="O536" s="43">
        <v>15293.567804085822</v>
      </c>
    </row>
    <row r="537" spans="12:15" x14ac:dyDescent="0.2">
      <c r="L537" s="4">
        <v>531</v>
      </c>
      <c r="M537" s="21">
        <v>-132647.33114461027</v>
      </c>
      <c r="N537" s="42">
        <v>49.008153969787841</v>
      </c>
      <c r="O537" s="43">
        <v>13786.31348657003</v>
      </c>
    </row>
    <row r="538" spans="12:15" x14ac:dyDescent="0.2">
      <c r="L538" s="4">
        <v>532</v>
      </c>
      <c r="M538" s="21">
        <v>221645.5139697947</v>
      </c>
      <c r="N538" s="42">
        <v>49.176605612370501</v>
      </c>
      <c r="O538" s="43">
        <v>17400.091741823966</v>
      </c>
    </row>
    <row r="539" spans="12:15" x14ac:dyDescent="0.2">
      <c r="L539" s="4">
        <v>533</v>
      </c>
      <c r="M539" s="21">
        <v>187039.18007289385</v>
      </c>
      <c r="N539" s="42">
        <v>50.451584963562077</v>
      </c>
      <c r="O539" s="43">
        <v>14835.303109821811</v>
      </c>
    </row>
    <row r="540" spans="12:15" x14ac:dyDescent="0.2">
      <c r="L540" s="4">
        <v>534</v>
      </c>
      <c r="M540" s="21">
        <v>-13144.114376583195</v>
      </c>
      <c r="N540" s="42">
        <v>46.781556089862107</v>
      </c>
      <c r="O540" s="43">
        <v>18319.44151286576</v>
      </c>
    </row>
    <row r="541" spans="12:15" x14ac:dyDescent="0.2">
      <c r="L541" s="4">
        <v>535</v>
      </c>
      <c r="M541" s="21">
        <v>-190931.75236789742</v>
      </c>
      <c r="N541" s="42">
        <v>46.952195478558792</v>
      </c>
      <c r="O541" s="43">
        <v>15111.787329274381</v>
      </c>
    </row>
    <row r="542" spans="12:15" x14ac:dyDescent="0.2">
      <c r="L542" s="4">
        <v>536</v>
      </c>
      <c r="M542" s="21">
        <v>174398.71724776214</v>
      </c>
      <c r="N542" s="42">
        <v>50.271812336754557</v>
      </c>
      <c r="O542" s="43">
        <v>15277.788744921061</v>
      </c>
    </row>
    <row r="543" spans="12:15" x14ac:dyDescent="0.2">
      <c r="L543" s="4">
        <v>537</v>
      </c>
      <c r="M543" s="21">
        <v>-61654.582112330798</v>
      </c>
      <c r="N543" s="42">
        <v>48.886557704868729</v>
      </c>
      <c r="O543" s="43">
        <v>16328.744895717113</v>
      </c>
    </row>
    <row r="544" spans="12:15" x14ac:dyDescent="0.2">
      <c r="L544" s="4">
        <v>538</v>
      </c>
      <c r="M544" s="21">
        <v>-91756.306795916767</v>
      </c>
      <c r="N544" s="42">
        <v>50.525679076520404</v>
      </c>
      <c r="O544" s="43">
        <v>14612.911329110562</v>
      </c>
    </row>
    <row r="545" spans="12:15" x14ac:dyDescent="0.2">
      <c r="L545" s="4">
        <v>539</v>
      </c>
      <c r="M545" s="21">
        <v>-94878.524032940652</v>
      </c>
      <c r="N545" s="42">
        <v>49.045498905215766</v>
      </c>
      <c r="O545" s="43">
        <v>15453.327114114873</v>
      </c>
    </row>
    <row r="546" spans="12:15" x14ac:dyDescent="0.2">
      <c r="L546" s="4">
        <v>540</v>
      </c>
      <c r="M546" s="21">
        <v>-219902.91565465761</v>
      </c>
      <c r="N546" s="42">
        <v>51.507739780935381</v>
      </c>
      <c r="O546" s="43">
        <v>10951.149586642574</v>
      </c>
    </row>
    <row r="547" spans="12:15" x14ac:dyDescent="0.2">
      <c r="L547" s="4">
        <v>541</v>
      </c>
      <c r="M547" s="21">
        <v>-96790.782750967279</v>
      </c>
      <c r="N547" s="42">
        <v>48.792845647369759</v>
      </c>
      <c r="O547" s="43">
        <v>14824.336059902706</v>
      </c>
    </row>
    <row r="548" spans="12:15" x14ac:dyDescent="0.2">
      <c r="L548" s="4">
        <v>542</v>
      </c>
      <c r="M548" s="21">
        <v>-17476.23116208252</v>
      </c>
      <c r="N548" s="42">
        <v>50.407571207791158</v>
      </c>
      <c r="O548" s="43">
        <v>14058.554831485255</v>
      </c>
    </row>
    <row r="549" spans="12:15" x14ac:dyDescent="0.2">
      <c r="L549" s="4">
        <v>543</v>
      </c>
      <c r="M549" s="21">
        <v>-213560.21812785676</v>
      </c>
      <c r="N549" s="42">
        <v>46.201409872707558</v>
      </c>
      <c r="O549" s="43">
        <v>15399.920426445857</v>
      </c>
    </row>
    <row r="550" spans="12:15" x14ac:dyDescent="0.2">
      <c r="L550" s="4">
        <v>544</v>
      </c>
      <c r="M550" s="21">
        <v>-54807.724059602551</v>
      </c>
      <c r="N550" s="42">
        <v>50.476370316708859</v>
      </c>
      <c r="O550" s="43">
        <v>13318.480975604161</v>
      </c>
    </row>
    <row r="551" spans="12:15" x14ac:dyDescent="0.2">
      <c r="L551" s="4">
        <v>545</v>
      </c>
      <c r="M551" s="21">
        <v>21937.509465868061</v>
      </c>
      <c r="N551" s="42">
        <v>50.61882919395331</v>
      </c>
      <c r="O551" s="43">
        <v>15524.789110095469</v>
      </c>
    </row>
    <row r="552" spans="12:15" x14ac:dyDescent="0.2">
      <c r="L552" s="4">
        <v>546</v>
      </c>
      <c r="M552" s="21">
        <v>-80690.587323176762</v>
      </c>
      <c r="N552" s="42">
        <v>50.290570149886427</v>
      </c>
      <c r="O552" s="43">
        <v>12898.291483854277</v>
      </c>
    </row>
    <row r="553" spans="12:15" x14ac:dyDescent="0.2">
      <c r="L553" s="4">
        <v>547</v>
      </c>
      <c r="M553" s="21">
        <v>39210.619176820124</v>
      </c>
      <c r="N553" s="42">
        <v>50.04335873367927</v>
      </c>
      <c r="O553" s="43">
        <v>15841.904648483016</v>
      </c>
    </row>
    <row r="554" spans="12:15" x14ac:dyDescent="0.2">
      <c r="L554" s="4">
        <v>548</v>
      </c>
      <c r="M554" s="21">
        <v>-33877.844052419328</v>
      </c>
      <c r="N554" s="42">
        <v>51.91818430685975</v>
      </c>
      <c r="O554" s="43">
        <v>12687.84617953942</v>
      </c>
    </row>
    <row r="555" spans="12:15" x14ac:dyDescent="0.2">
      <c r="L555" s="4">
        <v>549</v>
      </c>
      <c r="M555" s="21">
        <v>228632.46070760966</v>
      </c>
      <c r="N555" s="42">
        <v>48.179233086732062</v>
      </c>
      <c r="O555" s="43">
        <v>16856.646912015331</v>
      </c>
    </row>
    <row r="556" spans="12:15" x14ac:dyDescent="0.2">
      <c r="L556" s="4">
        <v>550</v>
      </c>
      <c r="M556" s="21">
        <v>77816.641723040288</v>
      </c>
      <c r="N556" s="42">
        <v>48.70135626949201</v>
      </c>
      <c r="O556" s="43">
        <v>15308.171624093902</v>
      </c>
    </row>
    <row r="557" spans="12:15" x14ac:dyDescent="0.2">
      <c r="L557" s="4">
        <v>551</v>
      </c>
      <c r="M557" s="21">
        <v>-48845.734695656764</v>
      </c>
      <c r="N557" s="42">
        <v>48.913289684891453</v>
      </c>
      <c r="O557" s="43">
        <v>14217.952669708084</v>
      </c>
    </row>
    <row r="558" spans="12:15" x14ac:dyDescent="0.2">
      <c r="L558" s="4">
        <v>552</v>
      </c>
      <c r="M558" s="21">
        <v>-24829.123526536816</v>
      </c>
      <c r="N558" s="42">
        <v>49.504977175295323</v>
      </c>
      <c r="O558" s="43">
        <v>14941.373803649103</v>
      </c>
    </row>
    <row r="559" spans="12:15" x14ac:dyDescent="0.2">
      <c r="L559" s="4">
        <v>553</v>
      </c>
      <c r="M559" s="21">
        <v>116170.56472252068</v>
      </c>
      <c r="N559" s="42">
        <v>47.864707325502465</v>
      </c>
      <c r="O559" s="43">
        <v>16498.442934310395</v>
      </c>
    </row>
    <row r="560" spans="12:15" x14ac:dyDescent="0.2">
      <c r="L560" s="4">
        <v>554</v>
      </c>
      <c r="M560" s="21">
        <v>-113536.65655502838</v>
      </c>
      <c r="N560" s="42">
        <v>48.461640629646318</v>
      </c>
      <c r="O560" s="43">
        <v>14674.05285891068</v>
      </c>
    </row>
    <row r="561" spans="12:15" x14ac:dyDescent="0.2">
      <c r="L561" s="4">
        <v>555</v>
      </c>
      <c r="M561" s="21">
        <v>138725.54184698418</v>
      </c>
      <c r="N561" s="42">
        <v>49.944242928699957</v>
      </c>
      <c r="O561" s="43">
        <v>15479.949409519006</v>
      </c>
    </row>
    <row r="562" spans="12:15" x14ac:dyDescent="0.2">
      <c r="L562" s="4">
        <v>556</v>
      </c>
      <c r="M562" s="21">
        <v>114940.99854107411</v>
      </c>
      <c r="N562" s="42">
        <v>49.957310417146886</v>
      </c>
      <c r="O562" s="43">
        <v>15085.343039399771</v>
      </c>
    </row>
    <row r="563" spans="12:15" x14ac:dyDescent="0.2">
      <c r="L563" s="4">
        <v>557</v>
      </c>
      <c r="M563" s="21">
        <v>210521.84736596042</v>
      </c>
      <c r="N563" s="42">
        <v>50.478737410723376</v>
      </c>
      <c r="O563" s="43">
        <v>17169.771930939081</v>
      </c>
    </row>
    <row r="564" spans="12:15" x14ac:dyDescent="0.2">
      <c r="L564" s="4">
        <v>558</v>
      </c>
      <c r="M564" s="21">
        <v>-176150.44560645538</v>
      </c>
      <c r="N564" s="42">
        <v>47.002085418245457</v>
      </c>
      <c r="O564" s="43">
        <v>15102.39035080127</v>
      </c>
    </row>
    <row r="565" spans="12:15" x14ac:dyDescent="0.2">
      <c r="L565" s="4">
        <v>559</v>
      </c>
      <c r="M565" s="21">
        <v>20947.295159012545</v>
      </c>
      <c r="N565" s="42">
        <v>49.075228950914379</v>
      </c>
      <c r="O565" s="43">
        <v>17514.689347269868</v>
      </c>
    </row>
    <row r="566" spans="12:15" x14ac:dyDescent="0.2">
      <c r="L566" s="4">
        <v>560</v>
      </c>
      <c r="M566" s="21">
        <v>97294.138989918691</v>
      </c>
      <c r="N566" s="42">
        <v>48.285320753329806</v>
      </c>
      <c r="O566" s="43">
        <v>17382.561283685533</v>
      </c>
    </row>
    <row r="567" spans="12:15" x14ac:dyDescent="0.2">
      <c r="L567" s="4">
        <v>561</v>
      </c>
      <c r="M567" s="21">
        <v>326479.14803130494</v>
      </c>
      <c r="N567" s="42">
        <v>49.300350616999374</v>
      </c>
      <c r="O567" s="43">
        <v>16623.239140542748</v>
      </c>
    </row>
    <row r="568" spans="12:15" x14ac:dyDescent="0.2">
      <c r="L568" s="4">
        <v>562</v>
      </c>
      <c r="M568" s="21">
        <v>70684.681305219565</v>
      </c>
      <c r="N568" s="42">
        <v>49.572811368520703</v>
      </c>
      <c r="O568" s="43">
        <v>15834.102383141037</v>
      </c>
    </row>
    <row r="569" spans="12:15" x14ac:dyDescent="0.2">
      <c r="L569" s="4">
        <v>563</v>
      </c>
      <c r="M569" s="21">
        <v>-186917.09930140758</v>
      </c>
      <c r="N569" s="42">
        <v>48.463069412946979</v>
      </c>
      <c r="O569" s="43">
        <v>12059.507259095752</v>
      </c>
    </row>
    <row r="570" spans="12:15" x14ac:dyDescent="0.2">
      <c r="L570" s="4">
        <v>564</v>
      </c>
      <c r="M570" s="21">
        <v>-126331.35260375937</v>
      </c>
      <c r="N570" s="42">
        <v>46.87831548014681</v>
      </c>
      <c r="O570" s="43">
        <v>17455.663039014253</v>
      </c>
    </row>
    <row r="571" spans="12:15" x14ac:dyDescent="0.2">
      <c r="L571" s="4">
        <v>565</v>
      </c>
      <c r="M571" s="21">
        <v>17869.727470133541</v>
      </c>
      <c r="N571" s="42">
        <v>49.325774848278471</v>
      </c>
      <c r="O571" s="43">
        <v>13852.274761785849</v>
      </c>
    </row>
    <row r="572" spans="12:15" x14ac:dyDescent="0.2">
      <c r="L572" s="4">
        <v>566</v>
      </c>
      <c r="M572" s="21">
        <v>69145.911636737786</v>
      </c>
      <c r="N572" s="42">
        <v>48.498278776383515</v>
      </c>
      <c r="O572" s="43">
        <v>15756.377526303668</v>
      </c>
    </row>
    <row r="573" spans="12:15" x14ac:dyDescent="0.2">
      <c r="L573" s="4">
        <v>567</v>
      </c>
      <c r="M573" s="21">
        <v>-67924.216838194799</v>
      </c>
      <c r="N573" s="42">
        <v>49.615532432782395</v>
      </c>
      <c r="O573" s="43">
        <v>14817.459463829495</v>
      </c>
    </row>
    <row r="574" spans="12:15" x14ac:dyDescent="0.2">
      <c r="L574" s="4">
        <v>568</v>
      </c>
      <c r="M574" s="21">
        <v>-258201.5433029813</v>
      </c>
      <c r="N574" s="42">
        <v>51.355802043189456</v>
      </c>
      <c r="O574" s="43">
        <v>11299.598820140744</v>
      </c>
    </row>
    <row r="575" spans="12:15" x14ac:dyDescent="0.2">
      <c r="L575" s="4">
        <v>569</v>
      </c>
      <c r="M575" s="21">
        <v>-271774.80876374955</v>
      </c>
      <c r="N575" s="42">
        <v>46.397876904085216</v>
      </c>
      <c r="O575" s="43">
        <v>15887.92214687092</v>
      </c>
    </row>
    <row r="576" spans="12:15" x14ac:dyDescent="0.2">
      <c r="L576" s="4">
        <v>570</v>
      </c>
      <c r="M576" s="21">
        <v>136101.40269400828</v>
      </c>
      <c r="N576" s="42">
        <v>49.735221929084496</v>
      </c>
      <c r="O576" s="43">
        <v>15689.424473689165</v>
      </c>
    </row>
    <row r="577" spans="12:15" x14ac:dyDescent="0.2">
      <c r="L577" s="4">
        <v>571</v>
      </c>
      <c r="M577" s="21">
        <v>-174831.35085411905</v>
      </c>
      <c r="N577" s="42">
        <v>50.098083016515822</v>
      </c>
      <c r="O577" s="43">
        <v>13225.652828793414</v>
      </c>
    </row>
    <row r="578" spans="12:15" x14ac:dyDescent="0.2">
      <c r="L578" s="4">
        <v>572</v>
      </c>
      <c r="M578" s="21">
        <v>194174.45845901061</v>
      </c>
      <c r="N578" s="42">
        <v>50.189493053323666</v>
      </c>
      <c r="O578" s="43">
        <v>15295.184184158577</v>
      </c>
    </row>
    <row r="579" spans="12:15" x14ac:dyDescent="0.2">
      <c r="L579" s="4">
        <v>573</v>
      </c>
      <c r="M579" s="21">
        <v>150593.01447422395</v>
      </c>
      <c r="N579" s="42">
        <v>49.547052100906228</v>
      </c>
      <c r="O579" s="43">
        <v>16743.591335919336</v>
      </c>
    </row>
    <row r="580" spans="12:15" x14ac:dyDescent="0.2">
      <c r="L580" s="4">
        <v>574</v>
      </c>
      <c r="M580" s="21">
        <v>8243.707843831944</v>
      </c>
      <c r="N580" s="42">
        <v>46.424820221960644</v>
      </c>
      <c r="O580" s="43">
        <v>16869.631348895629</v>
      </c>
    </row>
    <row r="581" spans="12:15" x14ac:dyDescent="0.2">
      <c r="L581" s="4">
        <v>575</v>
      </c>
      <c r="M581" s="21">
        <v>-25584.349387692142</v>
      </c>
      <c r="N581" s="42">
        <v>49.202224058869866</v>
      </c>
      <c r="O581" s="43">
        <v>16046.655749858017</v>
      </c>
    </row>
    <row r="582" spans="12:15" x14ac:dyDescent="0.2">
      <c r="L582" s="4">
        <v>576</v>
      </c>
      <c r="M582" s="21">
        <v>65360.770945303462</v>
      </c>
      <c r="N582" s="42">
        <v>48.593876782672034</v>
      </c>
      <c r="O582" s="43">
        <v>15045.503363239974</v>
      </c>
    </row>
    <row r="583" spans="12:15" x14ac:dyDescent="0.2">
      <c r="L583" s="4">
        <v>577</v>
      </c>
      <c r="M583" s="21">
        <v>163003.71439052047</v>
      </c>
      <c r="N583" s="42">
        <v>50.917055141831618</v>
      </c>
      <c r="O583" s="43">
        <v>15085.673150573048</v>
      </c>
    </row>
    <row r="584" spans="12:15" x14ac:dyDescent="0.2">
      <c r="L584" s="4">
        <v>578</v>
      </c>
      <c r="M584" s="21">
        <v>-28274.474250250714</v>
      </c>
      <c r="N584" s="42">
        <v>48.89048705539183</v>
      </c>
      <c r="O584" s="43">
        <v>15551.601790728566</v>
      </c>
    </row>
    <row r="585" spans="12:15" x14ac:dyDescent="0.2">
      <c r="L585" s="4">
        <v>579</v>
      </c>
      <c r="M585" s="21">
        <v>-114873.92495754782</v>
      </c>
      <c r="N585" s="42">
        <v>47.149091007359658</v>
      </c>
      <c r="O585" s="43">
        <v>14569.434657624901</v>
      </c>
    </row>
    <row r="586" spans="12:15" x14ac:dyDescent="0.2">
      <c r="L586" s="4">
        <v>580</v>
      </c>
      <c r="M586" s="21">
        <v>51375.423042171489</v>
      </c>
      <c r="N586" s="42">
        <v>50.4355641815363</v>
      </c>
      <c r="O586" s="43">
        <v>15088.827629657966</v>
      </c>
    </row>
    <row r="587" spans="12:15" x14ac:dyDescent="0.2">
      <c r="L587" s="4">
        <v>581</v>
      </c>
      <c r="M587" s="21">
        <v>-254453.04585088399</v>
      </c>
      <c r="N587" s="42">
        <v>51.692992050208623</v>
      </c>
      <c r="O587" s="43">
        <v>12155.573024266856</v>
      </c>
    </row>
    <row r="588" spans="12:15" x14ac:dyDescent="0.2">
      <c r="L588" s="4">
        <v>582</v>
      </c>
      <c r="M588" s="21">
        <v>-49227.309022784291</v>
      </c>
      <c r="N588" s="42">
        <v>48.669801289195554</v>
      </c>
      <c r="O588" s="43">
        <v>15097.965922562629</v>
      </c>
    </row>
    <row r="589" spans="12:15" x14ac:dyDescent="0.2">
      <c r="L589" s="4">
        <v>583</v>
      </c>
      <c r="M589" s="21">
        <v>-53549.325128989876</v>
      </c>
      <c r="N589" s="42">
        <v>48.492833812687806</v>
      </c>
      <c r="O589" s="43">
        <v>14814.650838797033</v>
      </c>
    </row>
    <row r="590" spans="12:15" x14ac:dyDescent="0.2">
      <c r="L590" s="4">
        <v>584</v>
      </c>
      <c r="M590" s="21">
        <v>97668.259067406354</v>
      </c>
      <c r="N590" s="42">
        <v>50.006135809500115</v>
      </c>
      <c r="O590" s="43">
        <v>15037.162982481563</v>
      </c>
    </row>
    <row r="591" spans="12:15" x14ac:dyDescent="0.2">
      <c r="L591" s="4">
        <v>585</v>
      </c>
      <c r="M591" s="21">
        <v>-219888.35176994011</v>
      </c>
      <c r="N591" s="42">
        <v>50.041069686256989</v>
      </c>
      <c r="O591" s="43">
        <v>12928.336501546397</v>
      </c>
    </row>
    <row r="592" spans="12:15" x14ac:dyDescent="0.2">
      <c r="L592" s="4">
        <v>586</v>
      </c>
      <c r="M592" s="21">
        <v>175802.56464816188</v>
      </c>
      <c r="N592" s="42">
        <v>49.764538454797922</v>
      </c>
      <c r="O592" s="43">
        <v>17245.043833527201</v>
      </c>
    </row>
    <row r="593" spans="12:15" x14ac:dyDescent="0.2">
      <c r="L593" s="4">
        <v>587</v>
      </c>
      <c r="M593" s="21">
        <v>24426.511013301177</v>
      </c>
      <c r="N593" s="42">
        <v>49.417590345330538</v>
      </c>
      <c r="O593" s="43">
        <v>14701.052854819956</v>
      </c>
    </row>
    <row r="594" spans="12:15" x14ac:dyDescent="0.2">
      <c r="L594" s="4">
        <v>588</v>
      </c>
      <c r="M594" s="21">
        <v>81116.672954871145</v>
      </c>
      <c r="N594" s="42">
        <v>50.203738021800305</v>
      </c>
      <c r="O594" s="43">
        <v>15364.263165447303</v>
      </c>
    </row>
    <row r="595" spans="12:15" x14ac:dyDescent="0.2">
      <c r="L595" s="4">
        <v>589</v>
      </c>
      <c r="M595" s="21">
        <v>22590.654956306302</v>
      </c>
      <c r="N595" s="42">
        <v>47.715037506487711</v>
      </c>
      <c r="O595" s="43">
        <v>16189.558712652848</v>
      </c>
    </row>
    <row r="596" spans="12:15" x14ac:dyDescent="0.2">
      <c r="L596" s="4">
        <v>590</v>
      </c>
      <c r="M596" s="21">
        <v>-157458.15733640885</v>
      </c>
      <c r="N596" s="42">
        <v>49.735503795049141</v>
      </c>
      <c r="O596" s="43">
        <v>13376.150519658666</v>
      </c>
    </row>
    <row r="597" spans="12:15" x14ac:dyDescent="0.2">
      <c r="L597" s="4">
        <v>591</v>
      </c>
      <c r="M597" s="21">
        <v>-28296.412532123592</v>
      </c>
      <c r="N597" s="42">
        <v>50.836172432998993</v>
      </c>
      <c r="O597" s="43">
        <v>13163.966485191853</v>
      </c>
    </row>
    <row r="598" spans="12:15" x14ac:dyDescent="0.2">
      <c r="L598" s="4">
        <v>592</v>
      </c>
      <c r="M598" s="21">
        <v>-95542.758922054505</v>
      </c>
      <c r="N598" s="42">
        <v>51.047055640306425</v>
      </c>
      <c r="O598" s="43">
        <v>12326.621101301906</v>
      </c>
    </row>
    <row r="599" spans="12:15" x14ac:dyDescent="0.2">
      <c r="L599" s="4">
        <v>593</v>
      </c>
      <c r="M599" s="21">
        <v>-78788.760149095295</v>
      </c>
      <c r="N599" s="42">
        <v>50.749731040015249</v>
      </c>
      <c r="O599" s="43">
        <v>13631.169705950322</v>
      </c>
    </row>
    <row r="600" spans="12:15" x14ac:dyDescent="0.2">
      <c r="L600" s="4">
        <v>594</v>
      </c>
      <c r="M600" s="21">
        <v>87646.127088743757</v>
      </c>
      <c r="N600" s="42">
        <v>50.348228236225438</v>
      </c>
      <c r="O600" s="43">
        <v>16655.679102693757</v>
      </c>
    </row>
    <row r="601" spans="12:15" x14ac:dyDescent="0.2">
      <c r="L601" s="4">
        <v>595</v>
      </c>
      <c r="M601" s="21">
        <v>-90836.180457210721</v>
      </c>
      <c r="N601" s="42">
        <v>48.077878920333205</v>
      </c>
      <c r="O601" s="43">
        <v>14544.603949852772</v>
      </c>
    </row>
    <row r="602" spans="12:15" x14ac:dyDescent="0.2">
      <c r="L602" s="4">
        <v>596</v>
      </c>
      <c r="M602" s="21">
        <v>-113291.05118208306</v>
      </c>
      <c r="N602" s="42">
        <v>48.144268118022183</v>
      </c>
      <c r="O602" s="43">
        <v>15455.361526965982</v>
      </c>
    </row>
    <row r="603" spans="12:15" x14ac:dyDescent="0.2">
      <c r="L603" s="4">
        <v>597</v>
      </c>
      <c r="M603" s="21">
        <v>-32567.146262609618</v>
      </c>
      <c r="N603" s="42">
        <v>49.124856861875976</v>
      </c>
      <c r="O603" s="43">
        <v>17516.121703024841</v>
      </c>
    </row>
    <row r="604" spans="12:15" x14ac:dyDescent="0.2">
      <c r="L604" s="4">
        <v>598</v>
      </c>
      <c r="M604" s="21">
        <v>-124871.78740266096</v>
      </c>
      <c r="N604" s="42">
        <v>48.106739772610652</v>
      </c>
      <c r="O604" s="43">
        <v>15422.67673151497</v>
      </c>
    </row>
    <row r="605" spans="12:15" x14ac:dyDescent="0.2">
      <c r="L605" s="4">
        <v>599</v>
      </c>
      <c r="M605" s="21">
        <v>-16100.410303158511</v>
      </c>
      <c r="N605" s="42">
        <v>47.118381168144076</v>
      </c>
      <c r="O605" s="43">
        <v>17138.939315488649</v>
      </c>
    </row>
    <row r="606" spans="12:15" x14ac:dyDescent="0.2">
      <c r="L606" s="4">
        <v>600</v>
      </c>
      <c r="M606" s="21">
        <v>154420.66886021174</v>
      </c>
      <c r="N606" s="42">
        <v>49.609166511169263</v>
      </c>
      <c r="O606" s="43">
        <v>15963.6591637048</v>
      </c>
    </row>
    <row r="607" spans="12:15" x14ac:dyDescent="0.2">
      <c r="L607" s="4">
        <v>601</v>
      </c>
      <c r="M607" s="21">
        <v>11017.209023252071</v>
      </c>
      <c r="N607" s="42">
        <v>51.130704269821095</v>
      </c>
      <c r="O607" s="43">
        <v>14085.141774166903</v>
      </c>
    </row>
    <row r="608" spans="12:15" x14ac:dyDescent="0.2">
      <c r="L608" s="4">
        <v>602</v>
      </c>
      <c r="M608" s="21">
        <v>-93882.427515948002</v>
      </c>
      <c r="N608" s="42">
        <v>46.820078838432586</v>
      </c>
      <c r="O608" s="43">
        <v>14373.578645188851</v>
      </c>
    </row>
    <row r="609" spans="12:15" x14ac:dyDescent="0.2">
      <c r="L609" s="4">
        <v>603</v>
      </c>
      <c r="M609" s="21">
        <v>-48865.476268959566</v>
      </c>
      <c r="N609" s="42">
        <v>47.669610101776257</v>
      </c>
      <c r="O609" s="43">
        <v>16295.114502136581</v>
      </c>
    </row>
    <row r="610" spans="12:15" x14ac:dyDescent="0.2">
      <c r="L610" s="4">
        <v>604</v>
      </c>
      <c r="M610" s="21">
        <v>30730.249077482615</v>
      </c>
      <c r="N610" s="42">
        <v>49.714306756009655</v>
      </c>
      <c r="O610" s="43">
        <v>14781.078569491428</v>
      </c>
    </row>
    <row r="611" spans="12:15" x14ac:dyDescent="0.2">
      <c r="L611" s="4">
        <v>605</v>
      </c>
      <c r="M611" s="21">
        <v>254981.51292467816</v>
      </c>
      <c r="N611" s="42">
        <v>50.389146633213244</v>
      </c>
      <c r="O611" s="43">
        <v>15517.950117549008</v>
      </c>
    </row>
    <row r="612" spans="12:15" x14ac:dyDescent="0.2">
      <c r="L612" s="4">
        <v>606</v>
      </c>
      <c r="M612" s="21">
        <v>295177.36195256066</v>
      </c>
      <c r="N612" s="42">
        <v>50.959047693340864</v>
      </c>
      <c r="O612" s="43">
        <v>16727.231330647206</v>
      </c>
    </row>
    <row r="613" spans="12:15" x14ac:dyDescent="0.2">
      <c r="L613" s="4">
        <v>607</v>
      </c>
      <c r="M613" s="21">
        <v>-89915.741557034577</v>
      </c>
      <c r="N613" s="42">
        <v>46.977942842436313</v>
      </c>
      <c r="O613" s="43">
        <v>16116.749505644999</v>
      </c>
    </row>
    <row r="614" spans="12:15" x14ac:dyDescent="0.2">
      <c r="L614" s="4">
        <v>608</v>
      </c>
      <c r="M614" s="21">
        <v>219091.53464792718</v>
      </c>
      <c r="N614" s="42">
        <v>51.499051846616204</v>
      </c>
      <c r="O614" s="43">
        <v>15380.546259296463</v>
      </c>
    </row>
    <row r="615" spans="12:15" x14ac:dyDescent="0.2">
      <c r="L615" s="4">
        <v>609</v>
      </c>
      <c r="M615" s="21">
        <v>-1963.2628334291949</v>
      </c>
      <c r="N615" s="42">
        <v>48.41166780550941</v>
      </c>
      <c r="O615" s="43">
        <v>16796.921338284046</v>
      </c>
    </row>
    <row r="616" spans="12:15" x14ac:dyDescent="0.2">
      <c r="L616" s="4">
        <v>610</v>
      </c>
      <c r="M616" s="21">
        <v>48817.161040105129</v>
      </c>
      <c r="N616" s="42">
        <v>49.551737487756398</v>
      </c>
      <c r="O616" s="43">
        <v>15293.845698413968</v>
      </c>
    </row>
    <row r="617" spans="12:15" x14ac:dyDescent="0.2">
      <c r="L617" s="4">
        <v>611</v>
      </c>
      <c r="M617" s="21">
        <v>-86011.409414116919</v>
      </c>
      <c r="N617" s="42">
        <v>51.923262655906569</v>
      </c>
      <c r="O617" s="43">
        <v>13458.273890778893</v>
      </c>
    </row>
    <row r="618" spans="12:15" x14ac:dyDescent="0.2">
      <c r="L618" s="4">
        <v>612</v>
      </c>
      <c r="M618" s="21">
        <v>171147.70016107865</v>
      </c>
      <c r="N618" s="42">
        <v>50.253315731964612</v>
      </c>
      <c r="O618" s="43">
        <v>15547.133459174011</v>
      </c>
    </row>
    <row r="619" spans="12:15" x14ac:dyDescent="0.2">
      <c r="L619" s="4">
        <v>613</v>
      </c>
      <c r="M619" s="21">
        <v>-52651.505928962462</v>
      </c>
      <c r="N619" s="42">
        <v>48.825205756691403</v>
      </c>
      <c r="O619" s="43">
        <v>16086.802080196569</v>
      </c>
    </row>
    <row r="620" spans="12:15" x14ac:dyDescent="0.2">
      <c r="L620" s="4">
        <v>614</v>
      </c>
      <c r="M620" s="21">
        <v>105431.63847616754</v>
      </c>
      <c r="N620" s="42">
        <v>49.747615295499052</v>
      </c>
      <c r="O620" s="43">
        <v>15078.283601065581</v>
      </c>
    </row>
    <row r="621" spans="12:15" x14ac:dyDescent="0.2">
      <c r="L621" s="4">
        <v>615</v>
      </c>
      <c r="M621" s="21">
        <v>94113.523653179989</v>
      </c>
      <c r="N621" s="42">
        <v>47.463245388293764</v>
      </c>
      <c r="O621" s="43">
        <v>17752.940861989908</v>
      </c>
    </row>
    <row r="622" spans="12:15" x14ac:dyDescent="0.2">
      <c r="L622" s="4">
        <v>616</v>
      </c>
      <c r="M622" s="21">
        <v>-33666.825789630922</v>
      </c>
      <c r="N622" s="42">
        <v>51.749429591771964</v>
      </c>
      <c r="O622" s="43">
        <v>12775.756447428943</v>
      </c>
    </row>
    <row r="623" spans="12:15" x14ac:dyDescent="0.2">
      <c r="L623" s="4">
        <v>617</v>
      </c>
      <c r="M623" s="21">
        <v>101828.43374296301</v>
      </c>
      <c r="N623" s="42">
        <v>49.215145021540323</v>
      </c>
      <c r="O623" s="43">
        <v>16326.289169145104</v>
      </c>
    </row>
    <row r="624" spans="12:15" x14ac:dyDescent="0.2">
      <c r="L624" s="4">
        <v>618</v>
      </c>
      <c r="M624" s="21">
        <v>-20610.345810122206</v>
      </c>
      <c r="N624" s="42">
        <v>46.604835397546935</v>
      </c>
      <c r="O624" s="43">
        <v>17209.612600538625</v>
      </c>
    </row>
    <row r="625" spans="12:15" x14ac:dyDescent="0.2">
      <c r="L625" s="4">
        <v>619</v>
      </c>
      <c r="M625" s="21">
        <v>120364.60384371786</v>
      </c>
      <c r="N625" s="42">
        <v>50.615346770950623</v>
      </c>
      <c r="O625" s="43">
        <v>15232.136618541932</v>
      </c>
    </row>
    <row r="626" spans="12:15" x14ac:dyDescent="0.2">
      <c r="L626" s="4">
        <v>620</v>
      </c>
      <c r="M626" s="21">
        <v>-186724.36581358456</v>
      </c>
      <c r="N626" s="42">
        <v>48.348051648617073</v>
      </c>
      <c r="O626" s="43">
        <v>12849.184468824345</v>
      </c>
    </row>
    <row r="627" spans="12:15" x14ac:dyDescent="0.2">
      <c r="L627" s="4">
        <v>621</v>
      </c>
      <c r="M627" s="21">
        <v>141887.50483909342</v>
      </c>
      <c r="N627" s="42">
        <v>48.888303982947846</v>
      </c>
      <c r="O627" s="43">
        <v>17029.765218594752</v>
      </c>
    </row>
    <row r="628" spans="12:15" x14ac:dyDescent="0.2">
      <c r="L628" s="4">
        <v>622</v>
      </c>
      <c r="M628" s="21">
        <v>-156431.18244305681</v>
      </c>
      <c r="N628" s="42">
        <v>48.579514178805283</v>
      </c>
      <c r="O628" s="43">
        <v>14267.523917448201</v>
      </c>
    </row>
    <row r="629" spans="12:15" x14ac:dyDescent="0.2">
      <c r="L629" s="4">
        <v>623</v>
      </c>
      <c r="M629" s="21">
        <v>-33012.709009436992</v>
      </c>
      <c r="N629" s="42">
        <v>50.732129339482952</v>
      </c>
      <c r="O629" s="43">
        <v>13793.485789873517</v>
      </c>
    </row>
    <row r="630" spans="12:15" x14ac:dyDescent="0.2">
      <c r="L630" s="4">
        <v>624</v>
      </c>
      <c r="M630" s="21">
        <v>135284.14607321194</v>
      </c>
      <c r="N630" s="42">
        <v>49.174609962275952</v>
      </c>
      <c r="O630" s="43">
        <v>15836.450452479759</v>
      </c>
    </row>
    <row r="631" spans="12:15" x14ac:dyDescent="0.2">
      <c r="L631" s="4">
        <v>625</v>
      </c>
      <c r="M631" s="21">
        <v>71973.045318695309</v>
      </c>
      <c r="N631" s="42">
        <v>48.712597095503064</v>
      </c>
      <c r="O631" s="43">
        <v>15298.904520165628</v>
      </c>
    </row>
    <row r="632" spans="12:15" x14ac:dyDescent="0.2">
      <c r="L632" s="4">
        <v>626</v>
      </c>
      <c r="M632" s="21">
        <v>-100080.96425339178</v>
      </c>
      <c r="N632" s="42">
        <v>47.546525307833932</v>
      </c>
      <c r="O632" s="43">
        <v>15752.119776930267</v>
      </c>
    </row>
    <row r="633" spans="12:15" x14ac:dyDescent="0.2">
      <c r="L633" s="4">
        <v>627</v>
      </c>
      <c r="M633" s="21">
        <v>-182525.67297124621</v>
      </c>
      <c r="N633" s="42">
        <v>51.114589257159793</v>
      </c>
      <c r="O633" s="43">
        <v>12101.20280746252</v>
      </c>
    </row>
    <row r="634" spans="12:15" x14ac:dyDescent="0.2">
      <c r="L634" s="4">
        <v>628</v>
      </c>
      <c r="M634" s="21">
        <v>2668.5780223563779</v>
      </c>
      <c r="N634" s="42">
        <v>49.039581634593716</v>
      </c>
      <c r="O634" s="43">
        <v>15706.220632259505</v>
      </c>
    </row>
    <row r="635" spans="12:15" x14ac:dyDescent="0.2">
      <c r="L635" s="4">
        <v>629</v>
      </c>
      <c r="M635" s="21">
        <v>-122367.55321823014</v>
      </c>
      <c r="N635" s="42">
        <v>50.429417391250311</v>
      </c>
      <c r="O635" s="43">
        <v>14076.763311469822</v>
      </c>
    </row>
    <row r="636" spans="12:15" x14ac:dyDescent="0.2">
      <c r="L636" s="4">
        <v>630</v>
      </c>
      <c r="M636" s="21">
        <v>-62940.911927526977</v>
      </c>
      <c r="N636" s="42">
        <v>49.031511590118548</v>
      </c>
      <c r="O636" s="43">
        <v>14929.246849988333</v>
      </c>
    </row>
    <row r="637" spans="12:15" x14ac:dyDescent="0.2">
      <c r="L637" s="4">
        <v>631</v>
      </c>
      <c r="M637" s="21">
        <v>31813.542356881866</v>
      </c>
      <c r="N637" s="42">
        <v>47.690138612118361</v>
      </c>
      <c r="O637" s="43">
        <v>16210.872134003732</v>
      </c>
    </row>
    <row r="638" spans="12:15" x14ac:dyDescent="0.2">
      <c r="L638" s="4">
        <v>632</v>
      </c>
      <c r="M638" s="21">
        <v>23611.715004118567</v>
      </c>
      <c r="N638" s="42">
        <v>51.072564922498522</v>
      </c>
      <c r="O638" s="43">
        <v>14532.172509940383</v>
      </c>
    </row>
    <row r="639" spans="12:15" x14ac:dyDescent="0.2">
      <c r="L639" s="4">
        <v>633</v>
      </c>
      <c r="M639" s="21">
        <v>195588.2910641729</v>
      </c>
      <c r="N639" s="42">
        <v>50.924150605940838</v>
      </c>
      <c r="O639" s="43">
        <v>15989.120721591065</v>
      </c>
    </row>
    <row r="640" spans="12:15" x14ac:dyDescent="0.2">
      <c r="L640" s="4">
        <v>634</v>
      </c>
      <c r="M640" s="21">
        <v>37961.713661490678</v>
      </c>
      <c r="N640" s="42">
        <v>49.757195770018697</v>
      </c>
      <c r="O640" s="43">
        <v>14325.959431421741</v>
      </c>
    </row>
    <row r="641" spans="12:15" x14ac:dyDescent="0.2">
      <c r="L641" s="4">
        <v>635</v>
      </c>
      <c r="M641" s="21">
        <v>40591.395262759441</v>
      </c>
      <c r="N641" s="42">
        <v>51.101950259712957</v>
      </c>
      <c r="O641" s="43">
        <v>14331.781971676701</v>
      </c>
    </row>
    <row r="642" spans="12:15" x14ac:dyDescent="0.2">
      <c r="L642" s="4">
        <v>636</v>
      </c>
      <c r="M642" s="21">
        <v>187880.45355752943</v>
      </c>
      <c r="N642" s="42">
        <v>49.532913663599125</v>
      </c>
      <c r="O642" s="43">
        <v>17565.343556995984</v>
      </c>
    </row>
    <row r="643" spans="12:15" x14ac:dyDescent="0.2">
      <c r="L643" s="4">
        <v>637</v>
      </c>
      <c r="M643" s="21">
        <v>-7132.9590665052528</v>
      </c>
      <c r="N643" s="42">
        <v>51.465598672726614</v>
      </c>
      <c r="O643" s="43">
        <v>13259.465656583314</v>
      </c>
    </row>
    <row r="644" spans="12:15" x14ac:dyDescent="0.2">
      <c r="L644" s="4">
        <v>638</v>
      </c>
      <c r="M644" s="21">
        <v>-8264.4434173324844</v>
      </c>
      <c r="N644" s="42">
        <v>50.832320917680832</v>
      </c>
      <c r="O644" s="43">
        <v>13087.652845629693</v>
      </c>
    </row>
    <row r="645" spans="12:15" x14ac:dyDescent="0.2">
      <c r="L645" s="4">
        <v>639</v>
      </c>
      <c r="M645" s="21">
        <v>94730.730025944678</v>
      </c>
      <c r="N645" s="42">
        <v>49.212568079349992</v>
      </c>
      <c r="O645" s="43">
        <v>15890.251814370953</v>
      </c>
    </row>
    <row r="646" spans="12:15" x14ac:dyDescent="0.2">
      <c r="L646" s="4">
        <v>640</v>
      </c>
      <c r="M646" s="21">
        <v>197691.90700426709</v>
      </c>
      <c r="N646" s="42">
        <v>48.104208891905095</v>
      </c>
      <c r="O646" s="43">
        <v>17215.740014961746</v>
      </c>
    </row>
    <row r="647" spans="12:15" x14ac:dyDescent="0.2">
      <c r="L647" s="4">
        <v>641</v>
      </c>
      <c r="M647" s="21">
        <v>-160914.01558100421</v>
      </c>
      <c r="N647" s="42">
        <v>45.706713582190403</v>
      </c>
      <c r="O647" s="43">
        <v>16245.137329304853</v>
      </c>
    </row>
    <row r="648" spans="12:15" x14ac:dyDescent="0.2">
      <c r="L648" s="4">
        <v>642</v>
      </c>
      <c r="M648" s="21">
        <v>81727.183542701328</v>
      </c>
      <c r="N648" s="42">
        <v>50.577388616596181</v>
      </c>
      <c r="O648" s="43">
        <v>14901.070627848523</v>
      </c>
    </row>
    <row r="649" spans="12:15" x14ac:dyDescent="0.2">
      <c r="L649" s="4">
        <v>643</v>
      </c>
      <c r="M649" s="21">
        <v>-79067.583957607407</v>
      </c>
      <c r="N649" s="42">
        <v>48.174239563635943</v>
      </c>
      <c r="O649" s="43">
        <v>14891.641485954156</v>
      </c>
    </row>
    <row r="650" spans="12:15" x14ac:dyDescent="0.2">
      <c r="L650" s="4">
        <v>644</v>
      </c>
      <c r="M650" s="21">
        <v>155800.01176093193</v>
      </c>
      <c r="N650" s="42">
        <v>49.377612808899876</v>
      </c>
      <c r="O650" s="43">
        <v>16290.548763473995</v>
      </c>
    </row>
    <row r="651" spans="12:15" x14ac:dyDescent="0.2">
      <c r="L651" s="4">
        <v>645</v>
      </c>
      <c r="M651" s="21">
        <v>164812.99457875776</v>
      </c>
      <c r="N651" s="42">
        <v>50.942734825872101</v>
      </c>
      <c r="O651" s="43">
        <v>15145.253931145819</v>
      </c>
    </row>
    <row r="652" spans="12:15" x14ac:dyDescent="0.2">
      <c r="L652" s="4">
        <v>646</v>
      </c>
      <c r="M652" s="21">
        <v>-21002.959706546229</v>
      </c>
      <c r="N652" s="42">
        <v>50.741081457274255</v>
      </c>
      <c r="O652" s="43">
        <v>13265.339347148732</v>
      </c>
    </row>
    <row r="653" spans="12:15" x14ac:dyDescent="0.2">
      <c r="L653" s="4">
        <v>647</v>
      </c>
      <c r="M653" s="21">
        <v>44952.254124535422</v>
      </c>
      <c r="N653" s="42">
        <v>50.944147332693248</v>
      </c>
      <c r="O653" s="43">
        <v>15008.984478937471</v>
      </c>
    </row>
    <row r="654" spans="12:15" x14ac:dyDescent="0.2">
      <c r="L654" s="4">
        <v>648</v>
      </c>
      <c r="M654" s="21">
        <v>-19162.178229946861</v>
      </c>
      <c r="N654" s="42">
        <v>51.11907322766568</v>
      </c>
      <c r="O654" s="43">
        <v>14196.633169978928</v>
      </c>
    </row>
    <row r="655" spans="12:15" x14ac:dyDescent="0.2">
      <c r="L655" s="4">
        <v>649</v>
      </c>
      <c r="M655" s="21">
        <v>45910.24757335693</v>
      </c>
      <c r="N655" s="42">
        <v>48.202266677407799</v>
      </c>
      <c r="O655" s="43">
        <v>15462.07685652731</v>
      </c>
    </row>
    <row r="656" spans="12:15" x14ac:dyDescent="0.2">
      <c r="L656" s="4">
        <v>650</v>
      </c>
      <c r="M656" s="21">
        <v>-29631.831828177077</v>
      </c>
      <c r="N656" s="42">
        <v>46.437922847421632</v>
      </c>
      <c r="O656" s="43">
        <v>17271.145231343315</v>
      </c>
    </row>
    <row r="657" spans="12:15" x14ac:dyDescent="0.2">
      <c r="L657" s="4">
        <v>651</v>
      </c>
      <c r="M657" s="21">
        <v>25205.252405256266</v>
      </c>
      <c r="N657" s="42">
        <v>49.68418423723152</v>
      </c>
      <c r="O657" s="43">
        <v>14629.743656575698</v>
      </c>
    </row>
    <row r="658" spans="12:15" x14ac:dyDescent="0.2">
      <c r="L658" s="4">
        <v>652</v>
      </c>
      <c r="M658" s="21">
        <v>-20452.764816597715</v>
      </c>
      <c r="N658" s="42">
        <v>47.525823100246889</v>
      </c>
      <c r="O658" s="43">
        <v>16085.312476988602</v>
      </c>
    </row>
    <row r="659" spans="12:15" x14ac:dyDescent="0.2">
      <c r="L659" s="4">
        <v>653</v>
      </c>
      <c r="M659" s="21">
        <v>-144481.2863213431</v>
      </c>
      <c r="N659" s="42">
        <v>50.823911054797634</v>
      </c>
      <c r="O659" s="43">
        <v>12018.327708560349</v>
      </c>
    </row>
    <row r="660" spans="12:15" x14ac:dyDescent="0.2">
      <c r="L660" s="4">
        <v>654</v>
      </c>
      <c r="M660" s="21">
        <v>181597.33124688274</v>
      </c>
      <c r="N660" s="42">
        <v>49.415240410979699</v>
      </c>
      <c r="O660" s="43">
        <v>16055.291071170755</v>
      </c>
    </row>
    <row r="661" spans="12:15" x14ac:dyDescent="0.2">
      <c r="L661" s="4">
        <v>655</v>
      </c>
      <c r="M661" s="21">
        <v>-126232.73562870841</v>
      </c>
      <c r="N661" s="42">
        <v>49.05590282039995</v>
      </c>
      <c r="O661" s="43">
        <v>14316.87714168053</v>
      </c>
    </row>
    <row r="662" spans="12:15" x14ac:dyDescent="0.2">
      <c r="L662" s="4">
        <v>656</v>
      </c>
      <c r="M662" s="21">
        <v>-225156.09803452436</v>
      </c>
      <c r="N662" s="42">
        <v>48.474665229994422</v>
      </c>
      <c r="O662" s="43">
        <v>11730.024590173092</v>
      </c>
    </row>
    <row r="663" spans="12:15" x14ac:dyDescent="0.2">
      <c r="L663" s="4">
        <v>657</v>
      </c>
      <c r="M663" s="21">
        <v>-7542.2259517538332</v>
      </c>
      <c r="N663" s="42">
        <v>48.75218868616799</v>
      </c>
      <c r="O663" s="43">
        <v>17993.28261752244</v>
      </c>
    </row>
    <row r="664" spans="12:15" x14ac:dyDescent="0.2">
      <c r="L664" s="4">
        <v>658</v>
      </c>
      <c r="M664" s="21">
        <v>112869.66421480611</v>
      </c>
      <c r="N664" s="42">
        <v>47.484556765180457</v>
      </c>
      <c r="O664" s="43">
        <v>18561.351463044361</v>
      </c>
    </row>
    <row r="665" spans="12:15" x14ac:dyDescent="0.2">
      <c r="L665" s="4">
        <v>659</v>
      </c>
      <c r="M665" s="21">
        <v>-246578.01313687046</v>
      </c>
      <c r="N665" s="42">
        <v>47.270337284415703</v>
      </c>
      <c r="O665" s="43">
        <v>12386.719956232768</v>
      </c>
    </row>
    <row r="666" spans="12:15" x14ac:dyDescent="0.2">
      <c r="L666" s="4">
        <v>660</v>
      </c>
      <c r="M666" s="21">
        <v>-66843.655389480889</v>
      </c>
      <c r="N666" s="42">
        <v>46.499288185496297</v>
      </c>
      <c r="O666" s="43">
        <v>17016.680431528752</v>
      </c>
    </row>
    <row r="667" spans="12:15" x14ac:dyDescent="0.2">
      <c r="L667" s="4">
        <v>661</v>
      </c>
      <c r="M667" s="21">
        <v>-103327.1160688321</v>
      </c>
      <c r="N667" s="42">
        <v>51.005136523518999</v>
      </c>
      <c r="O667" s="43">
        <v>12617.903170064512</v>
      </c>
    </row>
    <row r="668" spans="12:15" x14ac:dyDescent="0.2">
      <c r="L668" s="4">
        <v>662</v>
      </c>
      <c r="M668" s="21">
        <v>-17450.526117682282</v>
      </c>
      <c r="N668" s="42">
        <v>49.651588892977436</v>
      </c>
      <c r="O668" s="43">
        <v>15051.708392165341</v>
      </c>
    </row>
    <row r="669" spans="12:15" x14ac:dyDescent="0.2">
      <c r="L669" s="4">
        <v>663</v>
      </c>
      <c r="M669" s="21">
        <v>148869.94475377523</v>
      </c>
      <c r="N669" s="42">
        <v>51.23004165679427</v>
      </c>
      <c r="O669" s="43">
        <v>15553.918081960974</v>
      </c>
    </row>
    <row r="670" spans="12:15" x14ac:dyDescent="0.2">
      <c r="L670" s="4">
        <v>664</v>
      </c>
      <c r="M670" s="21">
        <v>-97980.78697829158</v>
      </c>
      <c r="N670" s="42">
        <v>49.71266236694683</v>
      </c>
      <c r="O670" s="43">
        <v>14920.059298026546</v>
      </c>
    </row>
    <row r="671" spans="12:15" x14ac:dyDescent="0.2">
      <c r="L671" s="4">
        <v>665</v>
      </c>
      <c r="M671" s="21">
        <v>-94420.021591994038</v>
      </c>
      <c r="N671" s="42">
        <v>50.902543805075943</v>
      </c>
      <c r="O671" s="43">
        <v>13847.120212074104</v>
      </c>
    </row>
    <row r="672" spans="12:15" x14ac:dyDescent="0.2">
      <c r="L672" s="4">
        <v>666</v>
      </c>
      <c r="M672" s="21">
        <v>7729.3734823613777</v>
      </c>
      <c r="N672" s="42">
        <v>48.657726324334199</v>
      </c>
      <c r="O672" s="43">
        <v>15336.292862744462</v>
      </c>
    </row>
    <row r="673" spans="12:15" x14ac:dyDescent="0.2">
      <c r="L673" s="4">
        <v>667</v>
      </c>
      <c r="M673" s="21">
        <v>-112868.42579805922</v>
      </c>
      <c r="N673" s="42">
        <v>51.538533234605282</v>
      </c>
      <c r="O673" s="43">
        <v>13258.893592366741</v>
      </c>
    </row>
    <row r="674" spans="12:15" x14ac:dyDescent="0.2">
      <c r="L674" s="4">
        <v>668</v>
      </c>
      <c r="M674" s="21">
        <v>-56677.760330277961</v>
      </c>
      <c r="N674" s="42">
        <v>47.172214089447671</v>
      </c>
      <c r="O674" s="43">
        <v>16049.273832789679</v>
      </c>
    </row>
    <row r="675" spans="12:15" x14ac:dyDescent="0.2">
      <c r="L675" s="4">
        <v>669</v>
      </c>
      <c r="M675" s="21">
        <v>7686.2790508545004</v>
      </c>
      <c r="N675" s="42">
        <v>48.95332525779407</v>
      </c>
      <c r="O675" s="43">
        <v>14558.890915858223</v>
      </c>
    </row>
    <row r="676" spans="12:15" x14ac:dyDescent="0.2">
      <c r="L676" s="4">
        <v>670</v>
      </c>
      <c r="M676" s="21">
        <v>-42243.989133321404</v>
      </c>
      <c r="N676" s="42">
        <v>47.500111899986656</v>
      </c>
      <c r="O676" s="43">
        <v>16799.608313779179</v>
      </c>
    </row>
    <row r="677" spans="12:15" x14ac:dyDescent="0.2">
      <c r="L677" s="4">
        <v>671</v>
      </c>
      <c r="M677" s="21">
        <v>-20685.040264790485</v>
      </c>
      <c r="N677" s="42">
        <v>50.557339793004786</v>
      </c>
      <c r="O677" s="43">
        <v>15195.560296035243</v>
      </c>
    </row>
    <row r="678" spans="12:15" x14ac:dyDescent="0.2">
      <c r="L678" s="4">
        <v>672</v>
      </c>
      <c r="M678" s="21">
        <v>-57813.321311075342</v>
      </c>
      <c r="N678" s="42">
        <v>50.130450723131965</v>
      </c>
      <c r="O678" s="43">
        <v>13610.044041492902</v>
      </c>
    </row>
    <row r="679" spans="12:15" x14ac:dyDescent="0.2">
      <c r="L679" s="4">
        <v>673</v>
      </c>
      <c r="M679" s="21">
        <v>59182.278272660624</v>
      </c>
      <c r="N679" s="42">
        <v>49.065168289075302</v>
      </c>
      <c r="O679" s="43">
        <v>15453.468906831842</v>
      </c>
    </row>
    <row r="680" spans="12:15" x14ac:dyDescent="0.2">
      <c r="L680" s="4">
        <v>674</v>
      </c>
      <c r="M680" s="21">
        <v>157690.73942629763</v>
      </c>
      <c r="N680" s="42">
        <v>50.646496148390909</v>
      </c>
      <c r="O680" s="43">
        <v>18046.405451155559</v>
      </c>
    </row>
    <row r="681" spans="12:15" x14ac:dyDescent="0.2">
      <c r="L681" s="4">
        <v>675</v>
      </c>
      <c r="M681" s="21">
        <v>32174.5401298902</v>
      </c>
      <c r="N681" s="42">
        <v>47.59543681686727</v>
      </c>
      <c r="O681" s="43">
        <v>16818.380214806726</v>
      </c>
    </row>
    <row r="682" spans="12:15" x14ac:dyDescent="0.2">
      <c r="L682" s="4">
        <v>676</v>
      </c>
      <c r="M682" s="21">
        <v>-17840.749729907606</v>
      </c>
      <c r="N682" s="42">
        <v>49.324812421437514</v>
      </c>
      <c r="O682" s="43">
        <v>16629.475309121164</v>
      </c>
    </row>
    <row r="683" spans="12:15" x14ac:dyDescent="0.2">
      <c r="L683" s="4">
        <v>677</v>
      </c>
      <c r="M683" s="21">
        <v>70403.965945239266</v>
      </c>
      <c r="N683" s="42">
        <v>47.117867076572296</v>
      </c>
      <c r="O683" s="43">
        <v>18172.766320480576</v>
      </c>
    </row>
    <row r="684" spans="12:15" x14ac:dyDescent="0.2">
      <c r="L684" s="4">
        <v>678</v>
      </c>
      <c r="M684" s="21">
        <v>-60839.527073599937</v>
      </c>
      <c r="N684" s="42">
        <v>49.500358440887503</v>
      </c>
      <c r="O684" s="43">
        <v>14193.05509141356</v>
      </c>
    </row>
    <row r="685" spans="12:15" x14ac:dyDescent="0.2">
      <c r="L685" s="4">
        <v>679</v>
      </c>
      <c r="M685" s="21">
        <v>-56431.676419041527</v>
      </c>
      <c r="N685" s="42">
        <v>49.983811379107593</v>
      </c>
      <c r="O685" s="43">
        <v>13528.325054289449</v>
      </c>
    </row>
    <row r="686" spans="12:15" x14ac:dyDescent="0.2">
      <c r="L686" s="4">
        <v>680</v>
      </c>
      <c r="M686" s="21">
        <v>132033.43638033504</v>
      </c>
      <c r="N686" s="42">
        <v>50.974271598723227</v>
      </c>
      <c r="O686" s="43">
        <v>13783.97677845076</v>
      </c>
    </row>
    <row r="687" spans="12:15" x14ac:dyDescent="0.2">
      <c r="L687" s="4">
        <v>681</v>
      </c>
      <c r="M687" s="21">
        <v>28771.189117286733</v>
      </c>
      <c r="N687" s="42">
        <v>51.192795828884258</v>
      </c>
      <c r="O687" s="43">
        <v>14874.356474084127</v>
      </c>
    </row>
    <row r="688" spans="12:15" x14ac:dyDescent="0.2">
      <c r="L688" s="4">
        <v>682</v>
      </c>
      <c r="M688" s="21">
        <v>-109783.03927906948</v>
      </c>
      <c r="N688" s="42">
        <v>49.288693548793916</v>
      </c>
      <c r="O688" s="43">
        <v>15576.349729081401</v>
      </c>
    </row>
    <row r="689" spans="12:15" x14ac:dyDescent="0.2">
      <c r="L689" s="4">
        <v>683</v>
      </c>
      <c r="M689" s="21">
        <v>91424.36500583819</v>
      </c>
      <c r="N689" s="42">
        <v>49.911228081786184</v>
      </c>
      <c r="O689" s="43">
        <v>15313.515640209856</v>
      </c>
    </row>
    <row r="690" spans="12:15" x14ac:dyDescent="0.2">
      <c r="L690" s="4">
        <v>684</v>
      </c>
      <c r="M690" s="21">
        <v>8794.4357574883907</v>
      </c>
      <c r="N690" s="42">
        <v>50.451822845372057</v>
      </c>
      <c r="O690" s="43">
        <v>13698.42193528536</v>
      </c>
    </row>
    <row r="691" spans="12:15" x14ac:dyDescent="0.2">
      <c r="L691" s="4">
        <v>685</v>
      </c>
      <c r="M691" s="21">
        <v>-20392.555542132337</v>
      </c>
      <c r="N691" s="42">
        <v>49.758814988508327</v>
      </c>
      <c r="O691" s="43">
        <v>13649.345628552539</v>
      </c>
    </row>
    <row r="692" spans="12:15" x14ac:dyDescent="0.2">
      <c r="L692" s="4">
        <v>686</v>
      </c>
      <c r="M692" s="21">
        <v>116450.32805380394</v>
      </c>
      <c r="N692" s="42">
        <v>49.722738481915954</v>
      </c>
      <c r="O692" s="43">
        <v>16599.542703803119</v>
      </c>
    </row>
    <row r="693" spans="12:15" x14ac:dyDescent="0.2">
      <c r="L693" s="4">
        <v>687</v>
      </c>
      <c r="M693" s="21">
        <v>-108503.336633945</v>
      </c>
      <c r="N693" s="42">
        <v>48.783196689154408</v>
      </c>
      <c r="O693" s="43">
        <v>13941.089838019921</v>
      </c>
    </row>
    <row r="694" spans="12:15" x14ac:dyDescent="0.2">
      <c r="L694" s="4">
        <v>688</v>
      </c>
      <c r="M694" s="21">
        <v>11090.605947759788</v>
      </c>
      <c r="N694" s="42">
        <v>50.305942175249506</v>
      </c>
      <c r="O694" s="43">
        <v>14773.946921540495</v>
      </c>
    </row>
    <row r="695" spans="12:15" x14ac:dyDescent="0.2">
      <c r="L695" s="4">
        <v>689</v>
      </c>
      <c r="M695" s="21">
        <v>-170786.03747319631</v>
      </c>
      <c r="N695" s="42">
        <v>47.287639122545485</v>
      </c>
      <c r="O695" s="43">
        <v>14875.979607451804</v>
      </c>
    </row>
    <row r="696" spans="12:15" x14ac:dyDescent="0.2">
      <c r="L696" s="4">
        <v>690</v>
      </c>
      <c r="M696" s="21">
        <v>176242.78507956522</v>
      </c>
      <c r="N696" s="42">
        <v>49.718226022540783</v>
      </c>
      <c r="O696" s="43">
        <v>17205.163853800193</v>
      </c>
    </row>
    <row r="697" spans="12:15" x14ac:dyDescent="0.2">
      <c r="L697" s="4">
        <v>691</v>
      </c>
      <c r="M697" s="21">
        <v>57847.994980258431</v>
      </c>
      <c r="N697" s="42">
        <v>51.194512909114586</v>
      </c>
      <c r="O697" s="43">
        <v>15442.131102031208</v>
      </c>
    </row>
    <row r="698" spans="12:15" x14ac:dyDescent="0.2">
      <c r="L698" s="4">
        <v>692</v>
      </c>
      <c r="M698" s="21">
        <v>-24224.212457749687</v>
      </c>
      <c r="N698" s="42">
        <v>48.145444768880459</v>
      </c>
      <c r="O698" s="43">
        <v>15416.011678944446</v>
      </c>
    </row>
    <row r="699" spans="12:15" x14ac:dyDescent="0.2">
      <c r="L699" s="4">
        <v>693</v>
      </c>
      <c r="M699" s="21">
        <v>200890.2306538088</v>
      </c>
      <c r="N699" s="42">
        <v>48.827869309152732</v>
      </c>
      <c r="O699" s="43">
        <v>18045.067717420021</v>
      </c>
    </row>
    <row r="700" spans="12:15" x14ac:dyDescent="0.2">
      <c r="L700" s="4">
        <v>694</v>
      </c>
      <c r="M700" s="21">
        <v>-173315.30620138018</v>
      </c>
      <c r="N700" s="42">
        <v>49.673111851932667</v>
      </c>
      <c r="O700" s="43">
        <v>13688.508178545319</v>
      </c>
    </row>
    <row r="701" spans="12:15" x14ac:dyDescent="0.2">
      <c r="L701" s="4">
        <v>695</v>
      </c>
      <c r="M701" s="21">
        <v>-68534.133596197513</v>
      </c>
      <c r="N701" s="42">
        <v>47.125641172274833</v>
      </c>
      <c r="O701" s="43">
        <v>19053.674011747458</v>
      </c>
    </row>
    <row r="702" spans="12:15" x14ac:dyDescent="0.2">
      <c r="L702" s="4">
        <v>696</v>
      </c>
      <c r="M702" s="21">
        <v>34187.098901463323</v>
      </c>
      <c r="N702" s="42">
        <v>51.862921763860065</v>
      </c>
      <c r="O702" s="43">
        <v>13719.492543077909</v>
      </c>
    </row>
    <row r="703" spans="12:15" x14ac:dyDescent="0.2">
      <c r="L703" s="4">
        <v>697</v>
      </c>
      <c r="M703" s="21">
        <v>-87632.824704250772</v>
      </c>
      <c r="N703" s="42">
        <v>50.45555987295679</v>
      </c>
      <c r="O703" s="43">
        <v>14363.109484305569</v>
      </c>
    </row>
    <row r="704" spans="12:15" x14ac:dyDescent="0.2">
      <c r="L704" s="4">
        <v>698</v>
      </c>
      <c r="M704" s="21">
        <v>-72879.99617103413</v>
      </c>
      <c r="N704" s="42">
        <v>48.086302465728274</v>
      </c>
      <c r="O704" s="43">
        <v>15623.251979967359</v>
      </c>
    </row>
    <row r="705" spans="12:15" x14ac:dyDescent="0.2">
      <c r="L705" s="4">
        <v>699</v>
      </c>
      <c r="M705" s="21">
        <v>38308.42171512291</v>
      </c>
      <c r="N705" s="42">
        <v>49.705625785232066</v>
      </c>
      <c r="O705" s="43">
        <v>15237.41637219945</v>
      </c>
    </row>
    <row r="706" spans="12:15" x14ac:dyDescent="0.2">
      <c r="L706" s="4">
        <v>700</v>
      </c>
      <c r="M706" s="21">
        <v>114179.61926645387</v>
      </c>
      <c r="N706" s="42">
        <v>49.028873562754846</v>
      </c>
      <c r="O706" s="43">
        <v>16961.920929454129</v>
      </c>
    </row>
    <row r="707" spans="12:15" x14ac:dyDescent="0.2">
      <c r="L707" s="4">
        <v>701</v>
      </c>
      <c r="M707" s="21">
        <v>-110761.66218205879</v>
      </c>
      <c r="N707" s="42">
        <v>48.531720474098691</v>
      </c>
      <c r="O707" s="43">
        <v>12972.260767663731</v>
      </c>
    </row>
    <row r="708" spans="12:15" x14ac:dyDescent="0.2">
      <c r="L708" s="4">
        <v>702</v>
      </c>
      <c r="M708" s="21">
        <v>-82666.396980861799</v>
      </c>
      <c r="N708" s="42">
        <v>48.897420810985082</v>
      </c>
      <c r="O708" s="43">
        <v>14136.608922960222</v>
      </c>
    </row>
    <row r="709" spans="12:15" x14ac:dyDescent="0.2">
      <c r="L709" s="4">
        <v>703</v>
      </c>
      <c r="M709" s="21">
        <v>39229.937341650046</v>
      </c>
      <c r="N709" s="42">
        <v>50.012151969491647</v>
      </c>
      <c r="O709" s="43">
        <v>15712.593478038538</v>
      </c>
    </row>
    <row r="710" spans="12:15" x14ac:dyDescent="0.2">
      <c r="L710" s="4">
        <v>704</v>
      </c>
      <c r="M710" s="21">
        <v>-131048.3747005031</v>
      </c>
      <c r="N710" s="42">
        <v>47.583688492602093</v>
      </c>
      <c r="O710" s="43">
        <v>15723.969016145737</v>
      </c>
    </row>
    <row r="711" spans="12:15" x14ac:dyDescent="0.2">
      <c r="L711" s="4">
        <v>705</v>
      </c>
      <c r="M711" s="21">
        <v>130093.34891049817</v>
      </c>
      <c r="N711" s="42">
        <v>49.438428646207356</v>
      </c>
      <c r="O711" s="43">
        <v>15526.46560743237</v>
      </c>
    </row>
    <row r="712" spans="12:15" x14ac:dyDescent="0.2">
      <c r="L712" s="4">
        <v>706</v>
      </c>
      <c r="M712" s="21">
        <v>-45601.524999348359</v>
      </c>
      <c r="N712" s="42">
        <v>50.609511255597987</v>
      </c>
      <c r="O712" s="43">
        <v>15088.379551102067</v>
      </c>
    </row>
    <row r="713" spans="12:15" x14ac:dyDescent="0.2">
      <c r="L713" s="4">
        <v>707</v>
      </c>
      <c r="M713" s="21">
        <v>82918.102999390074</v>
      </c>
      <c r="N713" s="42">
        <v>50.912046322351259</v>
      </c>
      <c r="O713" s="43">
        <v>13944.852102407202</v>
      </c>
    </row>
    <row r="714" spans="12:15" x14ac:dyDescent="0.2">
      <c r="L714" s="4">
        <v>708</v>
      </c>
      <c r="M714" s="21">
        <v>-21879.343600078588</v>
      </c>
      <c r="N714" s="42">
        <v>49.641187354280419</v>
      </c>
      <c r="O714" s="43">
        <v>14154.105160496352</v>
      </c>
    </row>
    <row r="715" spans="12:15" x14ac:dyDescent="0.2">
      <c r="L715" s="4">
        <v>709</v>
      </c>
      <c r="M715" s="21">
        <v>-236469.54405315168</v>
      </c>
      <c r="N715" s="42">
        <v>47.671473447189456</v>
      </c>
      <c r="O715" s="43">
        <v>14520.333043256915</v>
      </c>
    </row>
    <row r="716" spans="12:15" x14ac:dyDescent="0.2">
      <c r="L716" s="4">
        <v>710</v>
      </c>
      <c r="M716" s="21">
        <v>128766.69490520249</v>
      </c>
      <c r="N716" s="42">
        <v>50.315627639302299</v>
      </c>
      <c r="O716" s="43">
        <v>15935.823554859055</v>
      </c>
    </row>
    <row r="717" spans="12:15" x14ac:dyDescent="0.2">
      <c r="L717" s="4">
        <v>711</v>
      </c>
      <c r="M717" s="21">
        <v>-6288.123064307496</v>
      </c>
      <c r="N717" s="42">
        <v>49.787201893121548</v>
      </c>
      <c r="O717" s="43">
        <v>13199.708948796488</v>
      </c>
    </row>
    <row r="718" spans="12:15" x14ac:dyDescent="0.2">
      <c r="L718" s="4">
        <v>712</v>
      </c>
      <c r="M718" s="21">
        <v>154113.46591780288</v>
      </c>
      <c r="N718" s="42">
        <v>50.041487320299623</v>
      </c>
      <c r="O718" s="43">
        <v>15685.323072901576</v>
      </c>
    </row>
    <row r="719" spans="12:15" x14ac:dyDescent="0.2">
      <c r="L719" s="4">
        <v>713</v>
      </c>
      <c r="M719" s="21">
        <v>19019.641314459906</v>
      </c>
      <c r="N719" s="42">
        <v>46.583854363072774</v>
      </c>
      <c r="O719" s="43">
        <v>17557.847038581356</v>
      </c>
    </row>
    <row r="720" spans="12:15" x14ac:dyDescent="0.2">
      <c r="L720" s="4">
        <v>714</v>
      </c>
      <c r="M720" s="21">
        <v>57022.098566624394</v>
      </c>
      <c r="N720" s="42">
        <v>49.832337668268835</v>
      </c>
      <c r="O720" s="43">
        <v>15880.940352904137</v>
      </c>
    </row>
    <row r="721" spans="12:15" x14ac:dyDescent="0.2">
      <c r="L721" s="4">
        <v>715</v>
      </c>
      <c r="M721" s="21">
        <v>-263836.38460636977</v>
      </c>
      <c r="N721" s="42">
        <v>49.022921638777369</v>
      </c>
      <c r="O721" s="43">
        <v>13506.643362948158</v>
      </c>
    </row>
    <row r="722" spans="12:15" x14ac:dyDescent="0.2">
      <c r="L722" s="4">
        <v>716</v>
      </c>
      <c r="M722" s="21">
        <v>-27077.99848031727</v>
      </c>
      <c r="N722" s="42">
        <v>50.42576674492652</v>
      </c>
      <c r="O722" s="43">
        <v>14354.238688991345</v>
      </c>
    </row>
    <row r="723" spans="12:15" x14ac:dyDescent="0.2">
      <c r="L723" s="4">
        <v>717</v>
      </c>
      <c r="M723" s="21">
        <v>-137891.37647017394</v>
      </c>
      <c r="N723" s="42">
        <v>50.6174301962428</v>
      </c>
      <c r="O723" s="43">
        <v>13455.88899997551</v>
      </c>
    </row>
    <row r="724" spans="12:15" x14ac:dyDescent="0.2">
      <c r="L724" s="4">
        <v>718</v>
      </c>
      <c r="M724" s="21">
        <v>-41735.794634860431</v>
      </c>
      <c r="N724" s="42">
        <v>50.5449998871837</v>
      </c>
      <c r="O724" s="43">
        <v>12738.923700256571</v>
      </c>
    </row>
    <row r="725" spans="12:15" x14ac:dyDescent="0.2">
      <c r="L725" s="4">
        <v>719</v>
      </c>
      <c r="M725" s="21">
        <v>-111678.8761281912</v>
      </c>
      <c r="N725" s="42">
        <v>49.621524776400108</v>
      </c>
      <c r="O725" s="43">
        <v>13990.906277185368</v>
      </c>
    </row>
    <row r="726" spans="12:15" x14ac:dyDescent="0.2">
      <c r="L726" s="4">
        <v>720</v>
      </c>
      <c r="M726" s="21">
        <v>-105218.84789819474</v>
      </c>
      <c r="N726" s="42">
        <v>48.664269361754272</v>
      </c>
      <c r="O726" s="43">
        <v>15808.370034403002</v>
      </c>
    </row>
    <row r="727" spans="12:15" x14ac:dyDescent="0.2">
      <c r="L727" s="4">
        <v>721</v>
      </c>
      <c r="M727" s="21">
        <v>42801.928148128412</v>
      </c>
      <c r="N727" s="42">
        <v>49.89289168066982</v>
      </c>
      <c r="O727" s="43">
        <v>14649.005825555176</v>
      </c>
    </row>
    <row r="728" spans="12:15" x14ac:dyDescent="0.2">
      <c r="L728" s="4">
        <v>722</v>
      </c>
      <c r="M728" s="21">
        <v>-263086.45989781077</v>
      </c>
      <c r="N728" s="42">
        <v>50.040559396022509</v>
      </c>
      <c r="O728" s="43">
        <v>12118.240327857118</v>
      </c>
    </row>
    <row r="729" spans="12:15" x14ac:dyDescent="0.2">
      <c r="L729" s="4">
        <v>723</v>
      </c>
      <c r="M729" s="21">
        <v>-37720.08067371379</v>
      </c>
      <c r="N729" s="42">
        <v>50.1619627926801</v>
      </c>
      <c r="O729" s="43">
        <v>13951.79498295407</v>
      </c>
    </row>
    <row r="730" spans="12:15" x14ac:dyDescent="0.2">
      <c r="L730" s="4">
        <v>724</v>
      </c>
      <c r="M730" s="21">
        <v>96252.607316897629</v>
      </c>
      <c r="N730" s="42">
        <v>51.239962710550884</v>
      </c>
      <c r="O730" s="43">
        <v>15125.500365244323</v>
      </c>
    </row>
    <row r="731" spans="12:15" x14ac:dyDescent="0.2">
      <c r="L731" s="4">
        <v>725</v>
      </c>
      <c r="M731" s="21">
        <v>-102765.0310885692</v>
      </c>
      <c r="N731" s="42">
        <v>45.781724963858046</v>
      </c>
      <c r="O731" s="43">
        <v>19082.504278907771</v>
      </c>
    </row>
    <row r="732" spans="12:15" x14ac:dyDescent="0.2">
      <c r="L732" s="4">
        <v>726</v>
      </c>
      <c r="M732" s="21">
        <v>-1596.2735473445355</v>
      </c>
      <c r="N732" s="42">
        <v>50.148639350273356</v>
      </c>
      <c r="O732" s="43">
        <v>14896.798102288563</v>
      </c>
    </row>
    <row r="733" spans="12:15" x14ac:dyDescent="0.2">
      <c r="L733" s="4">
        <v>727</v>
      </c>
      <c r="M733" s="21">
        <v>148788.10167695631</v>
      </c>
      <c r="N733" s="42">
        <v>51.294230244037394</v>
      </c>
      <c r="O733" s="43">
        <v>15437.922650613478</v>
      </c>
    </row>
    <row r="734" spans="12:15" x14ac:dyDescent="0.2">
      <c r="L734" s="4">
        <v>728</v>
      </c>
      <c r="M734" s="21">
        <v>-77907.71797669676</v>
      </c>
      <c r="N734" s="42">
        <v>45.491241630041699</v>
      </c>
      <c r="O734" s="43">
        <v>20523.006824128086</v>
      </c>
    </row>
    <row r="735" spans="12:15" x14ac:dyDescent="0.2">
      <c r="L735" s="4">
        <v>729</v>
      </c>
      <c r="M735" s="21">
        <v>-60062.388678410847</v>
      </c>
      <c r="N735" s="42">
        <v>50.172314757484394</v>
      </c>
      <c r="O735" s="43">
        <v>14401.029341063271</v>
      </c>
    </row>
    <row r="736" spans="12:15" x14ac:dyDescent="0.2">
      <c r="L736" s="4">
        <v>730</v>
      </c>
      <c r="M736" s="21">
        <v>-51535.202370287952</v>
      </c>
      <c r="N736" s="42">
        <v>47.996048548966854</v>
      </c>
      <c r="O736" s="43">
        <v>16536.112285056413</v>
      </c>
    </row>
    <row r="737" spans="12:15" x14ac:dyDescent="0.2">
      <c r="L737" s="4">
        <v>731</v>
      </c>
      <c r="M737" s="21">
        <v>-79286.318651175039</v>
      </c>
      <c r="N737" s="42">
        <v>48.396343044373509</v>
      </c>
      <c r="O737" s="43">
        <v>15802.653914448245</v>
      </c>
    </row>
    <row r="738" spans="12:15" x14ac:dyDescent="0.2">
      <c r="L738" s="4">
        <v>732</v>
      </c>
      <c r="M738" s="21">
        <v>32052.301166908117</v>
      </c>
      <c r="N738" s="42">
        <v>49.676808127682698</v>
      </c>
      <c r="O738" s="43">
        <v>13952.150141537655</v>
      </c>
    </row>
    <row r="739" spans="12:15" x14ac:dyDescent="0.2">
      <c r="L739" s="4">
        <v>733</v>
      </c>
      <c r="M739" s="21">
        <v>-93520.164503967972</v>
      </c>
      <c r="N739" s="42">
        <v>49.268611650182351</v>
      </c>
      <c r="O739" s="43">
        <v>16437.672229361247</v>
      </c>
    </row>
    <row r="740" spans="12:15" x14ac:dyDescent="0.2">
      <c r="L740" s="4">
        <v>734</v>
      </c>
      <c r="M740" s="21">
        <v>12481.436141442391</v>
      </c>
      <c r="N740" s="42">
        <v>48.169584209763812</v>
      </c>
      <c r="O740" s="43">
        <v>16417.949472531964</v>
      </c>
    </row>
    <row r="741" spans="12:15" x14ac:dyDescent="0.2">
      <c r="L741" s="4">
        <v>735</v>
      </c>
      <c r="M741" s="21">
        <v>-189369.71261689079</v>
      </c>
      <c r="N741" s="42">
        <v>48.007050914803266</v>
      </c>
      <c r="O741" s="43">
        <v>15190.416701950751</v>
      </c>
    </row>
    <row r="742" spans="12:15" x14ac:dyDescent="0.2">
      <c r="L742" s="4">
        <v>736</v>
      </c>
      <c r="M742" s="21">
        <v>21814.643750395393</v>
      </c>
      <c r="N742" s="42">
        <v>48.924837041330505</v>
      </c>
      <c r="O742" s="43">
        <v>14903.804574323178</v>
      </c>
    </row>
    <row r="743" spans="12:15" x14ac:dyDescent="0.2">
      <c r="L743" s="4">
        <v>737</v>
      </c>
      <c r="M743" s="21">
        <v>-64835.629301576177</v>
      </c>
      <c r="N743" s="42">
        <v>50.713231925415158</v>
      </c>
      <c r="O743" s="43">
        <v>14023.447471093308</v>
      </c>
    </row>
    <row r="744" spans="12:15" x14ac:dyDescent="0.2">
      <c r="L744" s="4">
        <v>738</v>
      </c>
      <c r="M744" s="21">
        <v>-32498.172013718955</v>
      </c>
      <c r="N744" s="42">
        <v>50.212786265631948</v>
      </c>
      <c r="O744" s="43">
        <v>14096.856047221516</v>
      </c>
    </row>
    <row r="745" spans="12:15" x14ac:dyDescent="0.2">
      <c r="L745" s="4">
        <v>739</v>
      </c>
      <c r="M745" s="21">
        <v>147166.4359479557</v>
      </c>
      <c r="N745" s="42">
        <v>49.488711649310915</v>
      </c>
      <c r="O745" s="43">
        <v>16486.206588114044</v>
      </c>
    </row>
    <row r="746" spans="12:15" x14ac:dyDescent="0.2">
      <c r="L746" s="4">
        <v>740</v>
      </c>
      <c r="M746" s="21">
        <v>57146.651209268108</v>
      </c>
      <c r="N746" s="42">
        <v>48.225933159198682</v>
      </c>
      <c r="O746" s="43">
        <v>14911.49670357896</v>
      </c>
    </row>
    <row r="747" spans="12:15" x14ac:dyDescent="0.2">
      <c r="L747" s="4">
        <v>741</v>
      </c>
      <c r="M747" s="21">
        <v>-116040.0751604188</v>
      </c>
      <c r="N747" s="42">
        <v>48.099261468510441</v>
      </c>
      <c r="O747" s="43">
        <v>16292.864077244874</v>
      </c>
    </row>
    <row r="748" spans="12:15" x14ac:dyDescent="0.2">
      <c r="L748" s="4">
        <v>742</v>
      </c>
      <c r="M748" s="21">
        <v>-64475.166874039889</v>
      </c>
      <c r="N748" s="42">
        <v>47.799980451542964</v>
      </c>
      <c r="O748" s="43">
        <v>16860.659629156249</v>
      </c>
    </row>
    <row r="749" spans="12:15" x14ac:dyDescent="0.2">
      <c r="L749" s="4">
        <v>743</v>
      </c>
      <c r="M749" s="21">
        <v>-19176.788386116474</v>
      </c>
      <c r="N749" s="42">
        <v>51.063791386158755</v>
      </c>
      <c r="O749" s="43">
        <v>12981.463754434622</v>
      </c>
    </row>
    <row r="750" spans="12:15" x14ac:dyDescent="0.2">
      <c r="L750" s="4">
        <v>744</v>
      </c>
      <c r="M750" s="21">
        <v>-174431.62629654526</v>
      </c>
      <c r="N750" s="42">
        <v>46.612458104809711</v>
      </c>
      <c r="O750" s="43">
        <v>15502.629467737193</v>
      </c>
    </row>
    <row r="751" spans="12:15" x14ac:dyDescent="0.2">
      <c r="L751" s="4">
        <v>745</v>
      </c>
      <c r="M751" s="21">
        <v>-164749.68545157573</v>
      </c>
      <c r="N751" s="42">
        <v>49.880083664513791</v>
      </c>
      <c r="O751" s="43">
        <v>12853.064583403215</v>
      </c>
    </row>
    <row r="752" spans="12:15" x14ac:dyDescent="0.2">
      <c r="L752" s="4">
        <v>746</v>
      </c>
      <c r="M752" s="21">
        <v>-26999.036808008474</v>
      </c>
      <c r="N752" s="42">
        <v>47.049842828777294</v>
      </c>
      <c r="O752" s="43">
        <v>15872.028638824549</v>
      </c>
    </row>
    <row r="753" spans="12:15" x14ac:dyDescent="0.2">
      <c r="L753" s="4">
        <v>747</v>
      </c>
      <c r="M753" s="21">
        <v>160451.87131102447</v>
      </c>
      <c r="N753" s="42">
        <v>48.999171923987923</v>
      </c>
      <c r="O753" s="43">
        <v>18431.72210176905</v>
      </c>
    </row>
    <row r="754" spans="12:15" x14ac:dyDescent="0.2">
      <c r="L754" s="4">
        <v>748</v>
      </c>
      <c r="M754" s="21">
        <v>-175867.20260377042</v>
      </c>
      <c r="N754" s="42">
        <v>47.268261094805865</v>
      </c>
      <c r="O754" s="43">
        <v>14227.807818069563</v>
      </c>
    </row>
    <row r="755" spans="12:15" x14ac:dyDescent="0.2">
      <c r="L755" s="4">
        <v>749</v>
      </c>
      <c r="M755" s="21">
        <v>-36337.809601017245</v>
      </c>
      <c r="N755" s="42">
        <v>49.541111876246603</v>
      </c>
      <c r="O755" s="43">
        <v>15421.375733497174</v>
      </c>
    </row>
    <row r="756" spans="12:15" x14ac:dyDescent="0.2">
      <c r="L756" s="4">
        <v>750</v>
      </c>
      <c r="M756" s="21">
        <v>-122986.40651648276</v>
      </c>
      <c r="N756" s="42">
        <v>48.431960821421498</v>
      </c>
      <c r="O756" s="43">
        <v>13911.018816458689</v>
      </c>
    </row>
    <row r="757" spans="12:15" x14ac:dyDescent="0.2">
      <c r="L757" s="4">
        <v>751</v>
      </c>
      <c r="M757" s="21">
        <v>-54605.466940461178</v>
      </c>
      <c r="N757" s="42">
        <v>47.041177449995288</v>
      </c>
      <c r="O757" s="43">
        <v>17354.589861114619</v>
      </c>
    </row>
    <row r="758" spans="12:15" x14ac:dyDescent="0.2">
      <c r="L758" s="4">
        <v>752</v>
      </c>
      <c r="M758" s="21">
        <v>-9195.574238050147</v>
      </c>
      <c r="N758" s="42">
        <v>51.688556071377825</v>
      </c>
      <c r="O758" s="43">
        <v>13301.284838128882</v>
      </c>
    </row>
    <row r="759" spans="12:15" x14ac:dyDescent="0.2">
      <c r="L759" s="4">
        <v>753</v>
      </c>
      <c r="M759" s="21">
        <v>-27989.277241355187</v>
      </c>
      <c r="N759" s="42">
        <v>51.621057161472685</v>
      </c>
      <c r="O759" s="43">
        <v>12180.731260732136</v>
      </c>
    </row>
    <row r="760" spans="12:15" x14ac:dyDescent="0.2">
      <c r="L760" s="4">
        <v>754</v>
      </c>
      <c r="M760" s="21">
        <v>-268161.65409736329</v>
      </c>
      <c r="N760" s="42">
        <v>46.8202050258732</v>
      </c>
      <c r="O760" s="43">
        <v>13955.348965376346</v>
      </c>
    </row>
    <row r="761" spans="12:15" x14ac:dyDescent="0.2">
      <c r="L761" s="4">
        <v>755</v>
      </c>
      <c r="M761" s="21">
        <v>305447.46780855395</v>
      </c>
      <c r="N761" s="42">
        <v>50.933246834278201</v>
      </c>
      <c r="O761" s="43">
        <v>15747.915537976336</v>
      </c>
    </row>
    <row r="762" spans="12:15" x14ac:dyDescent="0.2">
      <c r="L762" s="4">
        <v>756</v>
      </c>
      <c r="M762" s="21">
        <v>27034.386711324885</v>
      </c>
      <c r="N762" s="42">
        <v>49.485426040471829</v>
      </c>
      <c r="O762" s="43">
        <v>16643.48809383986</v>
      </c>
    </row>
    <row r="763" spans="12:15" x14ac:dyDescent="0.2">
      <c r="L763" s="4">
        <v>757</v>
      </c>
      <c r="M763" s="21">
        <v>138930.15361277887</v>
      </c>
      <c r="N763" s="42">
        <v>50.492811562913566</v>
      </c>
      <c r="O763" s="43">
        <v>13999.461398371583</v>
      </c>
    </row>
    <row r="764" spans="12:15" x14ac:dyDescent="0.2">
      <c r="L764" s="4">
        <v>758</v>
      </c>
      <c r="M764" s="21">
        <v>-89155.932202133015</v>
      </c>
      <c r="N764" s="42">
        <v>50.902114827751177</v>
      </c>
      <c r="O764" s="43">
        <v>14058.425387825226</v>
      </c>
    </row>
    <row r="765" spans="12:15" x14ac:dyDescent="0.2">
      <c r="L765" s="4">
        <v>759</v>
      </c>
      <c r="M765" s="21">
        <v>-115817.02134389324</v>
      </c>
      <c r="N765" s="42">
        <v>46.330599646655237</v>
      </c>
      <c r="O765" s="43">
        <v>18207.222378898798</v>
      </c>
    </row>
    <row r="766" spans="12:15" x14ac:dyDescent="0.2">
      <c r="L766" s="4">
        <v>760</v>
      </c>
      <c r="M766" s="21">
        <v>74944.450612358167</v>
      </c>
      <c r="N766" s="42">
        <v>50.858659883113809</v>
      </c>
      <c r="O766" s="43">
        <v>16845.091548158056</v>
      </c>
    </row>
    <row r="767" spans="12:15" x14ac:dyDescent="0.2">
      <c r="L767" s="4">
        <v>761</v>
      </c>
      <c r="M767" s="21">
        <v>-111212.89508410422</v>
      </c>
      <c r="N767" s="42">
        <v>48.167151130508024</v>
      </c>
      <c r="O767" s="43">
        <v>14349.899767575414</v>
      </c>
    </row>
    <row r="768" spans="12:15" x14ac:dyDescent="0.2">
      <c r="L768" s="4">
        <v>762</v>
      </c>
      <c r="M768" s="21">
        <v>5411.8804794547032</v>
      </c>
      <c r="N768" s="42">
        <v>50.090548161938983</v>
      </c>
      <c r="O768" s="43">
        <v>16206.740274835873</v>
      </c>
    </row>
    <row r="769" spans="12:15" x14ac:dyDescent="0.2">
      <c r="L769" s="4">
        <v>763</v>
      </c>
      <c r="M769" s="21">
        <v>-39278.459690361269</v>
      </c>
      <c r="N769" s="42">
        <v>49.802462906418278</v>
      </c>
      <c r="O769" s="43">
        <v>15143.684116447082</v>
      </c>
    </row>
    <row r="770" spans="12:15" x14ac:dyDescent="0.2">
      <c r="L770" s="4">
        <v>764</v>
      </c>
      <c r="M770" s="21">
        <v>-130651.32577817496</v>
      </c>
      <c r="N770" s="42">
        <v>48.944331601468825</v>
      </c>
      <c r="O770" s="43">
        <v>14580.51876694993</v>
      </c>
    </row>
    <row r="771" spans="12:15" x14ac:dyDescent="0.2">
      <c r="L771" s="4">
        <v>765</v>
      </c>
      <c r="M771" s="21">
        <v>-119763.38005001366</v>
      </c>
      <c r="N771" s="42">
        <v>48.128996772169714</v>
      </c>
      <c r="O771" s="43">
        <v>13986.018281201134</v>
      </c>
    </row>
    <row r="772" spans="12:15" x14ac:dyDescent="0.2">
      <c r="L772" s="4">
        <v>766</v>
      </c>
      <c r="M772" s="21">
        <v>-245997.73122276607</v>
      </c>
      <c r="N772" s="42">
        <v>48.590248250657496</v>
      </c>
      <c r="O772" s="43">
        <v>14765.835223506559</v>
      </c>
    </row>
    <row r="773" spans="12:15" x14ac:dyDescent="0.2">
      <c r="L773" s="4">
        <v>767</v>
      </c>
      <c r="M773" s="21">
        <v>224.67464943931554</v>
      </c>
      <c r="N773" s="42">
        <v>48.76858822275824</v>
      </c>
      <c r="O773" s="43">
        <v>15893.624466866886</v>
      </c>
    </row>
    <row r="774" spans="12:15" x14ac:dyDescent="0.2">
      <c r="L774" s="4">
        <v>768</v>
      </c>
      <c r="M774" s="21">
        <v>-130922.41353188737</v>
      </c>
      <c r="N774" s="42">
        <v>47.627765470024919</v>
      </c>
      <c r="O774" s="43">
        <v>18323.190053330705</v>
      </c>
    </row>
    <row r="775" spans="12:15" x14ac:dyDescent="0.2">
      <c r="L775" s="4">
        <v>769</v>
      </c>
      <c r="M775" s="21">
        <v>110228.25559544764</v>
      </c>
      <c r="N775" s="42">
        <v>50.216793569095536</v>
      </c>
      <c r="O775" s="43">
        <v>16268.154281973992</v>
      </c>
    </row>
    <row r="776" spans="12:15" x14ac:dyDescent="0.2">
      <c r="L776" s="4">
        <v>770</v>
      </c>
      <c r="M776" s="21">
        <v>-150208.27713585668</v>
      </c>
      <c r="N776" s="42">
        <v>45.806430054501675</v>
      </c>
      <c r="O776" s="43">
        <v>17262.521725460341</v>
      </c>
    </row>
    <row r="777" spans="12:15" x14ac:dyDescent="0.2">
      <c r="L777" s="4">
        <v>771</v>
      </c>
      <c r="M777" s="21">
        <v>11147.787333052838</v>
      </c>
      <c r="N777" s="42">
        <v>46.276964233109247</v>
      </c>
      <c r="O777" s="43">
        <v>17916.313285690838</v>
      </c>
    </row>
    <row r="778" spans="12:15" x14ac:dyDescent="0.2">
      <c r="L778" s="4">
        <v>772</v>
      </c>
      <c r="M778" s="21">
        <v>-35290.43143575202</v>
      </c>
      <c r="N778" s="42">
        <v>51.154045211485297</v>
      </c>
      <c r="O778" s="43">
        <v>13941.788659052891</v>
      </c>
    </row>
    <row r="779" spans="12:15" x14ac:dyDescent="0.2">
      <c r="L779" s="4">
        <v>773</v>
      </c>
      <c r="M779" s="21">
        <v>-42223.432738764517</v>
      </c>
      <c r="N779" s="42">
        <v>49.997198761364075</v>
      </c>
      <c r="O779" s="43">
        <v>14398.079848579553</v>
      </c>
    </row>
    <row r="780" spans="12:15" x14ac:dyDescent="0.2">
      <c r="L780" s="4">
        <v>774</v>
      </c>
      <c r="M780" s="21">
        <v>-70316.356049441631</v>
      </c>
      <c r="N780" s="42">
        <v>47.783887796897787</v>
      </c>
      <c r="O780" s="43">
        <v>14874.611439787996</v>
      </c>
    </row>
    <row r="781" spans="12:15" x14ac:dyDescent="0.2">
      <c r="L781" s="4">
        <v>775</v>
      </c>
      <c r="M781" s="21">
        <v>-143034.77194327931</v>
      </c>
      <c r="N781" s="42">
        <v>46.868794358183465</v>
      </c>
      <c r="O781" s="43">
        <v>14387.81442341016</v>
      </c>
    </row>
    <row r="782" spans="12:15" x14ac:dyDescent="0.2">
      <c r="L782" s="4">
        <v>776</v>
      </c>
      <c r="M782" s="21">
        <v>-120435.30786040932</v>
      </c>
      <c r="N782" s="42">
        <v>48.845922990721633</v>
      </c>
      <c r="O782" s="43">
        <v>13803.065571788331</v>
      </c>
    </row>
    <row r="783" spans="12:15" x14ac:dyDescent="0.2">
      <c r="L783" s="4">
        <v>777</v>
      </c>
      <c r="M783" s="21">
        <v>-189472.46458755748</v>
      </c>
      <c r="N783" s="42">
        <v>48.472780325733098</v>
      </c>
      <c r="O783" s="43">
        <v>12586.033577384133</v>
      </c>
    </row>
    <row r="784" spans="12:15" x14ac:dyDescent="0.2">
      <c r="L784" s="4">
        <v>778</v>
      </c>
      <c r="M784" s="21">
        <v>90092.277508447587</v>
      </c>
      <c r="N784" s="42">
        <v>48.967605057972108</v>
      </c>
      <c r="O784" s="43">
        <v>15600.747006539432</v>
      </c>
    </row>
    <row r="785" spans="12:15" x14ac:dyDescent="0.2">
      <c r="L785" s="4">
        <v>779</v>
      </c>
      <c r="M785" s="21">
        <v>-43319.996767852528</v>
      </c>
      <c r="N785" s="42">
        <v>47.822199543436334</v>
      </c>
      <c r="O785" s="43">
        <v>17498.772460860593</v>
      </c>
    </row>
    <row r="786" spans="12:15" x14ac:dyDescent="0.2">
      <c r="L786" s="4">
        <v>780</v>
      </c>
      <c r="M786" s="21">
        <v>-11800.655789289827</v>
      </c>
      <c r="N786" s="42">
        <v>50.111283045421494</v>
      </c>
      <c r="O786" s="43">
        <v>14662.507075838264</v>
      </c>
    </row>
    <row r="787" spans="12:15" x14ac:dyDescent="0.2">
      <c r="L787" s="4">
        <v>781</v>
      </c>
      <c r="M787" s="21">
        <v>-8079.066426223013</v>
      </c>
      <c r="N787" s="42">
        <v>51.695465342317668</v>
      </c>
      <c r="O787" s="43">
        <v>12825.713874334795</v>
      </c>
    </row>
    <row r="788" spans="12:15" x14ac:dyDescent="0.2">
      <c r="L788" s="4">
        <v>782</v>
      </c>
      <c r="M788" s="21">
        <v>32113.48056487646</v>
      </c>
      <c r="N788" s="42">
        <v>50.152022240716668</v>
      </c>
      <c r="O788" s="43">
        <v>13795.906886209686</v>
      </c>
    </row>
    <row r="789" spans="12:15" x14ac:dyDescent="0.2">
      <c r="L789" s="4">
        <v>783</v>
      </c>
      <c r="M789" s="21">
        <v>145667.07546725555</v>
      </c>
      <c r="N789" s="42">
        <v>50.625406122301698</v>
      </c>
      <c r="O789" s="43">
        <v>15641.144053603013</v>
      </c>
    </row>
    <row r="790" spans="12:15" x14ac:dyDescent="0.2">
      <c r="L790" s="4">
        <v>784</v>
      </c>
      <c r="M790" s="21">
        <v>90765.563804671372</v>
      </c>
      <c r="N790" s="42">
        <v>49.654291202581355</v>
      </c>
      <c r="O790" s="43">
        <v>16075.4609998817</v>
      </c>
    </row>
    <row r="791" spans="12:15" x14ac:dyDescent="0.2">
      <c r="L791" s="4">
        <v>785</v>
      </c>
      <c r="M791" s="21">
        <v>66292.292811062711</v>
      </c>
      <c r="N791" s="42">
        <v>48.986574694924492</v>
      </c>
      <c r="O791" s="43">
        <v>15136.95975337458</v>
      </c>
    </row>
    <row r="792" spans="12:15" x14ac:dyDescent="0.2">
      <c r="L792" s="4">
        <v>786</v>
      </c>
      <c r="M792" s="21">
        <v>578.20203590363963</v>
      </c>
      <c r="N792" s="42">
        <v>49.240895826723538</v>
      </c>
      <c r="O792" s="43">
        <v>15752.223420632072</v>
      </c>
    </row>
    <row r="793" spans="12:15" x14ac:dyDescent="0.2">
      <c r="L793" s="4">
        <v>787</v>
      </c>
      <c r="M793" s="21">
        <v>15898.282153773005</v>
      </c>
      <c r="N793" s="42">
        <v>50.857188585718717</v>
      </c>
      <c r="O793" s="43">
        <v>15486.241359177022</v>
      </c>
    </row>
    <row r="794" spans="12:15" x14ac:dyDescent="0.2">
      <c r="L794" s="4">
        <v>788</v>
      </c>
      <c r="M794" s="21">
        <v>113332.7555837929</v>
      </c>
      <c r="N794" s="42">
        <v>48.875716145800681</v>
      </c>
      <c r="O794" s="43">
        <v>16952.143926232988</v>
      </c>
    </row>
    <row r="795" spans="12:15" x14ac:dyDescent="0.2">
      <c r="L795" s="4">
        <v>789</v>
      </c>
      <c r="M795" s="21">
        <v>-232567.22013475106</v>
      </c>
      <c r="N795" s="42">
        <v>50.636040931127972</v>
      </c>
      <c r="O795" s="43">
        <v>12426.699524765383</v>
      </c>
    </row>
    <row r="796" spans="12:15" x14ac:dyDescent="0.2">
      <c r="L796" s="4">
        <v>790</v>
      </c>
      <c r="M796" s="21">
        <v>36743.192721100349</v>
      </c>
      <c r="N796" s="42">
        <v>46.086738991943655</v>
      </c>
      <c r="O796" s="43">
        <v>16564.909668571505</v>
      </c>
    </row>
    <row r="797" spans="12:15" x14ac:dyDescent="0.2">
      <c r="L797" s="4">
        <v>791</v>
      </c>
      <c r="M797" s="21">
        <v>-68635.072364493026</v>
      </c>
      <c r="N797" s="42">
        <v>48.776861597930122</v>
      </c>
      <c r="O797" s="43">
        <v>14977.917213746679</v>
      </c>
    </row>
    <row r="798" spans="12:15" x14ac:dyDescent="0.2">
      <c r="L798" s="4">
        <v>792</v>
      </c>
      <c r="M798" s="21">
        <v>-207865.42379076924</v>
      </c>
      <c r="N798" s="42">
        <v>47.551360042722955</v>
      </c>
      <c r="O798" s="43">
        <v>12333.2558676113</v>
      </c>
    </row>
    <row r="799" spans="12:15" x14ac:dyDescent="0.2">
      <c r="L799" s="4">
        <v>793</v>
      </c>
      <c r="M799" s="21">
        <v>-92822.760663161287</v>
      </c>
      <c r="N799" s="42">
        <v>49.978258633273633</v>
      </c>
      <c r="O799" s="43">
        <v>13061.970986210599</v>
      </c>
    </row>
    <row r="800" spans="12:15" x14ac:dyDescent="0.2">
      <c r="L800" s="4">
        <v>794</v>
      </c>
      <c r="M800" s="21">
        <v>-76475.03644223568</v>
      </c>
      <c r="N800" s="42">
        <v>51.285023899620128</v>
      </c>
      <c r="O800" s="43">
        <v>13080.266191112843</v>
      </c>
    </row>
    <row r="801" spans="12:15" x14ac:dyDescent="0.2">
      <c r="L801" s="4">
        <v>795</v>
      </c>
      <c r="M801" s="21">
        <v>-21897.114475269656</v>
      </c>
      <c r="N801" s="42">
        <v>49.439886080300546</v>
      </c>
      <c r="O801" s="43">
        <v>14641.65414944521</v>
      </c>
    </row>
    <row r="802" spans="12:15" x14ac:dyDescent="0.2">
      <c r="L802" s="4">
        <v>796</v>
      </c>
      <c r="M802" s="21">
        <v>-54019.674966780804</v>
      </c>
      <c r="N802" s="42">
        <v>48.987642357282354</v>
      </c>
      <c r="O802" s="43">
        <v>14488.483062348861</v>
      </c>
    </row>
    <row r="803" spans="12:15" x14ac:dyDescent="0.2">
      <c r="L803" s="4">
        <v>797</v>
      </c>
      <c r="M803" s="21">
        <v>-58690.119194330007</v>
      </c>
      <c r="N803" s="42">
        <v>50.337535789982731</v>
      </c>
      <c r="O803" s="43">
        <v>13404.303636450957</v>
      </c>
    </row>
    <row r="804" spans="12:15" x14ac:dyDescent="0.2">
      <c r="L804" s="4">
        <v>798</v>
      </c>
      <c r="M804" s="21">
        <v>15326.500621126674</v>
      </c>
      <c r="N804" s="42">
        <v>50.342727123046018</v>
      </c>
      <c r="O804" s="43">
        <v>15302.296973048213</v>
      </c>
    </row>
    <row r="805" spans="12:15" x14ac:dyDescent="0.2">
      <c r="L805" s="4">
        <v>799</v>
      </c>
      <c r="M805" s="21">
        <v>119950.08818900658</v>
      </c>
      <c r="N805" s="42">
        <v>50.23164678628509</v>
      </c>
      <c r="O805" s="43">
        <v>15093.78954675432</v>
      </c>
    </row>
    <row r="806" spans="12:15" x14ac:dyDescent="0.2">
      <c r="L806" s="4">
        <v>800</v>
      </c>
      <c r="M806" s="21">
        <v>66932.607743771223</v>
      </c>
      <c r="N806" s="42">
        <v>49.828517754650399</v>
      </c>
      <c r="O806" s="43">
        <v>16262.514253249359</v>
      </c>
    </row>
    <row r="807" spans="12:15" x14ac:dyDescent="0.2">
      <c r="L807" s="4">
        <v>801</v>
      </c>
      <c r="M807" s="21">
        <v>-5878.4200960670278</v>
      </c>
      <c r="N807" s="42">
        <v>49.898018453209097</v>
      </c>
      <c r="O807" s="43">
        <v>13430.490929711459</v>
      </c>
    </row>
    <row r="808" spans="12:15" x14ac:dyDescent="0.2">
      <c r="L808" s="4">
        <v>802</v>
      </c>
      <c r="M808" s="21">
        <v>52998.020131717552</v>
      </c>
      <c r="N808" s="42">
        <v>51.757832557272422</v>
      </c>
      <c r="O808" s="43">
        <v>13249.564568357444</v>
      </c>
    </row>
    <row r="809" spans="12:15" x14ac:dyDescent="0.2">
      <c r="L809" s="4">
        <v>803</v>
      </c>
      <c r="M809" s="21">
        <v>-26777.099019121888</v>
      </c>
      <c r="N809" s="42">
        <v>51.068946140241927</v>
      </c>
      <c r="O809" s="43">
        <v>12761.028816052298</v>
      </c>
    </row>
    <row r="810" spans="12:15" x14ac:dyDescent="0.2">
      <c r="L810" s="4">
        <v>804</v>
      </c>
      <c r="M810" s="21">
        <v>-44971.305287616662</v>
      </c>
      <c r="N810" s="42">
        <v>51.687354408317859</v>
      </c>
      <c r="O810" s="43">
        <v>13592.033568535357</v>
      </c>
    </row>
    <row r="811" spans="12:15" x14ac:dyDescent="0.2">
      <c r="L811" s="4">
        <v>805</v>
      </c>
      <c r="M811" s="21">
        <v>38180.112179869786</v>
      </c>
      <c r="N811" s="42">
        <v>49.830318128177055</v>
      </c>
      <c r="O811" s="43">
        <v>15198.839057897154</v>
      </c>
    </row>
    <row r="812" spans="12:15" x14ac:dyDescent="0.2">
      <c r="L812" s="4">
        <v>806</v>
      </c>
      <c r="M812" s="21">
        <v>119.54443309054477</v>
      </c>
      <c r="N812" s="42">
        <v>48.952202868585893</v>
      </c>
      <c r="O812" s="43">
        <v>15262.236382607511</v>
      </c>
    </row>
    <row r="813" spans="12:15" x14ac:dyDescent="0.2">
      <c r="L813" s="4">
        <v>807</v>
      </c>
      <c r="M813" s="21">
        <v>-9882.5395335426001</v>
      </c>
      <c r="N813" s="42">
        <v>49.692502680893064</v>
      </c>
      <c r="O813" s="43">
        <v>14283.959154396687</v>
      </c>
    </row>
    <row r="814" spans="12:15" x14ac:dyDescent="0.2">
      <c r="L814" s="4">
        <v>808</v>
      </c>
      <c r="M814" s="21">
        <v>15014.160572474357</v>
      </c>
      <c r="N814" s="42">
        <v>50.996177420453613</v>
      </c>
      <c r="O814" s="43">
        <v>15499.143043430693</v>
      </c>
    </row>
    <row r="815" spans="12:15" x14ac:dyDescent="0.2">
      <c r="L815" s="4">
        <v>809</v>
      </c>
      <c r="M815" s="21">
        <v>101710.63186130518</v>
      </c>
      <c r="N815" s="42">
        <v>51.64723449716984</v>
      </c>
      <c r="O815" s="43">
        <v>14055.640762831948</v>
      </c>
    </row>
    <row r="816" spans="12:15" x14ac:dyDescent="0.2">
      <c r="L816" s="4">
        <v>810</v>
      </c>
      <c r="M816" s="21">
        <v>-33587.693090374771</v>
      </c>
      <c r="N816" s="42">
        <v>51.221958278708684</v>
      </c>
      <c r="O816" s="43">
        <v>13426.795536341375</v>
      </c>
    </row>
    <row r="817" spans="12:15" x14ac:dyDescent="0.2">
      <c r="L817" s="4">
        <v>811</v>
      </c>
      <c r="M817" s="21">
        <v>-193582.9082476481</v>
      </c>
      <c r="N817" s="42">
        <v>46.755829653081875</v>
      </c>
      <c r="O817" s="43">
        <v>16208.833458154661</v>
      </c>
    </row>
    <row r="818" spans="12:15" x14ac:dyDescent="0.2">
      <c r="L818" s="4">
        <v>812</v>
      </c>
      <c r="M818" s="21">
        <v>-45815.486727804935</v>
      </c>
      <c r="N818" s="42">
        <v>50.134121928246756</v>
      </c>
      <c r="O818" s="43">
        <v>14047.305950971875</v>
      </c>
    </row>
    <row r="819" spans="12:15" x14ac:dyDescent="0.2">
      <c r="L819" s="4">
        <v>813</v>
      </c>
      <c r="M819" s="21">
        <v>182264.95957211775</v>
      </c>
      <c r="N819" s="42">
        <v>51.161100392301321</v>
      </c>
      <c r="O819" s="43">
        <v>17992.818572576896</v>
      </c>
    </row>
    <row r="820" spans="12:15" x14ac:dyDescent="0.2">
      <c r="L820" s="4">
        <v>814</v>
      </c>
      <c r="M820" s="21">
        <v>-82682.834654648323</v>
      </c>
      <c r="N820" s="42">
        <v>51.650156285905332</v>
      </c>
      <c r="O820" s="43">
        <v>12808.235634504013</v>
      </c>
    </row>
    <row r="821" spans="12:15" x14ac:dyDescent="0.2">
      <c r="L821" s="4">
        <v>815</v>
      </c>
      <c r="M821" s="21">
        <v>-99543.844115840577</v>
      </c>
      <c r="N821" s="42">
        <v>47.452484350170131</v>
      </c>
      <c r="O821" s="43">
        <v>15403.505554966381</v>
      </c>
    </row>
    <row r="822" spans="12:15" x14ac:dyDescent="0.2">
      <c r="L822" s="4">
        <v>816</v>
      </c>
      <c r="M822" s="21">
        <v>136891.30057571796</v>
      </c>
      <c r="N822" s="42">
        <v>49.20674265510582</v>
      </c>
      <c r="O822" s="43">
        <v>16532.487266114134</v>
      </c>
    </row>
    <row r="823" spans="12:15" x14ac:dyDescent="0.2">
      <c r="L823" s="4">
        <v>817</v>
      </c>
      <c r="M823" s="21">
        <v>-147496.07790201282</v>
      </c>
      <c r="N823" s="42">
        <v>50.349139872293215</v>
      </c>
      <c r="O823" s="43">
        <v>13030.336637229884</v>
      </c>
    </row>
    <row r="824" spans="12:15" x14ac:dyDescent="0.2">
      <c r="L824" s="4">
        <v>818</v>
      </c>
      <c r="M824" s="21">
        <v>90508.15511560865</v>
      </c>
      <c r="N824" s="42">
        <v>51.045542520958776</v>
      </c>
      <c r="O824" s="43">
        <v>14473.263608344205</v>
      </c>
    </row>
    <row r="825" spans="12:15" x14ac:dyDescent="0.2">
      <c r="L825" s="4">
        <v>819</v>
      </c>
      <c r="M825" s="21">
        <v>-97945.009238766579</v>
      </c>
      <c r="N825" s="42">
        <v>47.375642346834603</v>
      </c>
      <c r="O825" s="43">
        <v>14823.755691858307</v>
      </c>
    </row>
    <row r="826" spans="12:15" x14ac:dyDescent="0.2">
      <c r="L826" s="4">
        <v>820</v>
      </c>
      <c r="M826" s="21">
        <v>-103852.32095681354</v>
      </c>
      <c r="N826" s="42">
        <v>49.9743270025483</v>
      </c>
      <c r="O826" s="43">
        <v>14706.74127827974</v>
      </c>
    </row>
    <row r="827" spans="12:15" x14ac:dyDescent="0.2">
      <c r="L827" s="4">
        <v>821</v>
      </c>
      <c r="M827" s="21">
        <v>-98111.254475168316</v>
      </c>
      <c r="N827" s="42">
        <v>48.31517669024818</v>
      </c>
      <c r="O827" s="43">
        <v>13817.648824222188</v>
      </c>
    </row>
    <row r="828" spans="12:15" x14ac:dyDescent="0.2">
      <c r="L828" s="4">
        <v>822</v>
      </c>
      <c r="M828" s="21">
        <v>153261.95123014713</v>
      </c>
      <c r="N828" s="42">
        <v>50.346104480932951</v>
      </c>
      <c r="O828" s="43">
        <v>15699.952560612055</v>
      </c>
    </row>
    <row r="829" spans="12:15" x14ac:dyDescent="0.2">
      <c r="L829" s="4">
        <v>823</v>
      </c>
      <c r="M829" s="21">
        <v>-12360.285423619513</v>
      </c>
      <c r="N829" s="42">
        <v>49.572582354905386</v>
      </c>
      <c r="O829" s="43">
        <v>14849.425971757648</v>
      </c>
    </row>
    <row r="830" spans="12:15" x14ac:dyDescent="0.2">
      <c r="L830" s="4">
        <v>824</v>
      </c>
      <c r="M830" s="21">
        <v>-22147.195381917889</v>
      </c>
      <c r="N830" s="42">
        <v>51.407122947246279</v>
      </c>
      <c r="O830" s="43">
        <v>13677.864846431261</v>
      </c>
    </row>
    <row r="831" spans="12:15" x14ac:dyDescent="0.2">
      <c r="L831" s="4">
        <v>825</v>
      </c>
      <c r="M831" s="21">
        <v>-29079.756284736955</v>
      </c>
      <c r="N831" s="42">
        <v>50.406853286954075</v>
      </c>
      <c r="O831" s="43">
        <v>13980.628650938932</v>
      </c>
    </row>
    <row r="832" spans="12:15" x14ac:dyDescent="0.2">
      <c r="L832" s="4">
        <v>826</v>
      </c>
      <c r="M832" s="21">
        <v>-80276.054375775653</v>
      </c>
      <c r="N832" s="42">
        <v>46.552123994854028</v>
      </c>
      <c r="O832" s="43">
        <v>17447.295846698766</v>
      </c>
    </row>
    <row r="833" spans="12:15" x14ac:dyDescent="0.2">
      <c r="L833" s="4">
        <v>827</v>
      </c>
      <c r="M833" s="21">
        <v>-10076.444383584894</v>
      </c>
      <c r="N833" s="42">
        <v>49.284463818590858</v>
      </c>
      <c r="O833" s="43">
        <v>15248.497387538173</v>
      </c>
    </row>
    <row r="834" spans="12:15" x14ac:dyDescent="0.2">
      <c r="L834" s="4">
        <v>828</v>
      </c>
      <c r="M834" s="21">
        <v>-80320.230296819936</v>
      </c>
      <c r="N834" s="42">
        <v>46.611940919754169</v>
      </c>
      <c r="O834" s="43">
        <v>14872.265206055803</v>
      </c>
    </row>
    <row r="835" spans="12:15" x14ac:dyDescent="0.2">
      <c r="L835" s="4">
        <v>829</v>
      </c>
      <c r="M835" s="21">
        <v>22529.726700622705</v>
      </c>
      <c r="N835" s="42">
        <v>46.456237047225528</v>
      </c>
      <c r="O835" s="43">
        <v>17215.337339498128</v>
      </c>
    </row>
    <row r="836" spans="12:15" x14ac:dyDescent="0.2">
      <c r="L836" s="4">
        <v>830</v>
      </c>
      <c r="M836" s="21">
        <v>127391.82713805552</v>
      </c>
      <c r="N836" s="42">
        <v>49.832916756642391</v>
      </c>
      <c r="O836" s="43">
        <v>14824.500414416718</v>
      </c>
    </row>
    <row r="837" spans="12:15" x14ac:dyDescent="0.2">
      <c r="L837" s="4">
        <v>831</v>
      </c>
      <c r="M837" s="21">
        <v>233276.69363907931</v>
      </c>
      <c r="N837" s="42">
        <v>50.06298471360256</v>
      </c>
      <c r="O837" s="43">
        <v>15740.677397328574</v>
      </c>
    </row>
    <row r="838" spans="12:15" x14ac:dyDescent="0.2">
      <c r="L838" s="4">
        <v>832</v>
      </c>
      <c r="M838" s="21">
        <v>57747.981899348088</v>
      </c>
      <c r="N838" s="42">
        <v>51.052155150230824</v>
      </c>
      <c r="O838" s="43">
        <v>14322.372021324332</v>
      </c>
    </row>
    <row r="839" spans="12:15" x14ac:dyDescent="0.2">
      <c r="L839" s="4">
        <v>833</v>
      </c>
      <c r="M839" s="21">
        <v>197322.99188632492</v>
      </c>
      <c r="N839" s="42">
        <v>49.876957505913808</v>
      </c>
      <c r="O839" s="43">
        <v>16706.522766977501</v>
      </c>
    </row>
    <row r="840" spans="12:15" x14ac:dyDescent="0.2">
      <c r="L840" s="4">
        <v>834</v>
      </c>
      <c r="M840" s="21">
        <v>-104809.8147540911</v>
      </c>
      <c r="N840" s="42">
        <v>47.79990303135741</v>
      </c>
      <c r="O840" s="43">
        <v>14110.681951522534</v>
      </c>
    </row>
    <row r="841" spans="12:15" x14ac:dyDescent="0.2">
      <c r="L841" s="4">
        <v>835</v>
      </c>
      <c r="M841" s="21">
        <v>123197.25904416779</v>
      </c>
      <c r="N841" s="42">
        <v>49.036839837943752</v>
      </c>
      <c r="O841" s="43">
        <v>14584.067699848109</v>
      </c>
    </row>
    <row r="842" spans="12:15" x14ac:dyDescent="0.2">
      <c r="L842" s="4">
        <v>836</v>
      </c>
      <c r="M842" s="21">
        <v>160463.60885662842</v>
      </c>
      <c r="N842" s="42">
        <v>48.690930813015321</v>
      </c>
      <c r="O842" s="43">
        <v>17360.206632637484</v>
      </c>
    </row>
    <row r="843" spans="12:15" x14ac:dyDescent="0.2">
      <c r="L843" s="4">
        <v>837</v>
      </c>
      <c r="M843" s="21">
        <v>-76179.268551347064</v>
      </c>
      <c r="N843" s="42">
        <v>50.63111588634159</v>
      </c>
      <c r="O843" s="43">
        <v>13022.566365236718</v>
      </c>
    </row>
    <row r="844" spans="12:15" x14ac:dyDescent="0.2">
      <c r="L844" s="4">
        <v>838</v>
      </c>
      <c r="M844" s="21">
        <v>-112268.67300458347</v>
      </c>
      <c r="N844" s="42">
        <v>49.735460557688597</v>
      </c>
      <c r="O844" s="43">
        <v>14257.739900004668</v>
      </c>
    </row>
    <row r="845" spans="12:15" x14ac:dyDescent="0.2">
      <c r="L845" s="4">
        <v>839</v>
      </c>
      <c r="M845" s="21">
        <v>145060.09137010452</v>
      </c>
      <c r="N845" s="42">
        <v>50.081433480686492</v>
      </c>
      <c r="O845" s="43">
        <v>16428.126621657771</v>
      </c>
    </row>
    <row r="846" spans="12:15" x14ac:dyDescent="0.2">
      <c r="L846" s="4">
        <v>840</v>
      </c>
      <c r="M846" s="21">
        <v>163362.22634614553</v>
      </c>
      <c r="N846" s="42">
        <v>49.297730536147768</v>
      </c>
      <c r="O846" s="43">
        <v>16732.408484431948</v>
      </c>
    </row>
    <row r="847" spans="12:15" x14ac:dyDescent="0.2">
      <c r="L847" s="4">
        <v>841</v>
      </c>
      <c r="M847" s="21">
        <v>-7736.6952525039815</v>
      </c>
      <c r="N847" s="42">
        <v>48.36188323052356</v>
      </c>
      <c r="O847" s="43">
        <v>15585.61582541902</v>
      </c>
    </row>
    <row r="848" spans="12:15" x14ac:dyDescent="0.2">
      <c r="L848" s="4">
        <v>842</v>
      </c>
      <c r="M848" s="21">
        <v>-100579.32784961816</v>
      </c>
      <c r="N848" s="42">
        <v>49.706703602585179</v>
      </c>
      <c r="O848" s="43">
        <v>15394.014954606761</v>
      </c>
    </row>
    <row r="849" spans="12:15" x14ac:dyDescent="0.2">
      <c r="L849" s="4">
        <v>843</v>
      </c>
      <c r="M849" s="21">
        <v>55278.109557240969</v>
      </c>
      <c r="N849" s="42">
        <v>49.555591759026143</v>
      </c>
      <c r="O849" s="43">
        <v>14513.487769326135</v>
      </c>
    </row>
    <row r="850" spans="12:15" x14ac:dyDescent="0.2">
      <c r="L850" s="4">
        <v>844</v>
      </c>
      <c r="M850" s="21">
        <v>31481.625294733356</v>
      </c>
      <c r="N850" s="42">
        <v>50.612601924768207</v>
      </c>
      <c r="O850" s="43">
        <v>13748.464901773204</v>
      </c>
    </row>
    <row r="851" spans="12:15" x14ac:dyDescent="0.2">
      <c r="L851" s="4">
        <v>845</v>
      </c>
      <c r="M851" s="21">
        <v>-124785.60294144787</v>
      </c>
      <c r="N851" s="42">
        <v>49.016233292314553</v>
      </c>
      <c r="O851" s="43">
        <v>13524.524009117149</v>
      </c>
    </row>
    <row r="852" spans="12:15" x14ac:dyDescent="0.2">
      <c r="L852" s="4">
        <v>846</v>
      </c>
      <c r="M852" s="21">
        <v>17925.291777009901</v>
      </c>
      <c r="N852" s="42">
        <v>49.252058924885432</v>
      </c>
      <c r="O852" s="43">
        <v>14621.547425212922</v>
      </c>
    </row>
    <row r="853" spans="12:15" x14ac:dyDescent="0.2">
      <c r="L853" s="4">
        <v>847</v>
      </c>
      <c r="M853" s="21">
        <v>-35154.518467606642</v>
      </c>
      <c r="N853" s="42">
        <v>47.145199203062703</v>
      </c>
      <c r="O853" s="43">
        <v>15881.101990866217</v>
      </c>
    </row>
    <row r="854" spans="12:15" x14ac:dyDescent="0.2">
      <c r="L854" s="4">
        <v>848</v>
      </c>
      <c r="M854" s="21">
        <v>-44240.896928622125</v>
      </c>
      <c r="N854" s="42">
        <v>46.132008109883692</v>
      </c>
      <c r="O854" s="43">
        <v>17178.358315359223</v>
      </c>
    </row>
    <row r="855" spans="12:15" x14ac:dyDescent="0.2">
      <c r="L855" s="4">
        <v>849</v>
      </c>
      <c r="M855" s="21">
        <v>-53771.800613720552</v>
      </c>
      <c r="N855" s="42">
        <v>49.268192238518338</v>
      </c>
      <c r="O855" s="43">
        <v>14499.855499614639</v>
      </c>
    </row>
    <row r="856" spans="12:15" x14ac:dyDescent="0.2">
      <c r="L856" s="4">
        <v>850</v>
      </c>
      <c r="M856" s="21">
        <v>97062.069086216856</v>
      </c>
      <c r="N856" s="42">
        <v>50.312052750907476</v>
      </c>
      <c r="O856" s="43">
        <v>14287.218769252393</v>
      </c>
    </row>
    <row r="857" spans="12:15" x14ac:dyDescent="0.2">
      <c r="L857" s="4">
        <v>851</v>
      </c>
      <c r="M857" s="21">
        <v>-38851.749477274163</v>
      </c>
      <c r="N857" s="42">
        <v>48.356529983294955</v>
      </c>
      <c r="O857" s="43">
        <v>16261.720656680149</v>
      </c>
    </row>
    <row r="858" spans="12:15" x14ac:dyDescent="0.2">
      <c r="L858" s="4">
        <v>852</v>
      </c>
      <c r="M858" s="21">
        <v>-80375.376990429882</v>
      </c>
      <c r="N858" s="42">
        <v>47.632703169736409</v>
      </c>
      <c r="O858" s="43">
        <v>14737.901976301819</v>
      </c>
    </row>
    <row r="859" spans="12:15" x14ac:dyDescent="0.2">
      <c r="L859" s="4">
        <v>853</v>
      </c>
      <c r="M859" s="21">
        <v>-56076.815441577899</v>
      </c>
      <c r="N859" s="42">
        <v>48.103569529258252</v>
      </c>
      <c r="O859" s="43">
        <v>15328.426196442577</v>
      </c>
    </row>
    <row r="860" spans="12:15" x14ac:dyDescent="0.2">
      <c r="L860" s="4">
        <v>854</v>
      </c>
      <c r="M860" s="21">
        <v>-96811.075711122598</v>
      </c>
      <c r="N860" s="42">
        <v>47.233157350170103</v>
      </c>
      <c r="O860" s="43">
        <v>15086.725581588988</v>
      </c>
    </row>
    <row r="861" spans="12:15" x14ac:dyDescent="0.2">
      <c r="L861" s="4">
        <v>855</v>
      </c>
      <c r="M861" s="21">
        <v>279127.25166766078</v>
      </c>
      <c r="N861" s="42">
        <v>48.459488264158004</v>
      </c>
      <c r="O861" s="43">
        <v>17346.483079985152</v>
      </c>
    </row>
    <row r="862" spans="12:15" x14ac:dyDescent="0.2">
      <c r="L862" s="4">
        <v>856</v>
      </c>
      <c r="M862" s="21">
        <v>36804.474487023661</v>
      </c>
      <c r="N862" s="42">
        <v>50.732224725933257</v>
      </c>
      <c r="O862" s="43">
        <v>13799.852293255481</v>
      </c>
    </row>
    <row r="863" spans="12:15" x14ac:dyDescent="0.2">
      <c r="L863" s="4">
        <v>857</v>
      </c>
      <c r="M863" s="21">
        <v>241655.58610651174</v>
      </c>
      <c r="N863" s="42">
        <v>51.044600912724938</v>
      </c>
      <c r="O863" s="43">
        <v>17079.413893124882</v>
      </c>
    </row>
    <row r="864" spans="12:15" x14ac:dyDescent="0.2">
      <c r="L864" s="4">
        <v>858</v>
      </c>
      <c r="M864" s="21">
        <v>-34618.552308814425</v>
      </c>
      <c r="N864" s="42">
        <v>51.306114661617535</v>
      </c>
      <c r="O864" s="43">
        <v>12635.310340032276</v>
      </c>
    </row>
    <row r="865" spans="12:15" x14ac:dyDescent="0.2">
      <c r="L865" s="4">
        <v>859</v>
      </c>
      <c r="M865" s="21">
        <v>-107198.20078420463</v>
      </c>
      <c r="N865" s="42">
        <v>49.177759838436309</v>
      </c>
      <c r="O865" s="43">
        <v>13203.326154784962</v>
      </c>
    </row>
    <row r="866" spans="12:15" x14ac:dyDescent="0.2">
      <c r="L866" s="4">
        <v>860</v>
      </c>
      <c r="M866" s="21">
        <v>-96386.933412999235</v>
      </c>
      <c r="N866" s="42">
        <v>49.990430077244291</v>
      </c>
      <c r="O866" s="43">
        <v>15016.088791677394</v>
      </c>
    </row>
    <row r="867" spans="12:15" x14ac:dyDescent="0.2">
      <c r="L867" s="4">
        <v>861</v>
      </c>
      <c r="M867" s="21">
        <v>-69249.94613990956</v>
      </c>
      <c r="N867" s="42">
        <v>48.050415340768062</v>
      </c>
      <c r="O867" s="43">
        <v>15618.712252743044</v>
      </c>
    </row>
    <row r="868" spans="12:15" x14ac:dyDescent="0.2">
      <c r="L868" s="4">
        <v>862</v>
      </c>
      <c r="M868" s="21">
        <v>-61603.070344403299</v>
      </c>
      <c r="N868" s="42">
        <v>51.270315431469129</v>
      </c>
      <c r="O868" s="43">
        <v>13504.331873157855</v>
      </c>
    </row>
    <row r="869" spans="12:15" x14ac:dyDescent="0.2">
      <c r="L869" s="4">
        <v>863</v>
      </c>
      <c r="M869" s="21">
        <v>78924.560808737064</v>
      </c>
      <c r="N869" s="42">
        <v>51.374105371717221</v>
      </c>
      <c r="O869" s="43">
        <v>14280.827133543187</v>
      </c>
    </row>
    <row r="870" spans="12:15" x14ac:dyDescent="0.2">
      <c r="L870" s="4">
        <v>864</v>
      </c>
      <c r="M870" s="21">
        <v>53561.531716846279</v>
      </c>
      <c r="N870" s="42">
        <v>48.891688604670705</v>
      </c>
      <c r="O870" s="43">
        <v>14427.185530424356</v>
      </c>
    </row>
    <row r="871" spans="12:15" x14ac:dyDescent="0.2">
      <c r="L871" s="4">
        <v>865</v>
      </c>
      <c r="M871" s="21">
        <v>-270106.20301834098</v>
      </c>
      <c r="N871" s="42">
        <v>50.84093405961265</v>
      </c>
      <c r="O871" s="43">
        <v>12451.020495990251</v>
      </c>
    </row>
    <row r="872" spans="12:15" x14ac:dyDescent="0.2">
      <c r="L872" s="4">
        <v>866</v>
      </c>
      <c r="M872" s="21">
        <v>-68185.722081947271</v>
      </c>
      <c r="N872" s="42">
        <v>48.447229978223064</v>
      </c>
      <c r="O872" s="43">
        <v>14277.324955618498</v>
      </c>
    </row>
    <row r="873" spans="12:15" x14ac:dyDescent="0.2">
      <c r="L873" s="4">
        <v>867</v>
      </c>
      <c r="M873" s="21">
        <v>-52406.56905989653</v>
      </c>
      <c r="N873" s="42">
        <v>49.280235043894898</v>
      </c>
      <c r="O873" s="43">
        <v>14323.428482508149</v>
      </c>
    </row>
    <row r="874" spans="12:15" x14ac:dyDescent="0.2">
      <c r="L874" s="4">
        <v>868</v>
      </c>
      <c r="M874" s="21">
        <v>-42763.985808744779</v>
      </c>
      <c r="N874" s="42">
        <v>48.079030000946069</v>
      </c>
      <c r="O874" s="43">
        <v>18172.520840465771</v>
      </c>
    </row>
    <row r="875" spans="12:15" x14ac:dyDescent="0.2">
      <c r="L875" s="4">
        <v>869</v>
      </c>
      <c r="M875" s="21">
        <v>116298.66382711401</v>
      </c>
      <c r="N875" s="42">
        <v>49.683218329953675</v>
      </c>
      <c r="O875" s="43">
        <v>16518.863644274417</v>
      </c>
    </row>
    <row r="876" spans="12:15" x14ac:dyDescent="0.2">
      <c r="L876" s="4">
        <v>870</v>
      </c>
      <c r="M876" s="21">
        <v>7985.3936798640934</v>
      </c>
      <c r="N876" s="42">
        <v>51.495786058810829</v>
      </c>
      <c r="O876" s="43">
        <v>12503.472805828023</v>
      </c>
    </row>
    <row r="877" spans="12:15" x14ac:dyDescent="0.2">
      <c r="L877" s="4">
        <v>871</v>
      </c>
      <c r="M877" s="21">
        <v>-324078.10501592001</v>
      </c>
      <c r="N877" s="42">
        <v>48.674052469871569</v>
      </c>
      <c r="O877" s="43">
        <v>13582.311128879084</v>
      </c>
    </row>
    <row r="878" spans="12:15" x14ac:dyDescent="0.2">
      <c r="L878" s="4">
        <v>872</v>
      </c>
      <c r="M878" s="21">
        <v>14108.572417018528</v>
      </c>
      <c r="N878" s="42">
        <v>50.478741107254095</v>
      </c>
      <c r="O878" s="43">
        <v>14914.939674248561</v>
      </c>
    </row>
    <row r="879" spans="12:15" x14ac:dyDescent="0.2">
      <c r="L879" s="4">
        <v>873</v>
      </c>
      <c r="M879" s="21">
        <v>-26840.819801241349</v>
      </c>
      <c r="N879" s="42">
        <v>48.203990559224543</v>
      </c>
      <c r="O879" s="43">
        <v>16697.185090698029</v>
      </c>
    </row>
    <row r="880" spans="12:15" x14ac:dyDescent="0.2">
      <c r="L880" s="4">
        <v>874</v>
      </c>
      <c r="M880" s="21">
        <v>-2469.7745755572832</v>
      </c>
      <c r="N880" s="42">
        <v>51.111540610434076</v>
      </c>
      <c r="O880" s="43">
        <v>13567.900365918011</v>
      </c>
    </row>
    <row r="881" spans="12:15" x14ac:dyDescent="0.2">
      <c r="L881" s="4">
        <v>875</v>
      </c>
      <c r="M881" s="21">
        <v>-262361.28761151875</v>
      </c>
      <c r="N881" s="42">
        <v>48.318383046429659</v>
      </c>
      <c r="O881" s="43">
        <v>12914.005647243328</v>
      </c>
    </row>
    <row r="882" spans="12:15" x14ac:dyDescent="0.2">
      <c r="L882" s="4">
        <v>876</v>
      </c>
      <c r="M882" s="21">
        <v>-17683.151677434304</v>
      </c>
      <c r="N882" s="42">
        <v>47.906504020478856</v>
      </c>
      <c r="O882" s="43">
        <v>17920.654400343738</v>
      </c>
    </row>
    <row r="883" spans="12:15" x14ac:dyDescent="0.2">
      <c r="L883" s="4">
        <v>877</v>
      </c>
      <c r="M883" s="21">
        <v>181551.76968612976</v>
      </c>
      <c r="N883" s="42">
        <v>49.157497428394045</v>
      </c>
      <c r="O883" s="43">
        <v>16416.05943228972</v>
      </c>
    </row>
    <row r="884" spans="12:15" x14ac:dyDescent="0.2">
      <c r="L884" s="4">
        <v>878</v>
      </c>
      <c r="M884" s="21">
        <v>-163135.56723545014</v>
      </c>
      <c r="N884" s="42">
        <v>49.010874722322377</v>
      </c>
      <c r="O884" s="43">
        <v>13657.9728671868</v>
      </c>
    </row>
    <row r="885" spans="12:15" x14ac:dyDescent="0.2">
      <c r="L885" s="4">
        <v>879</v>
      </c>
      <c r="M885" s="21">
        <v>184441.8174780586</v>
      </c>
      <c r="N885" s="42">
        <v>50.163054436988048</v>
      </c>
      <c r="O885" s="43">
        <v>15332.109676242182</v>
      </c>
    </row>
    <row r="886" spans="12:15" x14ac:dyDescent="0.2">
      <c r="L886" s="4">
        <v>880</v>
      </c>
      <c r="M886" s="21">
        <v>-84788.508563990821</v>
      </c>
      <c r="N886" s="42">
        <v>48.984343339712112</v>
      </c>
      <c r="O886" s="43">
        <v>14157.662715837798</v>
      </c>
    </row>
    <row r="887" spans="12:15" x14ac:dyDescent="0.2">
      <c r="L887" s="4">
        <v>881</v>
      </c>
      <c r="M887" s="21">
        <v>49743.172312349983</v>
      </c>
      <c r="N887" s="42">
        <v>50.523452794206086</v>
      </c>
      <c r="O887" s="43">
        <v>14174.718025038879</v>
      </c>
    </row>
    <row r="888" spans="12:15" x14ac:dyDescent="0.2">
      <c r="L888" s="4">
        <v>882</v>
      </c>
      <c r="M888" s="21">
        <v>-18961.570701518955</v>
      </c>
      <c r="N888" s="42">
        <v>49.318873909201962</v>
      </c>
      <c r="O888" s="43">
        <v>15078.234369501277</v>
      </c>
    </row>
    <row r="889" spans="12:15" x14ac:dyDescent="0.2">
      <c r="L889" s="4">
        <v>883</v>
      </c>
      <c r="M889" s="21">
        <v>76459.190134533885</v>
      </c>
      <c r="N889" s="42">
        <v>49.876708662818778</v>
      </c>
      <c r="O889" s="43">
        <v>16013.15270601986</v>
      </c>
    </row>
    <row r="890" spans="12:15" x14ac:dyDescent="0.2">
      <c r="L890" s="4">
        <v>884</v>
      </c>
      <c r="M890" s="21">
        <v>-74165.441274654382</v>
      </c>
      <c r="N890" s="42">
        <v>51.692721227763663</v>
      </c>
      <c r="O890" s="43">
        <v>12489.467660521443</v>
      </c>
    </row>
    <row r="891" spans="12:15" x14ac:dyDescent="0.2">
      <c r="L891" s="4">
        <v>885</v>
      </c>
      <c r="M891" s="21">
        <v>-28366.585672282701</v>
      </c>
      <c r="N891" s="42">
        <v>47.843746602499891</v>
      </c>
      <c r="O891" s="43">
        <v>16533.645913324221</v>
      </c>
    </row>
    <row r="892" spans="12:15" x14ac:dyDescent="0.2">
      <c r="L892" s="4">
        <v>886</v>
      </c>
      <c r="M892" s="21">
        <v>-188112.31935136978</v>
      </c>
      <c r="N892" s="42">
        <v>47.484034169395926</v>
      </c>
      <c r="O892" s="43">
        <v>15265.387282903055</v>
      </c>
    </row>
    <row r="893" spans="12:15" x14ac:dyDescent="0.2">
      <c r="L893" s="4">
        <v>887</v>
      </c>
      <c r="M893" s="21">
        <v>-142952.41226666234</v>
      </c>
      <c r="N893" s="42">
        <v>50.300408979556558</v>
      </c>
      <c r="O893" s="43">
        <v>13608.096349572414</v>
      </c>
    </row>
    <row r="894" spans="12:15" x14ac:dyDescent="0.2">
      <c r="L894" s="4">
        <v>888</v>
      </c>
      <c r="M894" s="21">
        <v>51637.886831007403</v>
      </c>
      <c r="N894" s="42">
        <v>50.506231136590863</v>
      </c>
      <c r="O894" s="43">
        <v>14728.938263360373</v>
      </c>
    </row>
    <row r="895" spans="12:15" x14ac:dyDescent="0.2">
      <c r="L895" s="4">
        <v>889</v>
      </c>
      <c r="M895" s="21">
        <v>-52529.472916090759</v>
      </c>
      <c r="N895" s="42">
        <v>51.467969667834673</v>
      </c>
      <c r="O895" s="43">
        <v>14060.655142672296</v>
      </c>
    </row>
    <row r="896" spans="12:15" x14ac:dyDescent="0.2">
      <c r="L896" s="4">
        <v>890</v>
      </c>
      <c r="M896" s="21">
        <v>-185548.4788228008</v>
      </c>
      <c r="N896" s="42">
        <v>48.285070029213919</v>
      </c>
      <c r="O896" s="43">
        <v>14363.791784498639</v>
      </c>
    </row>
    <row r="897" spans="12:15" x14ac:dyDescent="0.2">
      <c r="L897" s="4">
        <v>891</v>
      </c>
      <c r="M897" s="21">
        <v>31446.851554861438</v>
      </c>
      <c r="N897" s="42">
        <v>51.009091222980828</v>
      </c>
      <c r="O897" s="43">
        <v>14279.280591126006</v>
      </c>
    </row>
    <row r="898" spans="12:15" x14ac:dyDescent="0.2">
      <c r="L898" s="4">
        <v>892</v>
      </c>
      <c r="M898" s="21">
        <v>-33992.006752572837</v>
      </c>
      <c r="N898" s="42">
        <v>50.271265850318514</v>
      </c>
      <c r="O898" s="43">
        <v>13658.353658742904</v>
      </c>
    </row>
    <row r="899" spans="12:15" x14ac:dyDescent="0.2">
      <c r="L899" s="4">
        <v>893</v>
      </c>
      <c r="M899" s="21">
        <v>-125644.34772713664</v>
      </c>
      <c r="N899" s="42">
        <v>49.98156414082915</v>
      </c>
      <c r="O899" s="43">
        <v>13962.246648397981</v>
      </c>
    </row>
    <row r="900" spans="12:15" x14ac:dyDescent="0.2">
      <c r="L900" s="4">
        <v>894</v>
      </c>
      <c r="M900" s="21">
        <v>80757.811639046064</v>
      </c>
      <c r="N900" s="42">
        <v>51.774875999164138</v>
      </c>
      <c r="O900" s="43">
        <v>14185.606972450931</v>
      </c>
    </row>
    <row r="901" spans="12:15" x14ac:dyDescent="0.2">
      <c r="L901" s="4">
        <v>895</v>
      </c>
      <c r="M901" s="21">
        <v>-115572.19493960991</v>
      </c>
      <c r="N901" s="42">
        <v>49.40502488610958</v>
      </c>
      <c r="O901" s="43">
        <v>14468.14791938457</v>
      </c>
    </row>
    <row r="902" spans="12:15" x14ac:dyDescent="0.2">
      <c r="L902" s="4">
        <v>896</v>
      </c>
      <c r="M902" s="21">
        <v>-52955.376556404735</v>
      </c>
      <c r="N902" s="42">
        <v>51.728175357627592</v>
      </c>
      <c r="O902" s="43">
        <v>12131.690028114372</v>
      </c>
    </row>
    <row r="903" spans="12:15" x14ac:dyDescent="0.2">
      <c r="L903" s="4">
        <v>897</v>
      </c>
      <c r="M903" s="21">
        <v>179421.39789088789</v>
      </c>
      <c r="N903" s="42">
        <v>48.626447833468546</v>
      </c>
      <c r="O903" s="43">
        <v>17315.500786162673</v>
      </c>
    </row>
    <row r="904" spans="12:15" x14ac:dyDescent="0.2">
      <c r="L904" s="4">
        <v>898</v>
      </c>
      <c r="M904" s="21">
        <v>-65478.60542334379</v>
      </c>
      <c r="N904" s="42">
        <v>49.106842584182466</v>
      </c>
      <c r="O904" s="43">
        <v>14671.889126869515</v>
      </c>
    </row>
    <row r="905" spans="12:15" x14ac:dyDescent="0.2">
      <c r="L905" s="4">
        <v>899</v>
      </c>
      <c r="M905" s="21">
        <v>255791.9785580913</v>
      </c>
      <c r="N905" s="42">
        <v>50.264890359767989</v>
      </c>
      <c r="O905" s="43">
        <v>16053.247130797232</v>
      </c>
    </row>
    <row r="906" spans="12:15" x14ac:dyDescent="0.2">
      <c r="L906" s="4">
        <v>900</v>
      </c>
      <c r="M906" s="21">
        <v>27910.751265059429</v>
      </c>
      <c r="N906" s="42">
        <v>50.441636330075973</v>
      </c>
      <c r="O906" s="43">
        <v>14728.061256000441</v>
      </c>
    </row>
    <row r="907" spans="12:15" x14ac:dyDescent="0.2">
      <c r="L907" s="4">
        <v>901</v>
      </c>
      <c r="M907" s="21">
        <v>61030.811996622855</v>
      </c>
      <c r="N907" s="42">
        <v>50.299078345941062</v>
      </c>
      <c r="O907" s="43">
        <v>15805.557341287538</v>
      </c>
    </row>
    <row r="908" spans="12:15" x14ac:dyDescent="0.2">
      <c r="L908" s="4">
        <v>902</v>
      </c>
      <c r="M908" s="21">
        <v>208510.75391186681</v>
      </c>
      <c r="N908" s="42">
        <v>51.304357191774358</v>
      </c>
      <c r="O908" s="43">
        <v>15372.081313975439</v>
      </c>
    </row>
    <row r="909" spans="12:15" x14ac:dyDescent="0.2">
      <c r="L909" s="4">
        <v>903</v>
      </c>
      <c r="M909" s="21">
        <v>140130.98627314347</v>
      </c>
      <c r="N909" s="42">
        <v>50.986576575219615</v>
      </c>
      <c r="O909" s="43">
        <v>15675.348478217878</v>
      </c>
    </row>
    <row r="910" spans="12:15" x14ac:dyDescent="0.2">
      <c r="L910" s="4">
        <v>904</v>
      </c>
      <c r="M910" s="21">
        <v>-206436.4135868111</v>
      </c>
      <c r="N910" s="42">
        <v>49.599908060852243</v>
      </c>
      <c r="O910" s="43">
        <v>12950.836258836525</v>
      </c>
    </row>
    <row r="911" spans="12:15" x14ac:dyDescent="0.2">
      <c r="L911" s="4">
        <v>905</v>
      </c>
      <c r="M911" s="21">
        <v>-40306.002742801269</v>
      </c>
      <c r="N911" s="42">
        <v>48.178603661400309</v>
      </c>
      <c r="O911" s="43">
        <v>15328.564390464984</v>
      </c>
    </row>
    <row r="912" spans="12:15" x14ac:dyDescent="0.2">
      <c r="L912" s="4">
        <v>906</v>
      </c>
      <c r="M912" s="21">
        <v>-80243.956759580629</v>
      </c>
      <c r="N912" s="42">
        <v>49.793669075021008</v>
      </c>
      <c r="O912" s="43">
        <v>14440.975555467563</v>
      </c>
    </row>
    <row r="913" spans="12:15" x14ac:dyDescent="0.2">
      <c r="L913" s="4">
        <v>907</v>
      </c>
      <c r="M913" s="21">
        <v>189430.22897287612</v>
      </c>
      <c r="N913" s="42">
        <v>50.94420244976012</v>
      </c>
      <c r="O913" s="43">
        <v>15661.8850409267</v>
      </c>
    </row>
    <row r="914" spans="12:15" x14ac:dyDescent="0.2">
      <c r="L914" s="4">
        <v>908</v>
      </c>
      <c r="M914" s="21">
        <v>-5506.8669664593326</v>
      </c>
      <c r="N914" s="42">
        <v>50.650695154463151</v>
      </c>
      <c r="O914" s="43">
        <v>14347.920220561502</v>
      </c>
    </row>
    <row r="915" spans="12:15" x14ac:dyDescent="0.2">
      <c r="L915" s="4">
        <v>909</v>
      </c>
      <c r="M915" s="21">
        <v>-41525.288690274465</v>
      </c>
      <c r="N915" s="42">
        <v>47.910786738405996</v>
      </c>
      <c r="O915" s="43">
        <v>15678.392310127843</v>
      </c>
    </row>
    <row r="916" spans="12:15" x14ac:dyDescent="0.2">
      <c r="L916" s="4">
        <v>910</v>
      </c>
      <c r="M916" s="21">
        <v>-125625.69308114146</v>
      </c>
      <c r="N916" s="42">
        <v>48.739297867793866</v>
      </c>
      <c r="O916" s="43">
        <v>14082.258100922785</v>
      </c>
    </row>
    <row r="917" spans="12:15" x14ac:dyDescent="0.2">
      <c r="L917" s="4">
        <v>911</v>
      </c>
      <c r="M917" s="21">
        <v>-53864.437041977333</v>
      </c>
      <c r="N917" s="42">
        <v>49.502556970396114</v>
      </c>
      <c r="O917" s="43">
        <v>14596.500280240209</v>
      </c>
    </row>
    <row r="918" spans="12:15" x14ac:dyDescent="0.2">
      <c r="L918" s="4">
        <v>912</v>
      </c>
      <c r="M918" s="21">
        <v>38350.281187428802</v>
      </c>
      <c r="N918" s="42">
        <v>51.350299335624065</v>
      </c>
      <c r="O918" s="43">
        <v>13319.567467040004</v>
      </c>
    </row>
    <row r="919" spans="12:15" x14ac:dyDescent="0.2">
      <c r="L919" s="4">
        <v>913</v>
      </c>
      <c r="M919" s="21">
        <v>34571.780629108864</v>
      </c>
      <c r="N919" s="42">
        <v>49.550777673004283</v>
      </c>
      <c r="O919" s="43">
        <v>15500.14215438923</v>
      </c>
    </row>
    <row r="920" spans="12:15" x14ac:dyDescent="0.2">
      <c r="L920" s="4">
        <v>914</v>
      </c>
      <c r="M920" s="21">
        <v>-15005.973916530027</v>
      </c>
      <c r="N920" s="42">
        <v>48.021096157978818</v>
      </c>
      <c r="O920" s="43">
        <v>15171.138637695853</v>
      </c>
    </row>
    <row r="921" spans="12:15" x14ac:dyDescent="0.2">
      <c r="L921" s="4">
        <v>915</v>
      </c>
      <c r="M921" s="21">
        <v>80051.63624897445</v>
      </c>
      <c r="N921" s="42">
        <v>48.440174095581689</v>
      </c>
      <c r="O921" s="43">
        <v>14953.3984952805</v>
      </c>
    </row>
    <row r="922" spans="12:15" x14ac:dyDescent="0.2">
      <c r="L922" s="4">
        <v>916</v>
      </c>
      <c r="M922" s="21">
        <v>-68099.491177034259</v>
      </c>
      <c r="N922" s="42">
        <v>50.249018733134811</v>
      </c>
      <c r="O922" s="43">
        <v>13488.878496047215</v>
      </c>
    </row>
    <row r="923" spans="12:15" x14ac:dyDescent="0.2">
      <c r="L923" s="4">
        <v>917</v>
      </c>
      <c r="M923" s="21">
        <v>25129.456932187313</v>
      </c>
      <c r="N923" s="42">
        <v>48.400874869725811</v>
      </c>
      <c r="O923" s="43">
        <v>13705.387688031082</v>
      </c>
    </row>
    <row r="924" spans="12:15" x14ac:dyDescent="0.2">
      <c r="L924" s="4">
        <v>918</v>
      </c>
      <c r="M924" s="21">
        <v>143511.06320164399</v>
      </c>
      <c r="N924" s="42">
        <v>47.841292426191828</v>
      </c>
      <c r="O924" s="43">
        <v>16280.636563674016</v>
      </c>
    </row>
    <row r="925" spans="12:15" x14ac:dyDescent="0.2">
      <c r="L925" s="4">
        <v>919</v>
      </c>
      <c r="M925" s="21">
        <v>-21678.615737983215</v>
      </c>
      <c r="N925" s="42">
        <v>50.273604230159847</v>
      </c>
      <c r="O925" s="43">
        <v>15684.43619157691</v>
      </c>
    </row>
    <row r="926" spans="12:15" x14ac:dyDescent="0.2">
      <c r="L926" s="4">
        <v>920</v>
      </c>
      <c r="M926" s="21">
        <v>59717.505042837787</v>
      </c>
      <c r="N926" s="42">
        <v>50.493120994700718</v>
      </c>
      <c r="O926" s="43">
        <v>13761.593546824917</v>
      </c>
    </row>
    <row r="927" spans="12:15" x14ac:dyDescent="0.2">
      <c r="L927" s="4">
        <v>921</v>
      </c>
      <c r="M927" s="21">
        <v>-34233.531866488265</v>
      </c>
      <c r="N927" s="42">
        <v>47.271845761835593</v>
      </c>
      <c r="O927" s="43">
        <v>18228.675265316881</v>
      </c>
    </row>
    <row r="928" spans="12:15" x14ac:dyDescent="0.2">
      <c r="L928" s="4">
        <v>922</v>
      </c>
      <c r="M928" s="21">
        <v>-133785.92390290042</v>
      </c>
      <c r="N928" s="42">
        <v>50.828360215689067</v>
      </c>
      <c r="O928" s="43">
        <v>13403.145933204833</v>
      </c>
    </row>
    <row r="929" spans="12:15" x14ac:dyDescent="0.2">
      <c r="L929" s="4">
        <v>923</v>
      </c>
      <c r="M929" s="21">
        <v>-21632.892618346072</v>
      </c>
      <c r="N929" s="42">
        <v>48.917552391341417</v>
      </c>
      <c r="O929" s="43">
        <v>16041.319008098653</v>
      </c>
    </row>
    <row r="930" spans="12:15" x14ac:dyDescent="0.2">
      <c r="L930" s="4">
        <v>924</v>
      </c>
      <c r="M930" s="21">
        <v>195920.78139568146</v>
      </c>
      <c r="N930" s="42">
        <v>49.824516823042664</v>
      </c>
      <c r="O930" s="43">
        <v>15829.913591260363</v>
      </c>
    </row>
    <row r="931" spans="12:15" x14ac:dyDescent="0.2">
      <c r="L931" s="4">
        <v>925</v>
      </c>
      <c r="M931" s="21">
        <v>-13193.179709197007</v>
      </c>
      <c r="N931" s="42">
        <v>50.360854356656297</v>
      </c>
      <c r="O931" s="43">
        <v>15336.788318549299</v>
      </c>
    </row>
    <row r="932" spans="12:15" x14ac:dyDescent="0.2">
      <c r="L932" s="4">
        <v>926</v>
      </c>
      <c r="M932" s="21">
        <v>-155923.46172520565</v>
      </c>
      <c r="N932" s="42">
        <v>50.932015220155904</v>
      </c>
      <c r="O932" s="43">
        <v>11773.581558624412</v>
      </c>
    </row>
    <row r="933" spans="12:15" x14ac:dyDescent="0.2">
      <c r="L933" s="4">
        <v>927</v>
      </c>
      <c r="M933" s="21">
        <v>15054.65150858814</v>
      </c>
      <c r="N933" s="42">
        <v>51.348104700402544</v>
      </c>
      <c r="O933" s="43">
        <v>13102.770215964543</v>
      </c>
    </row>
    <row r="934" spans="12:15" x14ac:dyDescent="0.2">
      <c r="L934" s="4">
        <v>928</v>
      </c>
      <c r="M934" s="21">
        <v>217.61104975629132</v>
      </c>
      <c r="N934" s="42">
        <v>47.00927009072695</v>
      </c>
      <c r="O934" s="43">
        <v>17274.284321285424</v>
      </c>
    </row>
    <row r="935" spans="12:15" x14ac:dyDescent="0.2">
      <c r="L935" s="4">
        <v>929</v>
      </c>
      <c r="M935" s="21">
        <v>-84505.868156519413</v>
      </c>
      <c r="N935" s="42">
        <v>47.940449722258251</v>
      </c>
      <c r="O935" s="43">
        <v>16138.900429483947</v>
      </c>
    </row>
    <row r="936" spans="12:15" x14ac:dyDescent="0.2">
      <c r="L936" s="4">
        <v>930</v>
      </c>
      <c r="M936" s="21">
        <v>-104433.06041690819</v>
      </c>
      <c r="N936" s="42">
        <v>51.13010667468123</v>
      </c>
      <c r="O936" s="43">
        <v>12261.826565236113</v>
      </c>
    </row>
    <row r="937" spans="12:15" x14ac:dyDescent="0.2">
      <c r="L937" s="4">
        <v>931</v>
      </c>
      <c r="M937" s="21">
        <v>-52804.677694341051</v>
      </c>
      <c r="N937" s="42">
        <v>49.925537907527939</v>
      </c>
      <c r="O937" s="43">
        <v>12945.504416958773</v>
      </c>
    </row>
    <row r="938" spans="12:15" x14ac:dyDescent="0.2">
      <c r="L938" s="4">
        <v>932</v>
      </c>
      <c r="M938" s="21">
        <v>240840.93544289359</v>
      </c>
      <c r="N938" s="42">
        <v>50.456162285233809</v>
      </c>
      <c r="O938" s="43">
        <v>16098.681589135502</v>
      </c>
    </row>
    <row r="939" spans="12:15" x14ac:dyDescent="0.2">
      <c r="L939" s="4">
        <v>933</v>
      </c>
      <c r="M939" s="21">
        <v>-39409.456945431448</v>
      </c>
      <c r="N939" s="42">
        <v>47.69500096957988</v>
      </c>
      <c r="O939" s="43">
        <v>16950.367989330513</v>
      </c>
    </row>
    <row r="940" spans="12:15" x14ac:dyDescent="0.2">
      <c r="L940" s="4">
        <v>934</v>
      </c>
      <c r="M940" s="21">
        <v>-41984.688676057689</v>
      </c>
      <c r="N940" s="42">
        <v>48.837336655464441</v>
      </c>
      <c r="O940" s="43">
        <v>16248.101548314733</v>
      </c>
    </row>
    <row r="941" spans="12:15" x14ac:dyDescent="0.2">
      <c r="L941" s="4">
        <v>935</v>
      </c>
      <c r="M941" s="21">
        <v>-84815.498977191746</v>
      </c>
      <c r="N941" s="42">
        <v>48.797300942533553</v>
      </c>
      <c r="O941" s="43">
        <v>14553.528788651087</v>
      </c>
    </row>
    <row r="942" spans="12:15" x14ac:dyDescent="0.2">
      <c r="L942" s="4">
        <v>936</v>
      </c>
      <c r="M942" s="21">
        <v>-113341.58004872872</v>
      </c>
      <c r="N942" s="42">
        <v>51.050269625651957</v>
      </c>
      <c r="O942" s="43">
        <v>12766.624009875959</v>
      </c>
    </row>
    <row r="943" spans="12:15" x14ac:dyDescent="0.2">
      <c r="L943" s="4">
        <v>937</v>
      </c>
      <c r="M943" s="21">
        <v>115759.81639779572</v>
      </c>
      <c r="N943" s="42">
        <v>50.598115992813241</v>
      </c>
      <c r="O943" s="43">
        <v>14364.343785327532</v>
      </c>
    </row>
    <row r="944" spans="12:15" x14ac:dyDescent="0.2">
      <c r="L944" s="4">
        <v>938</v>
      </c>
      <c r="M944" s="21">
        <v>85636.391113047983</v>
      </c>
      <c r="N944" s="42">
        <v>50.109252447776299</v>
      </c>
      <c r="O944" s="43">
        <v>15663.481042527024</v>
      </c>
    </row>
    <row r="945" spans="12:15" x14ac:dyDescent="0.2">
      <c r="L945" s="4">
        <v>939</v>
      </c>
      <c r="M945" s="21">
        <v>66104.831699404021</v>
      </c>
      <c r="N945" s="42">
        <v>49.454234803319402</v>
      </c>
      <c r="O945" s="43">
        <v>14989.862969152844</v>
      </c>
    </row>
    <row r="946" spans="12:15" x14ac:dyDescent="0.2">
      <c r="L946" s="4">
        <v>940</v>
      </c>
      <c r="M946" s="21">
        <v>176080.42904438262</v>
      </c>
      <c r="N946" s="42">
        <v>49.312075915953372</v>
      </c>
      <c r="O946" s="43">
        <v>18205.258253067088</v>
      </c>
    </row>
    <row r="947" spans="12:15" x14ac:dyDescent="0.2">
      <c r="L947" s="4">
        <v>941</v>
      </c>
      <c r="M947" s="21">
        <v>-126483.22527655808</v>
      </c>
      <c r="N947" s="42">
        <v>49.669193271648382</v>
      </c>
      <c r="O947" s="43">
        <v>13895.753867884425</v>
      </c>
    </row>
    <row r="948" spans="12:15" x14ac:dyDescent="0.2">
      <c r="L948" s="4">
        <v>942</v>
      </c>
      <c r="M948" s="21">
        <v>-157123.42370526653</v>
      </c>
      <c r="N948" s="42">
        <v>45.886799665600833</v>
      </c>
      <c r="O948" s="43">
        <v>17830.376428163891</v>
      </c>
    </row>
    <row r="949" spans="12:15" x14ac:dyDescent="0.2">
      <c r="L949" s="4">
        <v>943</v>
      </c>
      <c r="M949" s="21">
        <v>-79186.062839604405</v>
      </c>
      <c r="N949" s="42">
        <v>50.635317786999906</v>
      </c>
      <c r="O949" s="43">
        <v>12876.561553920626</v>
      </c>
    </row>
    <row r="950" spans="12:15" x14ac:dyDescent="0.2">
      <c r="L950" s="4">
        <v>944</v>
      </c>
      <c r="M950" s="21">
        <v>120039.67159451303</v>
      </c>
      <c r="N950" s="42">
        <v>49.89213083001308</v>
      </c>
      <c r="O950" s="43">
        <v>15386.46217212645</v>
      </c>
    </row>
    <row r="951" spans="12:15" x14ac:dyDescent="0.2">
      <c r="L951" s="4">
        <v>945</v>
      </c>
      <c r="M951" s="21">
        <v>-68090.524761548339</v>
      </c>
      <c r="N951" s="42">
        <v>50.283377573965268</v>
      </c>
      <c r="O951" s="43">
        <v>12936.261430861412</v>
      </c>
    </row>
    <row r="952" spans="12:15" x14ac:dyDescent="0.2">
      <c r="L952" s="4">
        <v>946</v>
      </c>
      <c r="M952" s="21">
        <v>47581.31691207565</v>
      </c>
      <c r="N952" s="42">
        <v>51.241410643310175</v>
      </c>
      <c r="O952" s="43">
        <v>14076.409016544691</v>
      </c>
    </row>
    <row r="953" spans="12:15" x14ac:dyDescent="0.2">
      <c r="L953" s="4">
        <v>947</v>
      </c>
      <c r="M953" s="21">
        <v>-17683.118919211091</v>
      </c>
      <c r="N953" s="42">
        <v>50.044917909084901</v>
      </c>
      <c r="O953" s="43">
        <v>14033.01792299471</v>
      </c>
    </row>
    <row r="954" spans="12:15" x14ac:dyDescent="0.2">
      <c r="L954" s="4">
        <v>948</v>
      </c>
      <c r="M954" s="21">
        <v>-185760.7164674754</v>
      </c>
      <c r="N954" s="42">
        <v>48.662404366100347</v>
      </c>
      <c r="O954" s="43">
        <v>13813.624375096551</v>
      </c>
    </row>
    <row r="955" spans="12:15" x14ac:dyDescent="0.2">
      <c r="L955" s="4">
        <v>949</v>
      </c>
      <c r="M955" s="21">
        <v>123116.59859745947</v>
      </c>
      <c r="N955" s="42">
        <v>51.013677083451213</v>
      </c>
      <c r="O955" s="43">
        <v>14563.394377220613</v>
      </c>
    </row>
    <row r="956" spans="12:15" x14ac:dyDescent="0.2">
      <c r="L956" s="4">
        <v>950</v>
      </c>
      <c r="M956" s="21">
        <v>-143984.7445354134</v>
      </c>
      <c r="N956" s="42">
        <v>47.165302928425319</v>
      </c>
      <c r="O956" s="43">
        <v>14097.824128570439</v>
      </c>
    </row>
    <row r="957" spans="12:15" x14ac:dyDescent="0.2">
      <c r="L957" s="4">
        <v>951</v>
      </c>
      <c r="M957" s="21">
        <v>-28674.878970575024</v>
      </c>
      <c r="N957" s="42">
        <v>49.350606194421566</v>
      </c>
      <c r="O957" s="43">
        <v>14644.308237002972</v>
      </c>
    </row>
    <row r="958" spans="12:15" x14ac:dyDescent="0.2">
      <c r="L958" s="4">
        <v>952</v>
      </c>
      <c r="M958" s="21">
        <v>-100691.15246731818</v>
      </c>
      <c r="N958" s="42">
        <v>47.367005854051065</v>
      </c>
      <c r="O958" s="43">
        <v>16198.199359189108</v>
      </c>
    </row>
    <row r="959" spans="12:15" x14ac:dyDescent="0.2">
      <c r="L959" s="4">
        <v>953</v>
      </c>
      <c r="M959" s="21">
        <v>-130487.46449418202</v>
      </c>
      <c r="N959" s="42">
        <v>49.848071898618414</v>
      </c>
      <c r="O959" s="43">
        <v>13282.808215116891</v>
      </c>
    </row>
    <row r="960" spans="12:15" x14ac:dyDescent="0.2">
      <c r="L960" s="4">
        <v>954</v>
      </c>
      <c r="M960" s="21">
        <v>53180.274510871473</v>
      </c>
      <c r="N960" s="42">
        <v>46.876423726595839</v>
      </c>
      <c r="O960" s="43">
        <v>18335.185825835568</v>
      </c>
    </row>
    <row r="961" spans="12:15" x14ac:dyDescent="0.2">
      <c r="L961" s="4">
        <v>955</v>
      </c>
      <c r="M961" s="21">
        <v>-117593.36783466594</v>
      </c>
      <c r="N961" s="42">
        <v>48.272708818659844</v>
      </c>
      <c r="O961" s="43">
        <v>15661.079611448198</v>
      </c>
    </row>
    <row r="962" spans="12:15" x14ac:dyDescent="0.2">
      <c r="L962" s="4">
        <v>956</v>
      </c>
      <c r="M962" s="21">
        <v>-166777.99635002748</v>
      </c>
      <c r="N962" s="42">
        <v>49.90636061069435</v>
      </c>
      <c r="O962" s="43">
        <v>14175.36574011662</v>
      </c>
    </row>
    <row r="963" spans="12:15" x14ac:dyDescent="0.2">
      <c r="L963" s="4">
        <v>957</v>
      </c>
      <c r="M963" s="21">
        <v>-84991.40549111375</v>
      </c>
      <c r="N963" s="42">
        <v>49.565169836714361</v>
      </c>
      <c r="O963" s="43">
        <v>14287.839017607377</v>
      </c>
    </row>
    <row r="964" spans="12:15" x14ac:dyDescent="0.2">
      <c r="L964" s="4">
        <v>958</v>
      </c>
      <c r="M964" s="21">
        <v>116440.26506090432</v>
      </c>
      <c r="N964" s="42">
        <v>47.745905580127044</v>
      </c>
      <c r="O964" s="43">
        <v>17808.33966950445</v>
      </c>
    </row>
    <row r="965" spans="12:15" x14ac:dyDescent="0.2">
      <c r="L965" s="4">
        <v>959</v>
      </c>
      <c r="M965" s="21">
        <v>-90234.476482871105</v>
      </c>
      <c r="N965" s="42">
        <v>48.338871244014165</v>
      </c>
      <c r="O965" s="43">
        <v>13786.902095133199</v>
      </c>
    </row>
    <row r="966" spans="12:15" x14ac:dyDescent="0.2">
      <c r="L966" s="4">
        <v>960</v>
      </c>
      <c r="M966" s="21">
        <v>-215590.39151285106</v>
      </c>
      <c r="N966" s="42">
        <v>47.316413538249741</v>
      </c>
      <c r="O966" s="43">
        <v>14349.679560745335</v>
      </c>
    </row>
    <row r="967" spans="12:15" x14ac:dyDescent="0.2">
      <c r="L967" s="4">
        <v>961</v>
      </c>
      <c r="M967" s="21">
        <v>-19910.926598528997</v>
      </c>
      <c r="N967" s="42">
        <v>49.592871802748242</v>
      </c>
      <c r="O967" s="43">
        <v>14225.242629964196</v>
      </c>
    </row>
    <row r="968" spans="12:15" x14ac:dyDescent="0.2">
      <c r="L968" s="4">
        <v>962</v>
      </c>
      <c r="M968" s="21">
        <v>-69410.658932668768</v>
      </c>
      <c r="N968" s="42">
        <v>50.700736798891228</v>
      </c>
      <c r="O968" s="43">
        <v>13935.426476759778</v>
      </c>
    </row>
    <row r="969" spans="12:15" x14ac:dyDescent="0.2">
      <c r="L969" s="4">
        <v>963</v>
      </c>
      <c r="M969" s="21">
        <v>-197702.81763901631</v>
      </c>
      <c r="N969" s="42">
        <v>49.255884944339122</v>
      </c>
      <c r="O969" s="43">
        <v>13165.890234452556</v>
      </c>
    </row>
    <row r="970" spans="12:15" x14ac:dyDescent="0.2">
      <c r="L970" s="4">
        <v>964</v>
      </c>
      <c r="M970" s="21">
        <v>-117459.81118159967</v>
      </c>
      <c r="N970" s="42">
        <v>46.647420882116791</v>
      </c>
      <c r="O970" s="43">
        <v>16946.226845480662</v>
      </c>
    </row>
    <row r="971" spans="12:15" x14ac:dyDescent="0.2">
      <c r="L971" s="4">
        <v>965</v>
      </c>
      <c r="M971" s="21">
        <v>127351.12729438493</v>
      </c>
      <c r="N971" s="42">
        <v>50.737543170057833</v>
      </c>
      <c r="O971" s="43">
        <v>14944.209617542212</v>
      </c>
    </row>
    <row r="972" spans="12:15" x14ac:dyDescent="0.2">
      <c r="L972" s="4">
        <v>966</v>
      </c>
      <c r="M972" s="21">
        <v>-123294.18058451069</v>
      </c>
      <c r="N972" s="42">
        <v>50.880506282286383</v>
      </c>
      <c r="O972" s="43">
        <v>12960.259284718084</v>
      </c>
    </row>
    <row r="973" spans="12:15" x14ac:dyDescent="0.2">
      <c r="L973" s="4">
        <v>967</v>
      </c>
      <c r="M973" s="21">
        <v>10080.062954204186</v>
      </c>
      <c r="N973" s="42">
        <v>48.223687178757537</v>
      </c>
      <c r="O973" s="43">
        <v>17552.710345891228</v>
      </c>
    </row>
    <row r="974" spans="12:15" x14ac:dyDescent="0.2">
      <c r="L974" s="4">
        <v>968</v>
      </c>
      <c r="M974" s="21">
        <v>61229.520278806565</v>
      </c>
      <c r="N974" s="42">
        <v>47.931282100485923</v>
      </c>
      <c r="O974" s="43">
        <v>15692.677372314347</v>
      </c>
    </row>
    <row r="975" spans="12:15" x14ac:dyDescent="0.2">
      <c r="L975" s="4">
        <v>969</v>
      </c>
      <c r="M975" s="21">
        <v>-171550.91778267015</v>
      </c>
      <c r="N975" s="42">
        <v>47.083994656327782</v>
      </c>
      <c r="O975" s="43">
        <v>13921.967382252993</v>
      </c>
    </row>
    <row r="976" spans="12:15" x14ac:dyDescent="0.2">
      <c r="L976" s="4">
        <v>970</v>
      </c>
      <c r="M976" s="21">
        <v>-78984.743764900166</v>
      </c>
      <c r="N976" s="42">
        <v>49.504257964108078</v>
      </c>
      <c r="O976" s="43">
        <v>13568.422812351753</v>
      </c>
    </row>
    <row r="977" spans="12:15" x14ac:dyDescent="0.2">
      <c r="L977" s="4">
        <v>971</v>
      </c>
      <c r="M977" s="21">
        <v>3765.5492903067206</v>
      </c>
      <c r="N977" s="42">
        <v>50.205544886969143</v>
      </c>
      <c r="O977" s="43">
        <v>15127.207366434448</v>
      </c>
    </row>
    <row r="978" spans="12:15" x14ac:dyDescent="0.2">
      <c r="L978" s="4">
        <v>972</v>
      </c>
      <c r="M978" s="21">
        <v>-168781.08613306709</v>
      </c>
      <c r="N978" s="42">
        <v>49.233834020386375</v>
      </c>
      <c r="O978" s="43">
        <v>14492.461743957516</v>
      </c>
    </row>
    <row r="979" spans="12:15" x14ac:dyDescent="0.2">
      <c r="L979" s="4">
        <v>973</v>
      </c>
      <c r="M979" s="21">
        <v>-157927.66544693889</v>
      </c>
      <c r="N979" s="42">
        <v>48.442020067449242</v>
      </c>
      <c r="O979" s="43">
        <v>13649.361672228986</v>
      </c>
    </row>
    <row r="980" spans="12:15" x14ac:dyDescent="0.2">
      <c r="L980" s="4">
        <v>974</v>
      </c>
      <c r="M980" s="21">
        <v>111499.40073293354</v>
      </c>
      <c r="N980" s="42">
        <v>50.703061396548421</v>
      </c>
      <c r="O980" s="43">
        <v>15760.185242107398</v>
      </c>
    </row>
    <row r="981" spans="12:15" x14ac:dyDescent="0.2">
      <c r="L981" s="4">
        <v>975</v>
      </c>
      <c r="M981" s="21">
        <v>136246.07074028309</v>
      </c>
      <c r="N981" s="42">
        <v>47.541401869559287</v>
      </c>
      <c r="O981" s="43">
        <v>17866.958618409379</v>
      </c>
    </row>
    <row r="982" spans="12:15" x14ac:dyDescent="0.2">
      <c r="L982" s="4">
        <v>976</v>
      </c>
      <c r="M982" s="21">
        <v>-124325.20112161319</v>
      </c>
      <c r="N982" s="42">
        <v>50.921137108454033</v>
      </c>
      <c r="O982" s="43">
        <v>13077.421563242953</v>
      </c>
    </row>
    <row r="983" spans="12:15" x14ac:dyDescent="0.2">
      <c r="L983" s="4">
        <v>977</v>
      </c>
      <c r="M983" s="21">
        <v>-107355.10380342095</v>
      </c>
      <c r="N983" s="42">
        <v>50.645224472051893</v>
      </c>
      <c r="O983" s="43">
        <v>12750.401556719329</v>
      </c>
    </row>
    <row r="984" spans="12:15" x14ac:dyDescent="0.2">
      <c r="L984" s="4">
        <v>978</v>
      </c>
      <c r="M984" s="21">
        <v>-160546.17193145229</v>
      </c>
      <c r="N984" s="42">
        <v>50.278691791894282</v>
      </c>
      <c r="O984" s="43">
        <v>12776.00747740589</v>
      </c>
    </row>
    <row r="985" spans="12:15" x14ac:dyDescent="0.2">
      <c r="L985" s="4">
        <v>979</v>
      </c>
      <c r="M985" s="21">
        <v>23630.312408629106</v>
      </c>
      <c r="N985" s="42">
        <v>50.818103209001087</v>
      </c>
      <c r="O985" s="43">
        <v>14225.442594960296</v>
      </c>
    </row>
    <row r="986" spans="12:15" x14ac:dyDescent="0.2">
      <c r="L986" s="4">
        <v>980</v>
      </c>
      <c r="M986" s="21">
        <v>50565.93916190826</v>
      </c>
      <c r="N986" s="42">
        <v>47.311586433773321</v>
      </c>
      <c r="O986" s="43">
        <v>17051.430824687697</v>
      </c>
    </row>
    <row r="987" spans="12:15" x14ac:dyDescent="0.2">
      <c r="L987" s="4">
        <v>981</v>
      </c>
      <c r="M987" s="21">
        <v>-136478.90609359508</v>
      </c>
      <c r="N987" s="42">
        <v>51.077869969728056</v>
      </c>
      <c r="O987" s="43">
        <v>12859.704116634583</v>
      </c>
    </row>
    <row r="988" spans="12:15" x14ac:dyDescent="0.2">
      <c r="L988" s="4">
        <v>982</v>
      </c>
      <c r="M988" s="21">
        <v>22069.534008815099</v>
      </c>
      <c r="N988" s="42">
        <v>51.918976501724259</v>
      </c>
      <c r="O988" s="43">
        <v>12419.314433891677</v>
      </c>
    </row>
    <row r="989" spans="12:15" x14ac:dyDescent="0.2">
      <c r="L989" s="4">
        <v>983</v>
      </c>
      <c r="M989" s="21">
        <v>-121318.61466322686</v>
      </c>
      <c r="N989" s="42">
        <v>49.457586601170377</v>
      </c>
      <c r="O989" s="43">
        <v>13596.322291696712</v>
      </c>
    </row>
    <row r="990" spans="12:15" x14ac:dyDescent="0.2">
      <c r="L990" s="4">
        <v>984</v>
      </c>
      <c r="M990" s="21">
        <v>-134852.12073542253</v>
      </c>
      <c r="N990" s="42">
        <v>47.66396920616117</v>
      </c>
      <c r="O990" s="43">
        <v>14946.174399179983</v>
      </c>
    </row>
    <row r="991" spans="12:15" x14ac:dyDescent="0.2">
      <c r="L991" s="4">
        <v>985</v>
      </c>
      <c r="M991" s="21">
        <v>253284.57639771176</v>
      </c>
      <c r="N991" s="42">
        <v>51.220056108086361</v>
      </c>
      <c r="O991" s="43">
        <v>14960.38384357378</v>
      </c>
    </row>
    <row r="992" spans="12:15" x14ac:dyDescent="0.2">
      <c r="L992" s="4">
        <v>986</v>
      </c>
      <c r="M992" s="21">
        <v>-182831.28819904599</v>
      </c>
      <c r="N992" s="42">
        <v>47.107365307945869</v>
      </c>
      <c r="O992" s="43">
        <v>15125.317719962904</v>
      </c>
    </row>
    <row r="993" spans="12:15" x14ac:dyDescent="0.2">
      <c r="L993" s="4">
        <v>987</v>
      </c>
      <c r="M993" s="21">
        <v>17911.457167390647</v>
      </c>
      <c r="N993" s="42">
        <v>47.418669763999702</v>
      </c>
      <c r="O993" s="43">
        <v>16930.318719977695</v>
      </c>
    </row>
    <row r="994" spans="12:15" x14ac:dyDescent="0.2">
      <c r="L994" s="4">
        <v>988</v>
      </c>
      <c r="M994" s="21">
        <v>-176386.81840723869</v>
      </c>
      <c r="N994" s="42">
        <v>47.279756872389115</v>
      </c>
      <c r="O994" s="43">
        <v>14015.357440920341</v>
      </c>
    </row>
    <row r="995" spans="12:15" x14ac:dyDescent="0.2">
      <c r="L995" s="4">
        <v>989</v>
      </c>
      <c r="M995" s="21">
        <v>-7956.8160797296005</v>
      </c>
      <c r="N995" s="42">
        <v>48.94881145459393</v>
      </c>
      <c r="O995" s="43">
        <v>13966.604149954417</v>
      </c>
    </row>
    <row r="996" spans="12:15" x14ac:dyDescent="0.2">
      <c r="L996" s="4">
        <v>990</v>
      </c>
      <c r="M996" s="21">
        <v>182613.52433447968</v>
      </c>
      <c r="N996" s="42">
        <v>50.151688107258629</v>
      </c>
      <c r="O996" s="43">
        <v>15928.868914858604</v>
      </c>
    </row>
    <row r="997" spans="12:15" x14ac:dyDescent="0.2">
      <c r="L997" s="4">
        <v>991</v>
      </c>
      <c r="M997" s="21">
        <v>-204322.46240610792</v>
      </c>
      <c r="N997" s="42">
        <v>49.877648882312435</v>
      </c>
      <c r="O997" s="43">
        <v>12330.325942181529</v>
      </c>
    </row>
    <row r="998" spans="12:15" x14ac:dyDescent="0.2">
      <c r="L998" s="4">
        <v>992</v>
      </c>
      <c r="M998" s="21">
        <v>59495.279099640495</v>
      </c>
      <c r="N998" s="42">
        <v>50.064155657792526</v>
      </c>
      <c r="O998" s="43">
        <v>15169.205778504658</v>
      </c>
    </row>
    <row r="999" spans="12:15" x14ac:dyDescent="0.2">
      <c r="L999" s="4">
        <v>993</v>
      </c>
      <c r="M999" s="21">
        <v>-81388.389904471172</v>
      </c>
      <c r="N999" s="42">
        <v>47.275764687850852</v>
      </c>
      <c r="O999" s="43">
        <v>15646.609052700904</v>
      </c>
    </row>
    <row r="1000" spans="12:15" x14ac:dyDescent="0.2">
      <c r="L1000" s="4">
        <v>994</v>
      </c>
      <c r="M1000" s="21">
        <v>-76017.146022530986</v>
      </c>
      <c r="N1000" s="42">
        <v>49.819970142361669</v>
      </c>
      <c r="O1000" s="43">
        <v>14572.924754849975</v>
      </c>
    </row>
    <row r="1001" spans="12:15" x14ac:dyDescent="0.2">
      <c r="L1001" s="4">
        <v>995</v>
      </c>
      <c r="M1001" s="21">
        <v>105449.12007604458</v>
      </c>
      <c r="N1001" s="42">
        <v>47.30832998668712</v>
      </c>
      <c r="O1001" s="43">
        <v>19061.400987623339</v>
      </c>
    </row>
    <row r="1002" spans="12:15" x14ac:dyDescent="0.2">
      <c r="L1002" s="4">
        <v>996</v>
      </c>
      <c r="M1002" s="21">
        <v>25594.563033235871</v>
      </c>
      <c r="N1002" s="42">
        <v>49.993036693239894</v>
      </c>
      <c r="O1002" s="43">
        <v>15729.283164235478</v>
      </c>
    </row>
    <row r="1003" spans="12:15" x14ac:dyDescent="0.2">
      <c r="L1003" s="4">
        <v>997</v>
      </c>
      <c r="M1003" s="21">
        <v>-65054.029589594153</v>
      </c>
      <c r="N1003" s="42">
        <v>46.924701748401134</v>
      </c>
      <c r="O1003" s="43">
        <v>16156.710581949788</v>
      </c>
    </row>
    <row r="1004" spans="12:15" x14ac:dyDescent="0.2">
      <c r="L1004" s="4">
        <v>998</v>
      </c>
      <c r="M1004" s="21">
        <v>147206.48746134105</v>
      </c>
      <c r="N1004" s="42">
        <v>48.329457065945022</v>
      </c>
      <c r="O1004" s="43">
        <v>15631.780148991933</v>
      </c>
    </row>
    <row r="1005" spans="12:15" x14ac:dyDescent="0.2">
      <c r="L1005" s="4">
        <v>999</v>
      </c>
      <c r="M1005" s="21">
        <v>-118971.40209274265</v>
      </c>
      <c r="N1005" s="42">
        <v>47.993764450322878</v>
      </c>
      <c r="O1005" s="43">
        <v>15494.068336707782</v>
      </c>
    </row>
    <row r="1006" spans="12:15" x14ac:dyDescent="0.2">
      <c r="L1006" s="4">
        <v>1000</v>
      </c>
      <c r="M1006" s="21">
        <v>16613.927047242993</v>
      </c>
      <c r="N1006" s="42">
        <v>50.039527393534058</v>
      </c>
      <c r="O1006" s="43">
        <v>15114.851083901383</v>
      </c>
    </row>
    <row r="1007" spans="12:15" x14ac:dyDescent="0.2">
      <c r="L1007" s="4">
        <v>1001</v>
      </c>
      <c r="M1007" s="21">
        <v>-113339.75237215757</v>
      </c>
      <c r="N1007" s="42">
        <v>47.038400688819422</v>
      </c>
      <c r="O1007" s="43">
        <v>14722.059523692797</v>
      </c>
    </row>
    <row r="1008" spans="12:15" x14ac:dyDescent="0.2">
      <c r="L1008" s="4">
        <v>1002</v>
      </c>
      <c r="M1008" s="21">
        <v>62624.67148568132</v>
      </c>
      <c r="N1008" s="42">
        <v>49.378503787541646</v>
      </c>
      <c r="O1008" s="43">
        <v>17080.401063373636</v>
      </c>
    </row>
    <row r="1009" spans="12:15" x14ac:dyDescent="0.2">
      <c r="L1009" s="4">
        <v>1003</v>
      </c>
      <c r="M1009" s="21">
        <v>-104132.57927664659</v>
      </c>
      <c r="N1009" s="42">
        <v>47.433122358155124</v>
      </c>
      <c r="O1009" s="43">
        <v>16069.036599229828</v>
      </c>
    </row>
    <row r="1010" spans="12:15" x14ac:dyDescent="0.2">
      <c r="L1010" s="4">
        <v>1004</v>
      </c>
      <c r="M1010" s="21">
        <v>-147810.24291125737</v>
      </c>
      <c r="N1010" s="42">
        <v>48.092604127252763</v>
      </c>
      <c r="O1010" s="43">
        <v>16144.78736619648</v>
      </c>
    </row>
    <row r="1011" spans="12:15" x14ac:dyDescent="0.2">
      <c r="L1011" s="4">
        <v>1005</v>
      </c>
      <c r="M1011" s="21">
        <v>-26332.609316036716</v>
      </c>
      <c r="N1011" s="42">
        <v>48.817472809674804</v>
      </c>
      <c r="O1011" s="43">
        <v>15453.134139034384</v>
      </c>
    </row>
    <row r="1012" spans="12:15" x14ac:dyDescent="0.2">
      <c r="L1012" s="4">
        <v>1006</v>
      </c>
      <c r="M1012" s="21">
        <v>-169622.6257852831</v>
      </c>
      <c r="N1012" s="42">
        <v>49.08848124440636</v>
      </c>
      <c r="O1012" s="43">
        <v>13449.66956864707</v>
      </c>
    </row>
    <row r="1013" spans="12:15" x14ac:dyDescent="0.2">
      <c r="L1013" s="4">
        <v>1007</v>
      </c>
      <c r="M1013" s="21">
        <v>-58958.208283356857</v>
      </c>
      <c r="N1013" s="42">
        <v>47.664039448276455</v>
      </c>
      <c r="O1013" s="43">
        <v>14459.666721051912</v>
      </c>
    </row>
    <row r="1014" spans="12:15" x14ac:dyDescent="0.2">
      <c r="L1014" s="4">
        <v>1008</v>
      </c>
      <c r="M1014" s="21">
        <v>-20666.564853949414</v>
      </c>
      <c r="N1014" s="42">
        <v>51.415936678350448</v>
      </c>
      <c r="O1014" s="43">
        <v>14246.600358023952</v>
      </c>
    </row>
    <row r="1015" spans="12:15" x14ac:dyDescent="0.2">
      <c r="L1015" s="4">
        <v>1009</v>
      </c>
      <c r="M1015" s="21">
        <v>-109950.25460329493</v>
      </c>
      <c r="N1015" s="42">
        <v>50.043870175601299</v>
      </c>
      <c r="O1015" s="43">
        <v>12744.158349941918</v>
      </c>
    </row>
    <row r="1016" spans="12:15" x14ac:dyDescent="0.2">
      <c r="L1016" s="4">
        <v>1010</v>
      </c>
      <c r="M1016" s="21">
        <v>-27585.989327339194</v>
      </c>
      <c r="N1016" s="42">
        <v>47.791451080757518</v>
      </c>
      <c r="O1016" s="43">
        <v>16427.991051966041</v>
      </c>
    </row>
    <row r="1017" spans="12:15" x14ac:dyDescent="0.2">
      <c r="L1017" s="4">
        <v>1011</v>
      </c>
      <c r="M1017" s="21">
        <v>-33831.006344092209</v>
      </c>
      <c r="N1017" s="42">
        <v>51.268531137768839</v>
      </c>
      <c r="O1017" s="43">
        <v>13142.632990923952</v>
      </c>
    </row>
    <row r="1018" spans="12:15" x14ac:dyDescent="0.2">
      <c r="L1018" s="4">
        <v>1012</v>
      </c>
      <c r="M1018" s="21">
        <v>-82698.799998185277</v>
      </c>
      <c r="N1018" s="42">
        <v>49.819026699778661</v>
      </c>
      <c r="O1018" s="43">
        <v>12373.066290011331</v>
      </c>
    </row>
    <row r="1019" spans="12:15" x14ac:dyDescent="0.2">
      <c r="L1019" s="4">
        <v>1013</v>
      </c>
      <c r="M1019" s="21">
        <v>-69236.261944922604</v>
      </c>
      <c r="N1019" s="42">
        <v>45.876252926866933</v>
      </c>
      <c r="O1019" s="43">
        <v>17563.910104260332</v>
      </c>
    </row>
    <row r="1020" spans="12:15" x14ac:dyDescent="0.2">
      <c r="L1020" s="4">
        <v>1014</v>
      </c>
      <c r="M1020" s="21">
        <v>124410.01258034975</v>
      </c>
      <c r="N1020" s="42">
        <v>50.303103421500808</v>
      </c>
      <c r="O1020" s="43">
        <v>15967.558321183882</v>
      </c>
    </row>
    <row r="1021" spans="12:15" x14ac:dyDescent="0.2">
      <c r="L1021" s="4">
        <v>1015</v>
      </c>
      <c r="M1021" s="21">
        <v>56874.670398660237</v>
      </c>
      <c r="N1021" s="42">
        <v>50.141284503914264</v>
      </c>
      <c r="O1021" s="43">
        <v>15052.303294834459</v>
      </c>
    </row>
    <row r="1022" spans="12:15" x14ac:dyDescent="0.2">
      <c r="L1022" s="4">
        <v>1016</v>
      </c>
      <c r="M1022" s="21">
        <v>-102979.22002365999</v>
      </c>
      <c r="N1022" s="42">
        <v>49.721922657922121</v>
      </c>
      <c r="O1022" s="43">
        <v>14252.292722193026</v>
      </c>
    </row>
    <row r="1023" spans="12:15" x14ac:dyDescent="0.2">
      <c r="L1023" s="4">
        <v>1017</v>
      </c>
      <c r="M1023" s="21">
        <v>11391.215817762393</v>
      </c>
      <c r="N1023" s="42">
        <v>51.105327633547503</v>
      </c>
      <c r="O1023" s="43">
        <v>14120.63119016734</v>
      </c>
    </row>
    <row r="1024" spans="12:15" x14ac:dyDescent="0.2">
      <c r="L1024" s="4">
        <v>1018</v>
      </c>
      <c r="M1024" s="21">
        <v>-9551.0585569726245</v>
      </c>
      <c r="N1024" s="42">
        <v>49.192004051129985</v>
      </c>
      <c r="O1024" s="43">
        <v>14699.371947412674</v>
      </c>
    </row>
    <row r="1025" spans="12:15" x14ac:dyDescent="0.2">
      <c r="L1025" s="4">
        <v>1019</v>
      </c>
      <c r="M1025" s="21">
        <v>1746.8170192168036</v>
      </c>
      <c r="N1025" s="42">
        <v>50.861674556478967</v>
      </c>
      <c r="O1025" s="43">
        <v>13729.207920914097</v>
      </c>
    </row>
    <row r="1026" spans="12:15" x14ac:dyDescent="0.2">
      <c r="L1026" s="4">
        <v>1020</v>
      </c>
      <c r="M1026" s="21">
        <v>-66704.316355688978</v>
      </c>
      <c r="N1026" s="42">
        <v>48.025302989124015</v>
      </c>
      <c r="O1026" s="43">
        <v>17171.001423505906</v>
      </c>
    </row>
    <row r="1027" spans="12:15" x14ac:dyDescent="0.2">
      <c r="L1027" s="4">
        <v>1021</v>
      </c>
      <c r="M1027" s="21">
        <v>75020.936015881278</v>
      </c>
      <c r="N1027" s="42">
        <v>47.789251731113175</v>
      </c>
      <c r="O1027" s="43">
        <v>18545.377370866372</v>
      </c>
    </row>
    <row r="1028" spans="12:15" x14ac:dyDescent="0.2">
      <c r="L1028" s="4">
        <v>1022</v>
      </c>
      <c r="M1028" s="21">
        <v>-52921.864023801594</v>
      </c>
      <c r="N1028" s="42">
        <v>49.198402879303423</v>
      </c>
      <c r="O1028" s="43">
        <v>14551.147018719941</v>
      </c>
    </row>
    <row r="1029" spans="12:15" x14ac:dyDescent="0.2">
      <c r="L1029" s="4">
        <v>1023</v>
      </c>
      <c r="M1029" s="21">
        <v>31170.980862517405</v>
      </c>
      <c r="N1029" s="42">
        <v>51.530233384181912</v>
      </c>
      <c r="O1029" s="43">
        <v>13916.785940153706</v>
      </c>
    </row>
    <row r="1030" spans="12:15" x14ac:dyDescent="0.2">
      <c r="L1030" s="4">
        <v>1024</v>
      </c>
      <c r="M1030" s="21">
        <v>147546.25562976746</v>
      </c>
      <c r="N1030" s="42">
        <v>49.48046974750774</v>
      </c>
      <c r="O1030" s="43">
        <v>16448.706512753881</v>
      </c>
    </row>
    <row r="1031" spans="12:15" x14ac:dyDescent="0.2">
      <c r="L1031" s="4">
        <v>1025</v>
      </c>
      <c r="M1031" s="21">
        <v>282699.40923437162</v>
      </c>
      <c r="N1031" s="42">
        <v>51.049717093461609</v>
      </c>
      <c r="O1031" s="43">
        <v>15503.266367738554</v>
      </c>
    </row>
    <row r="1032" spans="12:15" x14ac:dyDescent="0.2">
      <c r="L1032" s="4">
        <v>1026</v>
      </c>
      <c r="M1032" s="21">
        <v>116584.4868868179</v>
      </c>
      <c r="N1032" s="42">
        <v>50.572477309804661</v>
      </c>
      <c r="O1032" s="43">
        <v>15728.388141588115</v>
      </c>
    </row>
    <row r="1033" spans="12:15" x14ac:dyDescent="0.2">
      <c r="L1033" s="4">
        <v>1027</v>
      </c>
      <c r="M1033" s="21">
        <v>-20849.417003688344</v>
      </c>
      <c r="N1033" s="42">
        <v>50.305284895589779</v>
      </c>
      <c r="O1033" s="43">
        <v>13946.141207374123</v>
      </c>
    </row>
    <row r="1034" spans="12:15" x14ac:dyDescent="0.2">
      <c r="L1034" s="4">
        <v>1028</v>
      </c>
      <c r="M1034" s="21">
        <v>-110419.14206523352</v>
      </c>
      <c r="N1034" s="42">
        <v>49.346472789976445</v>
      </c>
      <c r="O1034" s="43">
        <v>15279.014705268737</v>
      </c>
    </row>
    <row r="1035" spans="12:15" x14ac:dyDescent="0.2">
      <c r="L1035" s="4">
        <v>1029</v>
      </c>
      <c r="M1035" s="21">
        <v>85929.296290770173</v>
      </c>
      <c r="N1035" s="42">
        <v>51.14126940209583</v>
      </c>
      <c r="O1035" s="43">
        <v>14494.577089653561</v>
      </c>
    </row>
    <row r="1036" spans="12:15" x14ac:dyDescent="0.2">
      <c r="L1036" s="4">
        <v>1030</v>
      </c>
      <c r="M1036" s="21">
        <v>-135787.72411311019</v>
      </c>
      <c r="N1036" s="42">
        <v>46.794815012030803</v>
      </c>
      <c r="O1036" s="43">
        <v>15718.019776831732</v>
      </c>
    </row>
    <row r="1037" spans="12:15" x14ac:dyDescent="0.2">
      <c r="L1037" s="4">
        <v>1031</v>
      </c>
      <c r="M1037" s="21">
        <v>-17820.838772223011</v>
      </c>
      <c r="N1037" s="42">
        <v>49.484233099255185</v>
      </c>
      <c r="O1037" s="43">
        <v>16753.521153176291</v>
      </c>
    </row>
    <row r="1038" spans="12:15" x14ac:dyDescent="0.2">
      <c r="L1038" s="4">
        <v>1032</v>
      </c>
      <c r="M1038" s="21">
        <v>101315.94266993116</v>
      </c>
      <c r="N1038" s="42">
        <v>49.384201902919735</v>
      </c>
      <c r="O1038" s="43">
        <v>14661.380813936908</v>
      </c>
    </row>
    <row r="1039" spans="12:15" x14ac:dyDescent="0.2">
      <c r="L1039" s="4">
        <v>1033</v>
      </c>
      <c r="M1039" s="21">
        <v>30543.084686135757</v>
      </c>
      <c r="N1039" s="42">
        <v>48.705813815360123</v>
      </c>
      <c r="O1039" s="43">
        <v>15611.444302749909</v>
      </c>
    </row>
    <row r="1040" spans="12:15" x14ac:dyDescent="0.2">
      <c r="L1040" s="4">
        <v>1034</v>
      </c>
      <c r="M1040" s="21">
        <v>79805.046828957275</v>
      </c>
      <c r="N1040" s="42">
        <v>51.903891383651121</v>
      </c>
      <c r="O1040" s="43">
        <v>14760.107012896133</v>
      </c>
    </row>
    <row r="1041" spans="12:15" x14ac:dyDescent="0.2">
      <c r="L1041" s="4">
        <v>1035</v>
      </c>
      <c r="M1041" s="21">
        <v>1396.0976821026125</v>
      </c>
      <c r="N1041" s="42">
        <v>48.005635916388435</v>
      </c>
      <c r="O1041" s="43">
        <v>14782.114020847115</v>
      </c>
    </row>
    <row r="1042" spans="12:15" x14ac:dyDescent="0.2">
      <c r="L1042" s="4">
        <v>1036</v>
      </c>
      <c r="M1042" s="21">
        <v>98315.469072907552</v>
      </c>
      <c r="N1042" s="42">
        <v>50.674678332849112</v>
      </c>
      <c r="O1042" s="43">
        <v>16006.744630026349</v>
      </c>
    </row>
    <row r="1043" spans="12:15" x14ac:dyDescent="0.2">
      <c r="L1043" s="4">
        <v>1037</v>
      </c>
      <c r="M1043" s="21">
        <v>31150.715710506454</v>
      </c>
      <c r="N1043" s="42">
        <v>49.215602494988218</v>
      </c>
      <c r="O1043" s="43">
        <v>15490.51595229737</v>
      </c>
    </row>
    <row r="1044" spans="12:15" x14ac:dyDescent="0.2">
      <c r="L1044" s="4">
        <v>1038</v>
      </c>
      <c r="M1044" s="21">
        <v>-77749.891238922515</v>
      </c>
      <c r="N1044" s="42">
        <v>49.443086435138689</v>
      </c>
      <c r="O1044" s="43">
        <v>13940.670179883389</v>
      </c>
    </row>
    <row r="1045" spans="12:15" x14ac:dyDescent="0.2">
      <c r="L1045" s="4">
        <v>1039</v>
      </c>
      <c r="M1045" s="21">
        <v>-204028.94000406202</v>
      </c>
      <c r="N1045" s="42">
        <v>50.970663560146022</v>
      </c>
      <c r="O1045" s="43">
        <v>12056.924252220277</v>
      </c>
    </row>
    <row r="1046" spans="12:15" x14ac:dyDescent="0.2">
      <c r="L1046" s="4">
        <v>1040</v>
      </c>
      <c r="M1046" s="21">
        <v>-25846.457914692481</v>
      </c>
      <c r="N1046" s="42">
        <v>46.974069843555711</v>
      </c>
      <c r="O1046" s="43">
        <v>15870.798808012898</v>
      </c>
    </row>
    <row r="1047" spans="12:15" x14ac:dyDescent="0.2">
      <c r="L1047" s="4">
        <v>1041</v>
      </c>
      <c r="M1047" s="21">
        <v>60938.197895845573</v>
      </c>
      <c r="N1047" s="42">
        <v>47.555375611680915</v>
      </c>
      <c r="O1047" s="43">
        <v>18330.236965780117</v>
      </c>
    </row>
    <row r="1048" spans="12:15" x14ac:dyDescent="0.2">
      <c r="L1048" s="4">
        <v>1042</v>
      </c>
      <c r="M1048" s="21">
        <v>-152218.83264215192</v>
      </c>
      <c r="N1048" s="42">
        <v>48.610430421976048</v>
      </c>
      <c r="O1048" s="43">
        <v>12922.20005689446</v>
      </c>
    </row>
    <row r="1049" spans="12:15" x14ac:dyDescent="0.2">
      <c r="L1049" s="4">
        <v>1043</v>
      </c>
      <c r="M1049" s="21">
        <v>-5997.9940742326289</v>
      </c>
      <c r="N1049" s="42">
        <v>49.335005831430294</v>
      </c>
      <c r="O1049" s="43">
        <v>15548.228846638232</v>
      </c>
    </row>
    <row r="1050" spans="12:15" x14ac:dyDescent="0.2">
      <c r="L1050" s="4">
        <v>1044</v>
      </c>
      <c r="M1050" s="21">
        <v>56758.447208553727</v>
      </c>
      <c r="N1050" s="42">
        <v>49.180531485504311</v>
      </c>
      <c r="O1050" s="43">
        <v>18193.843735588081</v>
      </c>
    </row>
    <row r="1051" spans="12:15" x14ac:dyDescent="0.2">
      <c r="L1051" s="4">
        <v>1045</v>
      </c>
      <c r="M1051" s="21">
        <v>-210804.79739469534</v>
      </c>
      <c r="N1051" s="42">
        <v>50.657835580532939</v>
      </c>
      <c r="O1051" s="43">
        <v>13127.309527772226</v>
      </c>
    </row>
    <row r="1052" spans="12:15" x14ac:dyDescent="0.2">
      <c r="L1052" s="4">
        <v>1046</v>
      </c>
      <c r="M1052" s="21">
        <v>-107679.27685424387</v>
      </c>
      <c r="N1052" s="42">
        <v>47.386646256552062</v>
      </c>
      <c r="O1052" s="43">
        <v>15573.74712839942</v>
      </c>
    </row>
    <row r="1053" spans="12:15" x14ac:dyDescent="0.2">
      <c r="L1053" s="4">
        <v>1047</v>
      </c>
      <c r="M1053" s="21">
        <v>172801.70998932619</v>
      </c>
      <c r="N1053" s="42">
        <v>49.748353634440697</v>
      </c>
      <c r="O1053" s="43">
        <v>16074.596398864884</v>
      </c>
    </row>
    <row r="1054" spans="12:15" x14ac:dyDescent="0.2">
      <c r="L1054" s="4">
        <v>1048</v>
      </c>
      <c r="M1054" s="21">
        <v>-211197.42068212997</v>
      </c>
      <c r="N1054" s="42">
        <v>46.912087609032085</v>
      </c>
      <c r="O1054" s="43">
        <v>14885.360914553074</v>
      </c>
    </row>
    <row r="1055" spans="12:15" x14ac:dyDescent="0.2">
      <c r="L1055" s="4">
        <v>1049</v>
      </c>
      <c r="M1055" s="21">
        <v>-248643.38397686338</v>
      </c>
      <c r="N1055" s="42">
        <v>51.283320204828023</v>
      </c>
      <c r="O1055" s="43">
        <v>10690.357414780581</v>
      </c>
    </row>
    <row r="1056" spans="12:15" x14ac:dyDescent="0.2">
      <c r="L1056" s="4">
        <v>1050</v>
      </c>
      <c r="M1056" s="21">
        <v>82816.307964201958</v>
      </c>
      <c r="N1056" s="42">
        <v>50.19339023055106</v>
      </c>
      <c r="O1056" s="43">
        <v>15926.118852320451</v>
      </c>
    </row>
    <row r="1057" spans="12:15" x14ac:dyDescent="0.2">
      <c r="L1057" s="4">
        <v>1051</v>
      </c>
      <c r="M1057" s="21">
        <v>-189753.61908482225</v>
      </c>
      <c r="N1057" s="42">
        <v>47.547228053604563</v>
      </c>
      <c r="O1057" s="43">
        <v>14591.025993829175</v>
      </c>
    </row>
    <row r="1058" spans="12:15" x14ac:dyDescent="0.2">
      <c r="L1058" s="4">
        <v>1052</v>
      </c>
      <c r="M1058" s="21">
        <v>-15645.696942976851</v>
      </c>
      <c r="N1058" s="42">
        <v>49.70466561046797</v>
      </c>
      <c r="O1058" s="43">
        <v>15357.687647537317</v>
      </c>
    </row>
    <row r="1059" spans="12:15" x14ac:dyDescent="0.2">
      <c r="L1059" s="4">
        <v>1053</v>
      </c>
      <c r="M1059" s="21">
        <v>-201749.84186172654</v>
      </c>
      <c r="N1059" s="42">
        <v>47.279516815187201</v>
      </c>
      <c r="O1059" s="43">
        <v>14689.38593080853</v>
      </c>
    </row>
    <row r="1060" spans="12:15" x14ac:dyDescent="0.2">
      <c r="L1060" s="4">
        <v>1054</v>
      </c>
      <c r="M1060" s="21">
        <v>-157193.0656239331</v>
      </c>
      <c r="N1060" s="42">
        <v>50.573868773254823</v>
      </c>
      <c r="O1060" s="43">
        <v>13624.251010268739</v>
      </c>
    </row>
    <row r="1061" spans="12:15" x14ac:dyDescent="0.2">
      <c r="L1061" s="4">
        <v>1055</v>
      </c>
      <c r="M1061" s="21">
        <v>7138.8764326449018</v>
      </c>
      <c r="N1061" s="42">
        <v>49.375926193028995</v>
      </c>
      <c r="O1061" s="43">
        <v>16818.709936087871</v>
      </c>
    </row>
    <row r="1062" spans="12:15" x14ac:dyDescent="0.2">
      <c r="L1062" s="4">
        <v>1056</v>
      </c>
      <c r="M1062" s="21">
        <v>-144651.07152914233</v>
      </c>
      <c r="N1062" s="42">
        <v>47.145085680146117</v>
      </c>
      <c r="O1062" s="43">
        <v>17193.934651739575</v>
      </c>
    </row>
    <row r="1063" spans="12:15" x14ac:dyDescent="0.2">
      <c r="L1063" s="4">
        <v>1057</v>
      </c>
      <c r="M1063" s="21">
        <v>-202599.52706658657</v>
      </c>
      <c r="N1063" s="42">
        <v>46.294652365714001</v>
      </c>
      <c r="O1063" s="43">
        <v>18128.161768007318</v>
      </c>
    </row>
    <row r="1064" spans="12:15" x14ac:dyDescent="0.2">
      <c r="L1064" s="4">
        <v>1058</v>
      </c>
      <c r="M1064" s="21">
        <v>26466.223713927757</v>
      </c>
      <c r="N1064" s="42">
        <v>51.256939693834482</v>
      </c>
      <c r="O1064" s="43">
        <v>14359.472549949172</v>
      </c>
    </row>
    <row r="1065" spans="12:15" x14ac:dyDescent="0.2">
      <c r="L1065" s="4">
        <v>1059</v>
      </c>
      <c r="M1065" s="21">
        <v>-286529.45262703951</v>
      </c>
      <c r="N1065" s="42">
        <v>49.428396738326732</v>
      </c>
      <c r="O1065" s="43">
        <v>12420.30803539953</v>
      </c>
    </row>
    <row r="1066" spans="12:15" x14ac:dyDescent="0.2">
      <c r="L1066" s="4">
        <v>1060</v>
      </c>
      <c r="M1066" s="21">
        <v>148309.04363059343</v>
      </c>
      <c r="N1066" s="42">
        <v>49.893219191150706</v>
      </c>
      <c r="O1066" s="43">
        <v>15699.191018796169</v>
      </c>
    </row>
    <row r="1067" spans="12:15" x14ac:dyDescent="0.2">
      <c r="L1067" s="4">
        <v>1061</v>
      </c>
      <c r="M1067" s="21">
        <v>-211659.13766287151</v>
      </c>
      <c r="N1067" s="42">
        <v>46.685115048131692</v>
      </c>
      <c r="O1067" s="43">
        <v>15201.630854066061</v>
      </c>
    </row>
    <row r="1068" spans="12:15" x14ac:dyDescent="0.2">
      <c r="L1068" s="4">
        <v>1062</v>
      </c>
      <c r="M1068" s="21">
        <v>240496.87101881814</v>
      </c>
      <c r="N1068" s="42">
        <v>51.284136637527055</v>
      </c>
      <c r="O1068" s="43">
        <v>16919.72466974055</v>
      </c>
    </row>
    <row r="1069" spans="12:15" x14ac:dyDescent="0.2">
      <c r="L1069" s="4">
        <v>1063</v>
      </c>
      <c r="M1069" s="21">
        <v>60104.31982382157</v>
      </c>
      <c r="N1069" s="42">
        <v>48.013900332038823</v>
      </c>
      <c r="O1069" s="43">
        <v>15817.037602381115</v>
      </c>
    </row>
    <row r="1070" spans="12:15" x14ac:dyDescent="0.2">
      <c r="L1070" s="4">
        <v>1064</v>
      </c>
      <c r="M1070" s="21">
        <v>-151401.99662676029</v>
      </c>
      <c r="N1070" s="42">
        <v>49.621826942888944</v>
      </c>
      <c r="O1070" s="43">
        <v>14811.87995452121</v>
      </c>
    </row>
    <row r="1071" spans="12:15" x14ac:dyDescent="0.2">
      <c r="L1071" s="4">
        <v>1065</v>
      </c>
      <c r="M1071" s="21">
        <v>15014.179758311104</v>
      </c>
      <c r="N1071" s="42">
        <v>48.633278950743843</v>
      </c>
      <c r="O1071" s="43">
        <v>15039.886408319016</v>
      </c>
    </row>
    <row r="1072" spans="12:15" x14ac:dyDescent="0.2">
      <c r="L1072" s="4">
        <v>1066</v>
      </c>
      <c r="M1072" s="21">
        <v>244916.55187264783</v>
      </c>
      <c r="N1072" s="42">
        <v>50.826120600028403</v>
      </c>
      <c r="O1072" s="43">
        <v>16274.254515039256</v>
      </c>
    </row>
    <row r="1073" spans="12:15" x14ac:dyDescent="0.2">
      <c r="L1073" s="4">
        <v>1067</v>
      </c>
      <c r="M1073" s="21">
        <v>-201188.3524541455</v>
      </c>
      <c r="N1073" s="42">
        <v>48.702008833572016</v>
      </c>
      <c r="O1073" s="43">
        <v>14730.376733120725</v>
      </c>
    </row>
    <row r="1074" spans="12:15" x14ac:dyDescent="0.2">
      <c r="L1074" s="4">
        <v>1068</v>
      </c>
      <c r="M1074" s="21">
        <v>109003.95046577</v>
      </c>
      <c r="N1074" s="42">
        <v>50.478187550014503</v>
      </c>
      <c r="O1074" s="43">
        <v>14059.522045258667</v>
      </c>
    </row>
    <row r="1075" spans="12:15" x14ac:dyDescent="0.2">
      <c r="L1075" s="4">
        <v>1069</v>
      </c>
      <c r="M1075" s="21">
        <v>109021.82153076841</v>
      </c>
      <c r="N1075" s="42">
        <v>49.858761700759999</v>
      </c>
      <c r="O1075" s="43">
        <v>17608.664803098476</v>
      </c>
    </row>
    <row r="1076" spans="12:15" x14ac:dyDescent="0.2">
      <c r="L1076" s="4">
        <v>1070</v>
      </c>
      <c r="M1076" s="21">
        <v>64164.583294357377</v>
      </c>
      <c r="N1076" s="42">
        <v>49.329320966439937</v>
      </c>
      <c r="O1076" s="43">
        <v>16611.47270261875</v>
      </c>
    </row>
    <row r="1077" spans="12:15" x14ac:dyDescent="0.2">
      <c r="L1077" s="4">
        <v>1071</v>
      </c>
      <c r="M1077" s="21">
        <v>89074.2363381545</v>
      </c>
      <c r="N1077" s="42">
        <v>48.082980918603155</v>
      </c>
      <c r="O1077" s="43">
        <v>16709.705450267345</v>
      </c>
    </row>
    <row r="1078" spans="12:15" x14ac:dyDescent="0.2">
      <c r="L1078" s="4">
        <v>1072</v>
      </c>
      <c r="M1078" s="21">
        <v>-71249.734963393377</v>
      </c>
      <c r="N1078" s="42">
        <v>47.989552217417575</v>
      </c>
      <c r="O1078" s="43">
        <v>16389.856956616433</v>
      </c>
    </row>
    <row r="1079" spans="12:15" x14ac:dyDescent="0.2">
      <c r="L1079" s="4">
        <v>1073</v>
      </c>
      <c r="M1079" s="21">
        <v>-136457.39121907947</v>
      </c>
      <c r="N1079" s="42">
        <v>50.265650165137636</v>
      </c>
      <c r="O1079" s="43">
        <v>13156.941426049963</v>
      </c>
    </row>
    <row r="1080" spans="12:15" x14ac:dyDescent="0.2">
      <c r="L1080" s="4">
        <v>1074</v>
      </c>
      <c r="M1080" s="21">
        <v>-6512.5032652951049</v>
      </c>
      <c r="N1080" s="42">
        <v>50.137365668369206</v>
      </c>
      <c r="O1080" s="43">
        <v>14366.044968699953</v>
      </c>
    </row>
    <row r="1081" spans="12:15" x14ac:dyDescent="0.2">
      <c r="L1081" s="4">
        <v>1075</v>
      </c>
      <c r="M1081" s="21">
        <v>49168.375191904721</v>
      </c>
      <c r="N1081" s="42">
        <v>49.942807448203041</v>
      </c>
      <c r="O1081" s="43">
        <v>14294.518409656801</v>
      </c>
    </row>
    <row r="1082" spans="12:15" x14ac:dyDescent="0.2">
      <c r="L1082" s="4">
        <v>1076</v>
      </c>
      <c r="M1082" s="21">
        <v>-116801.23269666547</v>
      </c>
      <c r="N1082" s="42">
        <v>48.056524857443208</v>
      </c>
      <c r="O1082" s="43">
        <v>15228.900574199177</v>
      </c>
    </row>
    <row r="1083" spans="12:15" x14ac:dyDescent="0.2">
      <c r="L1083" s="4">
        <v>1077</v>
      </c>
      <c r="M1083" s="21">
        <v>249455.06146219207</v>
      </c>
      <c r="N1083" s="42">
        <v>49.764280297335937</v>
      </c>
      <c r="O1083" s="43">
        <v>16965.407033880507</v>
      </c>
    </row>
    <row r="1084" spans="12:15" x14ac:dyDescent="0.2">
      <c r="L1084" s="4">
        <v>1078</v>
      </c>
      <c r="M1084" s="21">
        <v>-91787.52319388272</v>
      </c>
      <c r="N1084" s="42">
        <v>47.513800703699694</v>
      </c>
      <c r="O1084" s="43">
        <v>15759.690237323124</v>
      </c>
    </row>
    <row r="1085" spans="12:15" x14ac:dyDescent="0.2">
      <c r="L1085" s="4">
        <v>1079</v>
      </c>
      <c r="M1085" s="21">
        <v>-78908.879478758157</v>
      </c>
      <c r="N1085" s="42">
        <v>46.95179965781476</v>
      </c>
      <c r="O1085" s="43">
        <v>14612.3775083161</v>
      </c>
    </row>
    <row r="1086" spans="12:15" x14ac:dyDescent="0.2">
      <c r="L1086" s="4">
        <v>1080</v>
      </c>
      <c r="M1086" s="21">
        <v>-67703.050434065532</v>
      </c>
      <c r="N1086" s="42">
        <v>50.086650534349097</v>
      </c>
      <c r="O1086" s="43">
        <v>14924.324485861203</v>
      </c>
    </row>
    <row r="1087" spans="12:15" x14ac:dyDescent="0.2">
      <c r="L1087" s="4">
        <v>1081</v>
      </c>
      <c r="M1087" s="21">
        <v>164745.48752496092</v>
      </c>
      <c r="N1087" s="42">
        <v>48.2613339125243</v>
      </c>
      <c r="O1087" s="43">
        <v>16586.280594522377</v>
      </c>
    </row>
    <row r="1088" spans="12:15" x14ac:dyDescent="0.2">
      <c r="L1088" s="4">
        <v>1082</v>
      </c>
      <c r="M1088" s="21">
        <v>-212548.46936497954</v>
      </c>
      <c r="N1088" s="42">
        <v>48.457898739070615</v>
      </c>
      <c r="O1088" s="43">
        <v>14659.461568248966</v>
      </c>
    </row>
    <row r="1089" spans="12:15" x14ac:dyDescent="0.2">
      <c r="L1089" s="4">
        <v>1083</v>
      </c>
      <c r="M1089" s="21">
        <v>130417.71338635718</v>
      </c>
      <c r="N1089" s="42">
        <v>49.809822222099285</v>
      </c>
      <c r="O1089" s="43">
        <v>16317.385417453033</v>
      </c>
    </row>
    <row r="1090" spans="12:15" x14ac:dyDescent="0.2">
      <c r="L1090" s="4">
        <v>1084</v>
      </c>
      <c r="M1090" s="21">
        <v>-158597.47412177926</v>
      </c>
      <c r="N1090" s="42">
        <v>49.174224609712077</v>
      </c>
      <c r="O1090" s="43">
        <v>12223.908576385715</v>
      </c>
    </row>
    <row r="1091" spans="12:15" x14ac:dyDescent="0.2">
      <c r="L1091" s="4">
        <v>1085</v>
      </c>
      <c r="M1091" s="21">
        <v>-22823.529647758362</v>
      </c>
      <c r="N1091" s="42">
        <v>48.181127998795183</v>
      </c>
      <c r="O1091" s="43">
        <v>18333.814148237881</v>
      </c>
    </row>
    <row r="1092" spans="12:15" x14ac:dyDescent="0.2">
      <c r="L1092" s="4">
        <v>1086</v>
      </c>
      <c r="M1092" s="21">
        <v>13208.269602753891</v>
      </c>
      <c r="N1092" s="42">
        <v>49.532675570431508</v>
      </c>
      <c r="O1092" s="43">
        <v>15535.906228016675</v>
      </c>
    </row>
    <row r="1093" spans="12:15" x14ac:dyDescent="0.2">
      <c r="L1093" s="4">
        <v>1087</v>
      </c>
      <c r="M1093" s="21">
        <v>12212.46930149151</v>
      </c>
      <c r="N1093" s="42">
        <v>48.334508186274171</v>
      </c>
      <c r="O1093" s="43">
        <v>14793.693319880975</v>
      </c>
    </row>
    <row r="1094" spans="12:15" x14ac:dyDescent="0.2">
      <c r="L1094" s="4">
        <v>1088</v>
      </c>
      <c r="M1094" s="21">
        <v>-145646.88136361385</v>
      </c>
      <c r="N1094" s="42">
        <v>50.508838720956732</v>
      </c>
      <c r="O1094" s="43">
        <v>12750.464031605885</v>
      </c>
    </row>
    <row r="1095" spans="12:15" x14ac:dyDescent="0.2">
      <c r="L1095" s="4">
        <v>1089</v>
      </c>
      <c r="M1095" s="21">
        <v>90854.668780387699</v>
      </c>
      <c r="N1095" s="42">
        <v>47.994779580064581</v>
      </c>
      <c r="O1095" s="43">
        <v>16312.620766988755</v>
      </c>
    </row>
    <row r="1096" spans="12:15" x14ac:dyDescent="0.2">
      <c r="L1096" s="4">
        <v>1090</v>
      </c>
      <c r="M1096" s="21">
        <v>120890.98198174435</v>
      </c>
      <c r="N1096" s="42">
        <v>49.723330591864325</v>
      </c>
      <c r="O1096" s="43">
        <v>14724.178217853458</v>
      </c>
    </row>
    <row r="1097" spans="12:15" x14ac:dyDescent="0.2">
      <c r="L1097" s="4">
        <v>1091</v>
      </c>
      <c r="M1097" s="21">
        <v>12634.521311317803</v>
      </c>
      <c r="N1097" s="42">
        <v>50.048583326071238</v>
      </c>
      <c r="O1097" s="43">
        <v>15693.743088180734</v>
      </c>
    </row>
    <row r="1098" spans="12:15" x14ac:dyDescent="0.2">
      <c r="L1098" s="4">
        <v>1092</v>
      </c>
      <c r="M1098" s="21">
        <v>87074.883198945026</v>
      </c>
      <c r="N1098" s="42">
        <v>49.409714827575925</v>
      </c>
      <c r="O1098" s="43">
        <v>17405.930650400478</v>
      </c>
    </row>
    <row r="1099" spans="12:15" x14ac:dyDescent="0.2">
      <c r="L1099" s="4">
        <v>1093</v>
      </c>
      <c r="M1099" s="21">
        <v>36365.92087072783</v>
      </c>
      <c r="N1099" s="42">
        <v>49.139924972170654</v>
      </c>
      <c r="O1099" s="43">
        <v>15485.503654946346</v>
      </c>
    </row>
    <row r="1100" spans="12:15" x14ac:dyDescent="0.2">
      <c r="L1100" s="4">
        <v>1094</v>
      </c>
      <c r="M1100" s="21">
        <v>80064.112349576841</v>
      </c>
      <c r="N1100" s="42">
        <v>51.840994623830909</v>
      </c>
      <c r="O1100" s="43">
        <v>13825.091520828741</v>
      </c>
    </row>
    <row r="1101" spans="12:15" x14ac:dyDescent="0.2">
      <c r="L1101" s="4">
        <v>1095</v>
      </c>
      <c r="M1101" s="21">
        <v>-127879.26644379801</v>
      </c>
      <c r="N1101" s="42">
        <v>48.278162813924283</v>
      </c>
      <c r="O1101" s="43">
        <v>14475.376957411368</v>
      </c>
    </row>
    <row r="1102" spans="12:15" x14ac:dyDescent="0.2">
      <c r="L1102" s="4">
        <v>1096</v>
      </c>
      <c r="M1102" s="21">
        <v>-148558.03109548759</v>
      </c>
      <c r="N1102" s="42">
        <v>49.2291161660836</v>
      </c>
      <c r="O1102" s="43">
        <v>13355.471540993776</v>
      </c>
    </row>
    <row r="1103" spans="12:15" x14ac:dyDescent="0.2">
      <c r="L1103" s="4">
        <v>1097</v>
      </c>
      <c r="M1103" s="21">
        <v>63380.474427787616</v>
      </c>
      <c r="N1103" s="42">
        <v>49.917015599678081</v>
      </c>
      <c r="O1103" s="43">
        <v>14493.315784113343</v>
      </c>
    </row>
    <row r="1104" spans="12:15" x14ac:dyDescent="0.2">
      <c r="L1104" s="4">
        <v>1098</v>
      </c>
      <c r="M1104" s="21">
        <v>12697.680829634104</v>
      </c>
      <c r="N1104" s="42">
        <v>47.622090286231014</v>
      </c>
      <c r="O1104" s="43">
        <v>15430.09007592852</v>
      </c>
    </row>
    <row r="1105" spans="12:15" x14ac:dyDescent="0.2">
      <c r="L1105" s="4">
        <v>1099</v>
      </c>
      <c r="M1105" s="21">
        <v>75571.260925082111</v>
      </c>
      <c r="N1105" s="42">
        <v>49.639049969908157</v>
      </c>
      <c r="O1105" s="43">
        <v>15078.204612986945</v>
      </c>
    </row>
    <row r="1106" spans="12:15" x14ac:dyDescent="0.2">
      <c r="L1106" s="4">
        <v>1100</v>
      </c>
      <c r="M1106" s="21">
        <v>28433.22770970987</v>
      </c>
      <c r="N1106" s="42">
        <v>48.225352759699014</v>
      </c>
      <c r="O1106" s="43">
        <v>17257.914009886561</v>
      </c>
    </row>
    <row r="1107" spans="12:15" x14ac:dyDescent="0.2">
      <c r="L1107" s="4">
        <v>1101</v>
      </c>
      <c r="M1107" s="21">
        <v>-69751.195089491943</v>
      </c>
      <c r="N1107" s="42">
        <v>49.520920868033848</v>
      </c>
      <c r="O1107" s="43">
        <v>14016.578379349306</v>
      </c>
    </row>
    <row r="1108" spans="12:15" x14ac:dyDescent="0.2">
      <c r="L1108" s="4">
        <v>1102</v>
      </c>
      <c r="M1108" s="21">
        <v>246003.50832368041</v>
      </c>
      <c r="N1108" s="42">
        <v>51.425735802388871</v>
      </c>
      <c r="O1108" s="43">
        <v>15342.816778097831</v>
      </c>
    </row>
    <row r="1109" spans="12:15" x14ac:dyDescent="0.2">
      <c r="L1109" s="4">
        <v>1103</v>
      </c>
      <c r="M1109" s="21">
        <v>92430.870943664922</v>
      </c>
      <c r="N1109" s="42">
        <v>51.695960594922177</v>
      </c>
      <c r="O1109" s="43">
        <v>14269.063449924293</v>
      </c>
    </row>
    <row r="1110" spans="12:15" x14ac:dyDescent="0.2">
      <c r="L1110" s="4">
        <v>1104</v>
      </c>
      <c r="M1110" s="21">
        <v>-73208.290668889866</v>
      </c>
      <c r="N1110" s="42">
        <v>49.598828103885296</v>
      </c>
      <c r="O1110" s="43">
        <v>13115.736284831519</v>
      </c>
    </row>
    <row r="1111" spans="12:15" x14ac:dyDescent="0.2">
      <c r="L1111" s="4">
        <v>1105</v>
      </c>
      <c r="M1111" s="21">
        <v>-75238.764537521478</v>
      </c>
      <c r="N1111" s="42">
        <v>51.209133716920903</v>
      </c>
      <c r="O1111" s="43">
        <v>13659.805418453388</v>
      </c>
    </row>
    <row r="1112" spans="12:15" x14ac:dyDescent="0.2">
      <c r="L1112" s="4">
        <v>1106</v>
      </c>
      <c r="M1112" s="21">
        <v>100302.39980869921</v>
      </c>
      <c r="N1112" s="42">
        <v>50.236674513411479</v>
      </c>
      <c r="O1112" s="43">
        <v>15045.865410855638</v>
      </c>
    </row>
    <row r="1113" spans="12:15" x14ac:dyDescent="0.2">
      <c r="L1113" s="4">
        <v>1107</v>
      </c>
      <c r="M1113" s="21">
        <v>-130355.24623204388</v>
      </c>
      <c r="N1113" s="42">
        <v>50.429863824602798</v>
      </c>
      <c r="O1113" s="43">
        <v>12815.851946882181</v>
      </c>
    </row>
    <row r="1114" spans="12:15" x14ac:dyDescent="0.2">
      <c r="L1114" s="4">
        <v>1108</v>
      </c>
      <c r="M1114" s="21">
        <v>67979.205567159195</v>
      </c>
      <c r="N1114" s="42">
        <v>50.021424854541898</v>
      </c>
      <c r="O1114" s="43">
        <v>16506.879983221919</v>
      </c>
    </row>
    <row r="1115" spans="12:15" x14ac:dyDescent="0.2">
      <c r="L1115" s="4">
        <v>1109</v>
      </c>
      <c r="M1115" s="21">
        <v>-9134.5361845403531</v>
      </c>
      <c r="N1115" s="42">
        <v>46.195429395841174</v>
      </c>
      <c r="O1115" s="43">
        <v>17710.953815553079</v>
      </c>
    </row>
    <row r="1116" spans="12:15" x14ac:dyDescent="0.2">
      <c r="L1116" s="4">
        <v>1110</v>
      </c>
      <c r="M1116" s="21">
        <v>-9713.5596318465541</v>
      </c>
      <c r="N1116" s="42">
        <v>49.963723466844513</v>
      </c>
      <c r="O1116" s="43">
        <v>13422.585281541458</v>
      </c>
    </row>
    <row r="1117" spans="12:15" x14ac:dyDescent="0.2">
      <c r="L1117" s="4">
        <v>1111</v>
      </c>
      <c r="M1117" s="21">
        <v>-66298.559893278318</v>
      </c>
      <c r="N1117" s="42">
        <v>47.379336963378584</v>
      </c>
      <c r="O1117" s="43">
        <v>17186.523223596301</v>
      </c>
    </row>
    <row r="1118" spans="12:15" x14ac:dyDescent="0.2">
      <c r="L1118" s="4">
        <v>1112</v>
      </c>
      <c r="M1118" s="21">
        <v>-112612.85054013084</v>
      </c>
      <c r="N1118" s="42">
        <v>50.081346586353334</v>
      </c>
      <c r="O1118" s="43">
        <v>14926.842438006222</v>
      </c>
    </row>
    <row r="1119" spans="12:15" x14ac:dyDescent="0.2">
      <c r="L1119" s="4">
        <v>1113</v>
      </c>
      <c r="M1119" s="21">
        <v>-103667.07668378297</v>
      </c>
      <c r="N1119" s="42">
        <v>47.888271378166856</v>
      </c>
      <c r="O1119" s="43">
        <v>15422.666005349956</v>
      </c>
    </row>
    <row r="1120" spans="12:15" x14ac:dyDescent="0.2">
      <c r="L1120" s="4">
        <v>1114</v>
      </c>
      <c r="M1120" s="21">
        <v>148706.48196731423</v>
      </c>
      <c r="N1120" s="42">
        <v>50.066787966035676</v>
      </c>
      <c r="O1120" s="43">
        <v>15099.705070001613</v>
      </c>
    </row>
    <row r="1121" spans="12:15" x14ac:dyDescent="0.2">
      <c r="L1121" s="4">
        <v>1115</v>
      </c>
      <c r="M1121" s="21">
        <v>45208.414986940043</v>
      </c>
      <c r="N1121" s="42">
        <v>49.072071002052525</v>
      </c>
      <c r="O1121" s="43">
        <v>15730.816692408198</v>
      </c>
    </row>
    <row r="1122" spans="12:15" x14ac:dyDescent="0.2">
      <c r="L1122" s="4">
        <v>1116</v>
      </c>
      <c r="M1122" s="21">
        <v>163102.89391803934</v>
      </c>
      <c r="N1122" s="42">
        <v>50.385022516631651</v>
      </c>
      <c r="O1122" s="43">
        <v>16270.265569723082</v>
      </c>
    </row>
    <row r="1123" spans="12:15" x14ac:dyDescent="0.2">
      <c r="L1123" s="4">
        <v>1117</v>
      </c>
      <c r="M1123" s="21">
        <v>-112582.49136986057</v>
      </c>
      <c r="N1123" s="42">
        <v>48.6218470150313</v>
      </c>
      <c r="O1123" s="43">
        <v>14549.491726634855</v>
      </c>
    </row>
    <row r="1124" spans="12:15" x14ac:dyDescent="0.2">
      <c r="L1124" s="4">
        <v>1118</v>
      </c>
      <c r="M1124" s="21">
        <v>-84999.698283916645</v>
      </c>
      <c r="N1124" s="42">
        <v>47.209798107369309</v>
      </c>
      <c r="O1124" s="43">
        <v>17256.137905833875</v>
      </c>
    </row>
    <row r="1125" spans="12:15" x14ac:dyDescent="0.2">
      <c r="L1125" s="4">
        <v>1119</v>
      </c>
      <c r="M1125" s="21">
        <v>-116490.52517933999</v>
      </c>
      <c r="N1125" s="42">
        <v>48.223392905232686</v>
      </c>
      <c r="O1125" s="43">
        <v>14941.820524291714</v>
      </c>
    </row>
    <row r="1126" spans="12:15" x14ac:dyDescent="0.2">
      <c r="L1126" s="4">
        <v>1120</v>
      </c>
      <c r="M1126" s="21">
        <v>-17064.311026772484</v>
      </c>
      <c r="N1126" s="42">
        <v>50.431568456612808</v>
      </c>
      <c r="O1126" s="43">
        <v>12663.312732656863</v>
      </c>
    </row>
    <row r="1127" spans="12:15" x14ac:dyDescent="0.2">
      <c r="L1127" s="4">
        <v>1121</v>
      </c>
      <c r="M1127" s="21">
        <v>-133863.04828759609</v>
      </c>
      <c r="N1127" s="42">
        <v>49.562009875168698</v>
      </c>
      <c r="O1127" s="43">
        <v>13476.371027762658</v>
      </c>
    </row>
    <row r="1128" spans="12:15" x14ac:dyDescent="0.2">
      <c r="L1128" s="4">
        <v>1122</v>
      </c>
      <c r="M1128" s="21">
        <v>251962.7189906548</v>
      </c>
      <c r="N1128" s="42">
        <v>50.113292165686644</v>
      </c>
      <c r="O1128" s="43">
        <v>16950.509335607934</v>
      </c>
    </row>
    <row r="1129" spans="12:15" x14ac:dyDescent="0.2">
      <c r="L1129" s="4">
        <v>1123</v>
      </c>
      <c r="M1129" s="21">
        <v>14643.867306216591</v>
      </c>
      <c r="N1129" s="42">
        <v>48.467508024108056</v>
      </c>
      <c r="O1129" s="43">
        <v>18641.570949661123</v>
      </c>
    </row>
    <row r="1130" spans="12:15" x14ac:dyDescent="0.2">
      <c r="L1130" s="4">
        <v>1124</v>
      </c>
      <c r="M1130" s="21">
        <v>35159.945777090761</v>
      </c>
      <c r="N1130" s="42">
        <v>49.564000532667606</v>
      </c>
      <c r="O1130" s="43">
        <v>16679.445848302206</v>
      </c>
    </row>
    <row r="1131" spans="12:15" x14ac:dyDescent="0.2">
      <c r="L1131" s="4">
        <v>1125</v>
      </c>
      <c r="M1131" s="21">
        <v>230534.99658680399</v>
      </c>
      <c r="N1131" s="42">
        <v>51.029889323414167</v>
      </c>
      <c r="O1131" s="43">
        <v>15502.092185195499</v>
      </c>
    </row>
    <row r="1132" spans="12:15" x14ac:dyDescent="0.2">
      <c r="L1132" s="4">
        <v>1126</v>
      </c>
      <c r="M1132" s="21">
        <v>-154538.96366619569</v>
      </c>
      <c r="N1132" s="42">
        <v>49.971061280911009</v>
      </c>
      <c r="O1132" s="43">
        <v>13072.685039130531</v>
      </c>
    </row>
    <row r="1133" spans="12:15" x14ac:dyDescent="0.2">
      <c r="L1133" s="4">
        <v>1127</v>
      </c>
      <c r="M1133" s="21">
        <v>172843.95233555231</v>
      </c>
      <c r="N1133" s="42">
        <v>50.358731185987551</v>
      </c>
      <c r="O1133" s="43">
        <v>19206.864687960639</v>
      </c>
    </row>
    <row r="1134" spans="12:15" x14ac:dyDescent="0.2">
      <c r="L1134" s="4">
        <v>1128</v>
      </c>
      <c r="M1134" s="21">
        <v>94359.222807178041</v>
      </c>
      <c r="N1134" s="42">
        <v>48.030462233599565</v>
      </c>
      <c r="O1134" s="43">
        <v>15449.932653576725</v>
      </c>
    </row>
    <row r="1135" spans="12:15" x14ac:dyDescent="0.2">
      <c r="L1135" s="4">
        <v>1129</v>
      </c>
      <c r="M1135" s="21">
        <v>-15950.623564691006</v>
      </c>
      <c r="N1135" s="42">
        <v>51.129415842575852</v>
      </c>
      <c r="O1135" s="43">
        <v>14008.235490008454</v>
      </c>
    </row>
    <row r="1136" spans="12:15" x14ac:dyDescent="0.2">
      <c r="L1136" s="4">
        <v>1130</v>
      </c>
      <c r="M1136" s="21">
        <v>-69024.141350624239</v>
      </c>
      <c r="N1136" s="42">
        <v>51.094003039872959</v>
      </c>
      <c r="O1136" s="43">
        <v>13392.377322035609</v>
      </c>
    </row>
    <row r="1137" spans="12:15" x14ac:dyDescent="0.2">
      <c r="L1137" s="4">
        <v>1131</v>
      </c>
      <c r="M1137" s="21">
        <v>-100454.17690718816</v>
      </c>
      <c r="N1137" s="42">
        <v>50.694725648739954</v>
      </c>
      <c r="O1137" s="43">
        <v>13007.296322307056</v>
      </c>
    </row>
    <row r="1138" spans="12:15" x14ac:dyDescent="0.2">
      <c r="L1138" s="4">
        <v>1132</v>
      </c>
      <c r="M1138" s="21">
        <v>70217.724441205879</v>
      </c>
      <c r="N1138" s="42">
        <v>49.275537040686473</v>
      </c>
      <c r="O1138" s="43">
        <v>15991.192000370342</v>
      </c>
    </row>
    <row r="1139" spans="12:15" x14ac:dyDescent="0.2">
      <c r="L1139" s="4">
        <v>1133</v>
      </c>
      <c r="M1139" s="21">
        <v>-120209.0040568331</v>
      </c>
      <c r="N1139" s="42">
        <v>48.764535165846567</v>
      </c>
      <c r="O1139" s="43">
        <v>13940.392877863876</v>
      </c>
    </row>
    <row r="1140" spans="12:15" x14ac:dyDescent="0.2">
      <c r="L1140" s="4">
        <v>1134</v>
      </c>
      <c r="M1140" s="21">
        <v>164877.99381094793</v>
      </c>
      <c r="N1140" s="42">
        <v>49.222433358882469</v>
      </c>
      <c r="O1140" s="43">
        <v>15472.30369579609</v>
      </c>
    </row>
    <row r="1141" spans="12:15" x14ac:dyDescent="0.2">
      <c r="L1141" s="4">
        <v>1135</v>
      </c>
      <c r="M1141" s="21">
        <v>-180499.34221615299</v>
      </c>
      <c r="N1141" s="42">
        <v>51.819225390637051</v>
      </c>
      <c r="O1141" s="43">
        <v>10868.739882318958</v>
      </c>
    </row>
    <row r="1142" spans="12:15" x14ac:dyDescent="0.2">
      <c r="L1142" s="4">
        <v>1136</v>
      </c>
      <c r="M1142" s="21">
        <v>-89216.680668347079</v>
      </c>
      <c r="N1142" s="42">
        <v>49.137644404934434</v>
      </c>
      <c r="O1142" s="43">
        <v>13450.879115119997</v>
      </c>
    </row>
    <row r="1143" spans="12:15" x14ac:dyDescent="0.2">
      <c r="L1143" s="4">
        <v>1137</v>
      </c>
      <c r="M1143" s="21">
        <v>-4511.559633224475</v>
      </c>
      <c r="N1143" s="42">
        <v>48.253871381014697</v>
      </c>
      <c r="O1143" s="43">
        <v>14494.625485382014</v>
      </c>
    </row>
    <row r="1144" spans="12:15" x14ac:dyDescent="0.2">
      <c r="L1144" s="4">
        <v>1138</v>
      </c>
      <c r="M1144" s="21">
        <v>7393.0913073000556</v>
      </c>
      <c r="N1144" s="42">
        <v>50.266963062704193</v>
      </c>
      <c r="O1144" s="43">
        <v>14195.253531482895</v>
      </c>
    </row>
    <row r="1145" spans="12:15" x14ac:dyDescent="0.2">
      <c r="L1145" s="4">
        <v>1139</v>
      </c>
      <c r="M1145" s="21">
        <v>-164175.45388380182</v>
      </c>
      <c r="N1145" s="42">
        <v>48.858859339018018</v>
      </c>
      <c r="O1145" s="43">
        <v>13974.0090980243</v>
      </c>
    </row>
    <row r="1146" spans="12:15" x14ac:dyDescent="0.2">
      <c r="L1146" s="4">
        <v>1140</v>
      </c>
      <c r="M1146" s="21">
        <v>-118022.39827874495</v>
      </c>
      <c r="N1146" s="42">
        <v>47.405763653441056</v>
      </c>
      <c r="O1146" s="43">
        <v>16121.994737477962</v>
      </c>
    </row>
    <row r="1147" spans="12:15" x14ac:dyDescent="0.2">
      <c r="L1147" s="4">
        <v>1141</v>
      </c>
      <c r="M1147" s="21">
        <v>-17458.275845506054</v>
      </c>
      <c r="N1147" s="42">
        <v>49.123470129047114</v>
      </c>
      <c r="O1147" s="43">
        <v>15222.635135617717</v>
      </c>
    </row>
    <row r="1148" spans="12:15" x14ac:dyDescent="0.2">
      <c r="L1148" s="4">
        <v>1142</v>
      </c>
      <c r="M1148" s="21">
        <v>128553.43470897657</v>
      </c>
      <c r="N1148" s="42">
        <v>48.993016026631423</v>
      </c>
      <c r="O1148" s="43">
        <v>16089.487280359697</v>
      </c>
    </row>
    <row r="1149" spans="12:15" x14ac:dyDescent="0.2">
      <c r="L1149" s="4">
        <v>1143</v>
      </c>
      <c r="M1149" s="21">
        <v>25347.467805300956</v>
      </c>
      <c r="N1149" s="42">
        <v>48.711413954658809</v>
      </c>
      <c r="O1149" s="43">
        <v>15068.807838923207</v>
      </c>
    </row>
    <row r="1150" spans="12:15" x14ac:dyDescent="0.2">
      <c r="L1150" s="4">
        <v>1144</v>
      </c>
      <c r="M1150" s="21">
        <v>165885.91235266044</v>
      </c>
      <c r="N1150" s="42">
        <v>49.421324287438686</v>
      </c>
      <c r="O1150" s="43">
        <v>15913.240607258125</v>
      </c>
    </row>
    <row r="1151" spans="12:15" x14ac:dyDescent="0.2">
      <c r="L1151" s="4">
        <v>1145</v>
      </c>
      <c r="M1151" s="21">
        <v>21806.931841443351</v>
      </c>
      <c r="N1151" s="42">
        <v>47.786894138727682</v>
      </c>
      <c r="O1151" s="43">
        <v>17412.369469870155</v>
      </c>
    </row>
    <row r="1152" spans="12:15" x14ac:dyDescent="0.2">
      <c r="L1152" s="4">
        <v>1146</v>
      </c>
      <c r="M1152" s="21">
        <v>4121.9046514024667</v>
      </c>
      <c r="N1152" s="42">
        <v>49.367236953787611</v>
      </c>
      <c r="O1152" s="43">
        <v>14493.758944338035</v>
      </c>
    </row>
    <row r="1153" spans="12:15" x14ac:dyDescent="0.2">
      <c r="L1153" s="4">
        <v>1147</v>
      </c>
      <c r="M1153" s="21">
        <v>52502.889582683682</v>
      </c>
      <c r="N1153" s="42">
        <v>47.224256493696565</v>
      </c>
      <c r="O1153" s="43">
        <v>17008.695452056294</v>
      </c>
    </row>
    <row r="1154" spans="12:15" x14ac:dyDescent="0.2">
      <c r="L1154" s="4">
        <v>1148</v>
      </c>
      <c r="M1154" s="21">
        <v>67936.010207117826</v>
      </c>
      <c r="N1154" s="42">
        <v>47.770481677775862</v>
      </c>
      <c r="O1154" s="43">
        <v>15792.953835176802</v>
      </c>
    </row>
    <row r="1155" spans="12:15" x14ac:dyDescent="0.2">
      <c r="L1155" s="4">
        <v>1149</v>
      </c>
      <c r="M1155" s="21">
        <v>86393.877756656846</v>
      </c>
      <c r="N1155" s="42">
        <v>48.452225564338121</v>
      </c>
      <c r="O1155" s="43">
        <v>17171.097279661648</v>
      </c>
    </row>
    <row r="1156" spans="12:15" x14ac:dyDescent="0.2">
      <c r="L1156" s="4">
        <v>1150</v>
      </c>
      <c r="M1156" s="21">
        <v>40291.037146801566</v>
      </c>
      <c r="N1156" s="42">
        <v>49.997897618980609</v>
      </c>
      <c r="O1156" s="43">
        <v>15941.6980432331</v>
      </c>
    </row>
    <row r="1157" spans="12:15" x14ac:dyDescent="0.2">
      <c r="L1157" s="4">
        <v>1151</v>
      </c>
      <c r="M1157" s="21">
        <v>-181977.75685042364</v>
      </c>
      <c r="N1157" s="42">
        <v>47.194595586226839</v>
      </c>
      <c r="O1157" s="43">
        <v>15799.229152617087</v>
      </c>
    </row>
    <row r="1158" spans="12:15" x14ac:dyDescent="0.2">
      <c r="L1158" s="4">
        <v>1152</v>
      </c>
      <c r="M1158" s="21">
        <v>215195.86155749205</v>
      </c>
      <c r="N1158" s="42">
        <v>51.006186536580842</v>
      </c>
      <c r="O1158" s="43">
        <v>16511.647080401261</v>
      </c>
    </row>
    <row r="1159" spans="12:15" x14ac:dyDescent="0.2">
      <c r="L1159" s="4">
        <v>1153</v>
      </c>
      <c r="M1159" s="21">
        <v>-21475.132092910761</v>
      </c>
      <c r="N1159" s="42">
        <v>48.878620797951456</v>
      </c>
      <c r="O1159" s="43">
        <v>15285.548667376612</v>
      </c>
    </row>
    <row r="1160" spans="12:15" x14ac:dyDescent="0.2">
      <c r="L1160" s="4">
        <v>1154</v>
      </c>
      <c r="M1160" s="21">
        <v>51349.204221986438</v>
      </c>
      <c r="N1160" s="42">
        <v>49.829390475565631</v>
      </c>
      <c r="O1160" s="43">
        <v>14579.807109948852</v>
      </c>
    </row>
    <row r="1161" spans="12:15" x14ac:dyDescent="0.2">
      <c r="L1161" s="4">
        <v>1155</v>
      </c>
      <c r="M1161" s="21">
        <v>121868.26442288907</v>
      </c>
      <c r="N1161" s="42">
        <v>50.225285698633314</v>
      </c>
      <c r="O1161" s="43">
        <v>16392.73005047299</v>
      </c>
    </row>
    <row r="1162" spans="12:15" x14ac:dyDescent="0.2">
      <c r="L1162" s="4">
        <v>1156</v>
      </c>
      <c r="M1162" s="21">
        <v>-46302.894776921472</v>
      </c>
      <c r="N1162" s="42">
        <v>45.168313845831612</v>
      </c>
      <c r="O1162" s="43">
        <v>18572.766855787719</v>
      </c>
    </row>
    <row r="1163" spans="12:15" x14ac:dyDescent="0.2">
      <c r="L1163" s="4">
        <v>1157</v>
      </c>
      <c r="M1163" s="21">
        <v>-177240.02435444493</v>
      </c>
      <c r="N1163" s="42">
        <v>49.019873658717465</v>
      </c>
      <c r="O1163" s="43">
        <v>13419.937540039016</v>
      </c>
    </row>
    <row r="1164" spans="12:15" x14ac:dyDescent="0.2">
      <c r="L1164" s="4">
        <v>1158</v>
      </c>
      <c r="M1164" s="21">
        <v>-130677.35147273718</v>
      </c>
      <c r="N1164" s="42">
        <v>51.87452529984472</v>
      </c>
      <c r="O1164" s="43">
        <v>12175.634903033408</v>
      </c>
    </row>
    <row r="1165" spans="12:15" x14ac:dyDescent="0.2">
      <c r="L1165" s="4">
        <v>1159</v>
      </c>
      <c r="M1165" s="21">
        <v>20754.868067617499</v>
      </c>
      <c r="N1165" s="42">
        <v>47.522071636817607</v>
      </c>
      <c r="O1165" s="43">
        <v>16078.133691595172</v>
      </c>
    </row>
    <row r="1166" spans="12:15" x14ac:dyDescent="0.2">
      <c r="L1166" s="4">
        <v>1160</v>
      </c>
      <c r="M1166" s="21">
        <v>-123737.20534805943</v>
      </c>
      <c r="N1166" s="42">
        <v>51.659015982774292</v>
      </c>
      <c r="O1166" s="43">
        <v>11509.253418378248</v>
      </c>
    </row>
    <row r="1167" spans="12:15" x14ac:dyDescent="0.2">
      <c r="L1167" s="4">
        <v>1161</v>
      </c>
      <c r="M1167" s="21">
        <v>172958.52349884642</v>
      </c>
      <c r="N1167" s="42">
        <v>46.664770413741977</v>
      </c>
      <c r="O1167" s="43">
        <v>18007.900035939223</v>
      </c>
    </row>
    <row r="1168" spans="12:15" x14ac:dyDescent="0.2">
      <c r="L1168" s="4">
        <v>1162</v>
      </c>
      <c r="M1168" s="21">
        <v>-269178.96021782974</v>
      </c>
      <c r="N1168" s="42">
        <v>48.930874397322007</v>
      </c>
      <c r="O1168" s="43">
        <v>13652.873775708598</v>
      </c>
    </row>
    <row r="1169" spans="12:15" x14ac:dyDescent="0.2">
      <c r="L1169" s="4">
        <v>1163</v>
      </c>
      <c r="M1169" s="21">
        <v>-44397.013094372684</v>
      </c>
      <c r="N1169" s="42">
        <v>48.830784525775364</v>
      </c>
      <c r="O1169" s="43">
        <v>14811.982479991595</v>
      </c>
    </row>
    <row r="1170" spans="12:15" x14ac:dyDescent="0.2">
      <c r="L1170" s="4">
        <v>1164</v>
      </c>
      <c r="M1170" s="21">
        <v>-198375.56567915552</v>
      </c>
      <c r="N1170" s="42">
        <v>51.009448158081312</v>
      </c>
      <c r="O1170" s="43">
        <v>10754.350068642214</v>
      </c>
    </row>
    <row r="1171" spans="12:15" x14ac:dyDescent="0.2">
      <c r="L1171" s="4">
        <v>1165</v>
      </c>
      <c r="M1171" s="21">
        <v>-124732.87423944715</v>
      </c>
      <c r="N1171" s="42">
        <v>47.696376173195766</v>
      </c>
      <c r="O1171" s="43">
        <v>15726.917395495555</v>
      </c>
    </row>
    <row r="1172" spans="12:15" x14ac:dyDescent="0.2">
      <c r="L1172" s="4">
        <v>1166</v>
      </c>
      <c r="M1172" s="21">
        <v>-144939.74101365395</v>
      </c>
      <c r="N1172" s="42">
        <v>48.009989936550234</v>
      </c>
      <c r="O1172" s="43">
        <v>15631.913206240233</v>
      </c>
    </row>
    <row r="1173" spans="12:15" x14ac:dyDescent="0.2">
      <c r="L1173" s="4">
        <v>1167</v>
      </c>
      <c r="M1173" s="21">
        <v>-87559.57541297932</v>
      </c>
      <c r="N1173" s="42">
        <v>46.611046811374564</v>
      </c>
      <c r="O1173" s="43">
        <v>18228.90519779524</v>
      </c>
    </row>
    <row r="1174" spans="12:15" x14ac:dyDescent="0.2">
      <c r="L1174" s="4">
        <v>1168</v>
      </c>
      <c r="M1174" s="21">
        <v>-70450.876472063304</v>
      </c>
      <c r="N1174" s="42">
        <v>51.40115776659222</v>
      </c>
      <c r="O1174" s="43">
        <v>12425.376201863952</v>
      </c>
    </row>
    <row r="1175" spans="12:15" x14ac:dyDescent="0.2">
      <c r="L1175" s="4">
        <v>1169</v>
      </c>
      <c r="M1175" s="21">
        <v>212942.95223371396</v>
      </c>
      <c r="N1175" s="42">
        <v>51.319620247346322</v>
      </c>
      <c r="O1175" s="43">
        <v>15905.144330291865</v>
      </c>
    </row>
    <row r="1176" spans="12:15" x14ac:dyDescent="0.2">
      <c r="L1176" s="4">
        <v>1170</v>
      </c>
      <c r="M1176" s="21">
        <v>144155.56025098218</v>
      </c>
      <c r="N1176" s="42">
        <v>47.399163417211454</v>
      </c>
      <c r="O1176" s="43">
        <v>16608.729524321898</v>
      </c>
    </row>
    <row r="1177" spans="12:15" x14ac:dyDescent="0.2">
      <c r="L1177" s="4">
        <v>1171</v>
      </c>
      <c r="M1177" s="21">
        <v>295256.40573406738</v>
      </c>
      <c r="N1177" s="42">
        <v>50.735545412314373</v>
      </c>
      <c r="O1177" s="43">
        <v>16721.317588546244</v>
      </c>
    </row>
    <row r="1178" spans="12:15" x14ac:dyDescent="0.2">
      <c r="L1178" s="4">
        <v>1172</v>
      </c>
      <c r="M1178" s="21">
        <v>-88536.101868790734</v>
      </c>
      <c r="N1178" s="42">
        <v>49.377618256994346</v>
      </c>
      <c r="O1178" s="43">
        <v>13335.785798852176</v>
      </c>
    </row>
    <row r="1179" spans="12:15" x14ac:dyDescent="0.2">
      <c r="L1179" s="4">
        <v>1173</v>
      </c>
      <c r="M1179" s="21">
        <v>108728.75707017101</v>
      </c>
      <c r="N1179" s="42">
        <v>51.25455770507083</v>
      </c>
      <c r="O1179" s="43">
        <v>14247.059286620206</v>
      </c>
    </row>
    <row r="1180" spans="12:15" x14ac:dyDescent="0.2">
      <c r="L1180" s="4">
        <v>1174</v>
      </c>
      <c r="M1180" s="21">
        <v>-76602.201247446719</v>
      </c>
      <c r="N1180" s="42">
        <v>47.198811399891383</v>
      </c>
      <c r="O1180" s="43">
        <v>18611.39132855089</v>
      </c>
    </row>
    <row r="1181" spans="12:15" x14ac:dyDescent="0.2">
      <c r="L1181" s="4">
        <v>1175</v>
      </c>
      <c r="M1181" s="21">
        <v>-13359.063499214593</v>
      </c>
      <c r="N1181" s="42">
        <v>49.542433248575094</v>
      </c>
      <c r="O1181" s="43">
        <v>14708.345648477412</v>
      </c>
    </row>
    <row r="1182" spans="12:15" x14ac:dyDescent="0.2">
      <c r="L1182" s="4">
        <v>1176</v>
      </c>
      <c r="M1182" s="21">
        <v>-140861.68212736386</v>
      </c>
      <c r="N1182" s="42">
        <v>48.051279658410373</v>
      </c>
      <c r="O1182" s="43">
        <v>14239.604112138439</v>
      </c>
    </row>
    <row r="1183" spans="12:15" x14ac:dyDescent="0.2">
      <c r="L1183" s="4">
        <v>1177</v>
      </c>
      <c r="M1183" s="21">
        <v>-124395.19654225578</v>
      </c>
      <c r="N1183" s="42">
        <v>48.541390693954583</v>
      </c>
      <c r="O1183" s="43">
        <v>16233.017629677557</v>
      </c>
    </row>
    <row r="1184" spans="12:15" x14ac:dyDescent="0.2">
      <c r="L1184" s="4">
        <v>1178</v>
      </c>
      <c r="M1184" s="21">
        <v>112810.37541738138</v>
      </c>
      <c r="N1184" s="42">
        <v>49.485508378691186</v>
      </c>
      <c r="O1184" s="43">
        <v>16282.301656734508</v>
      </c>
    </row>
    <row r="1185" spans="12:15" x14ac:dyDescent="0.2">
      <c r="L1185" s="4">
        <v>1179</v>
      </c>
      <c r="M1185" s="21">
        <v>1177.1856204033538</v>
      </c>
      <c r="N1185" s="42">
        <v>51.333167294828399</v>
      </c>
      <c r="O1185" s="43">
        <v>14622.528781295365</v>
      </c>
    </row>
    <row r="1186" spans="12:15" x14ac:dyDescent="0.2">
      <c r="L1186" s="4">
        <v>1180</v>
      </c>
      <c r="M1186" s="21">
        <v>13287.95057732673</v>
      </c>
      <c r="N1186" s="42">
        <v>50.011843335587926</v>
      </c>
      <c r="O1186" s="43">
        <v>14603.44822765603</v>
      </c>
    </row>
    <row r="1187" spans="12:15" x14ac:dyDescent="0.2">
      <c r="L1187" s="4">
        <v>1181</v>
      </c>
      <c r="M1187" s="21">
        <v>126861.25145980826</v>
      </c>
      <c r="N1187" s="42">
        <v>49.103668748047284</v>
      </c>
      <c r="O1187" s="43">
        <v>18108.998974487789</v>
      </c>
    </row>
    <row r="1188" spans="12:15" x14ac:dyDescent="0.2">
      <c r="L1188" s="4">
        <v>1182</v>
      </c>
      <c r="M1188" s="21">
        <v>-43978.427538177973</v>
      </c>
      <c r="N1188" s="42">
        <v>47.749796648164164</v>
      </c>
      <c r="O1188" s="43">
        <v>16008.189956501135</v>
      </c>
    </row>
    <row r="1189" spans="12:15" x14ac:dyDescent="0.2">
      <c r="L1189" s="4">
        <v>1183</v>
      </c>
      <c r="M1189" s="21">
        <v>-119442.6818208796</v>
      </c>
      <c r="N1189" s="42">
        <v>49.366674524021491</v>
      </c>
      <c r="O1189" s="43">
        <v>15184.423216596133</v>
      </c>
    </row>
    <row r="1190" spans="12:15" x14ac:dyDescent="0.2">
      <c r="L1190" s="4">
        <v>1184</v>
      </c>
      <c r="M1190" s="21">
        <v>41950.858542162052</v>
      </c>
      <c r="N1190" s="42">
        <v>49.057317609463752</v>
      </c>
      <c r="O1190" s="43">
        <v>17376.781910511429</v>
      </c>
    </row>
    <row r="1191" spans="12:15" x14ac:dyDescent="0.2">
      <c r="L1191" s="4">
        <v>1185</v>
      </c>
      <c r="M1191" s="21">
        <v>-178230.63045636757</v>
      </c>
      <c r="N1191" s="42">
        <v>49.492868611192108</v>
      </c>
      <c r="O1191" s="43">
        <v>13862.82925516596</v>
      </c>
    </row>
    <row r="1192" spans="12:15" x14ac:dyDescent="0.2">
      <c r="L1192" s="4">
        <v>1186</v>
      </c>
      <c r="M1192" s="21">
        <v>-60442.301637318116</v>
      </c>
      <c r="N1192" s="42">
        <v>49.205599133365723</v>
      </c>
      <c r="O1192" s="43">
        <v>15156.169403365393</v>
      </c>
    </row>
    <row r="1193" spans="12:15" x14ac:dyDescent="0.2">
      <c r="L1193" s="4">
        <v>1187</v>
      </c>
      <c r="M1193" s="21">
        <v>-146616.71582451777</v>
      </c>
      <c r="N1193" s="42">
        <v>47.162442055580684</v>
      </c>
      <c r="O1193" s="43">
        <v>16466.358132747984</v>
      </c>
    </row>
    <row r="1194" spans="12:15" x14ac:dyDescent="0.2">
      <c r="L1194" s="4">
        <v>1188</v>
      </c>
      <c r="M1194" s="21">
        <v>-5569.2590534431365</v>
      </c>
      <c r="N1194" s="42">
        <v>51.679106129879457</v>
      </c>
      <c r="O1194" s="43">
        <v>14671.693717606184</v>
      </c>
    </row>
    <row r="1195" spans="12:15" x14ac:dyDescent="0.2">
      <c r="L1195" s="4">
        <v>1189</v>
      </c>
      <c r="M1195" s="21">
        <v>149320.08432936019</v>
      </c>
      <c r="N1195" s="42">
        <v>47.936521228779242</v>
      </c>
      <c r="O1195" s="43">
        <v>15906.672906278185</v>
      </c>
    </row>
    <row r="1196" spans="12:15" x14ac:dyDescent="0.2">
      <c r="L1196" s="4">
        <v>1190</v>
      </c>
      <c r="M1196" s="21">
        <v>-71886.871335684613</v>
      </c>
      <c r="N1196" s="42">
        <v>51.718908899945518</v>
      </c>
      <c r="O1196" s="43">
        <v>12176.567063204538</v>
      </c>
    </row>
    <row r="1197" spans="12:15" x14ac:dyDescent="0.2">
      <c r="L1197" s="4">
        <v>1191</v>
      </c>
      <c r="M1197" s="21">
        <v>41828.994707196049</v>
      </c>
      <c r="N1197" s="42">
        <v>48.789538753374288</v>
      </c>
      <c r="O1197" s="43">
        <v>16091.718300140859</v>
      </c>
    </row>
    <row r="1198" spans="12:15" x14ac:dyDescent="0.2">
      <c r="L1198" s="4">
        <v>1192</v>
      </c>
      <c r="M1198" s="21">
        <v>-85831.053307799142</v>
      </c>
      <c r="N1198" s="42">
        <v>46.155020751752417</v>
      </c>
      <c r="O1198" s="43">
        <v>15685.604960764074</v>
      </c>
    </row>
    <row r="1199" spans="12:15" x14ac:dyDescent="0.2">
      <c r="L1199" s="4">
        <v>1193</v>
      </c>
      <c r="M1199" s="21">
        <v>-66718.186503411504</v>
      </c>
      <c r="N1199" s="42">
        <v>50.52415464830743</v>
      </c>
      <c r="O1199" s="43">
        <v>12514.730055188535</v>
      </c>
    </row>
    <row r="1200" spans="12:15" x14ac:dyDescent="0.2">
      <c r="L1200" s="4">
        <v>1194</v>
      </c>
      <c r="M1200" s="21">
        <v>-17195.033262982892</v>
      </c>
      <c r="N1200" s="42">
        <v>46.965611739045812</v>
      </c>
      <c r="O1200" s="43">
        <v>16489.249512768605</v>
      </c>
    </row>
    <row r="1201" spans="12:15" x14ac:dyDescent="0.2">
      <c r="L1201" s="4">
        <v>1195</v>
      </c>
      <c r="M1201" s="21">
        <v>-33999.608587098483</v>
      </c>
      <c r="N1201" s="42">
        <v>49.700801133637675</v>
      </c>
      <c r="O1201" s="43">
        <v>15278.743173909181</v>
      </c>
    </row>
    <row r="1202" spans="12:15" x14ac:dyDescent="0.2">
      <c r="L1202" s="4">
        <v>1196</v>
      </c>
      <c r="M1202" s="21">
        <v>-112047.83705351403</v>
      </c>
      <c r="N1202" s="42">
        <v>49.787287413476555</v>
      </c>
      <c r="O1202" s="43">
        <v>13981.498501577351</v>
      </c>
    </row>
    <row r="1203" spans="12:15" x14ac:dyDescent="0.2">
      <c r="L1203" s="4">
        <v>1197</v>
      </c>
      <c r="M1203" s="21">
        <v>184697.30145701958</v>
      </c>
      <c r="N1203" s="42">
        <v>49.50764003439059</v>
      </c>
      <c r="O1203" s="43">
        <v>15761.293269257321</v>
      </c>
    </row>
    <row r="1204" spans="12:15" x14ac:dyDescent="0.2">
      <c r="L1204" s="4">
        <v>1198</v>
      </c>
      <c r="M1204" s="21">
        <v>49217.611624266981</v>
      </c>
      <c r="N1204" s="42">
        <v>50.489705394403238</v>
      </c>
      <c r="O1204" s="43">
        <v>13952.693618949706</v>
      </c>
    </row>
    <row r="1205" spans="12:15" x14ac:dyDescent="0.2">
      <c r="L1205" s="4">
        <v>1199</v>
      </c>
      <c r="M1205" s="21">
        <v>92613.797996874782</v>
      </c>
      <c r="N1205" s="42">
        <v>50.085605489150851</v>
      </c>
      <c r="O1205" s="43">
        <v>16151.035290559212</v>
      </c>
    </row>
    <row r="1206" spans="12:15" x14ac:dyDescent="0.2">
      <c r="L1206" s="4">
        <v>1200</v>
      </c>
      <c r="M1206" s="21">
        <v>-138585.11305876917</v>
      </c>
      <c r="N1206" s="42">
        <v>46.296592302635482</v>
      </c>
      <c r="O1206" s="43">
        <v>16117.651951263721</v>
      </c>
    </row>
    <row r="1207" spans="12:15" x14ac:dyDescent="0.2">
      <c r="L1207" s="4">
        <v>1201</v>
      </c>
      <c r="M1207" s="21">
        <v>-73405.693940029145</v>
      </c>
      <c r="N1207" s="42">
        <v>49.114333966969674</v>
      </c>
      <c r="O1207" s="43">
        <v>14513.902243125671</v>
      </c>
    </row>
    <row r="1208" spans="12:15" x14ac:dyDescent="0.2">
      <c r="L1208" s="4">
        <v>1202</v>
      </c>
      <c r="M1208" s="21">
        <v>-172260.3494425742</v>
      </c>
      <c r="N1208" s="42">
        <v>51.445044781107619</v>
      </c>
      <c r="O1208" s="43">
        <v>11101.618139700569</v>
      </c>
    </row>
    <row r="1209" spans="12:15" x14ac:dyDescent="0.2">
      <c r="L1209" s="4">
        <v>1203</v>
      </c>
      <c r="M1209" s="21">
        <v>-272587.61770770769</v>
      </c>
      <c r="N1209" s="42">
        <v>49.100074552587571</v>
      </c>
      <c r="O1209" s="43">
        <v>11499.108079742717</v>
      </c>
    </row>
    <row r="1210" spans="12:15" x14ac:dyDescent="0.2">
      <c r="L1210" s="4">
        <v>1204</v>
      </c>
      <c r="M1210" s="21">
        <v>-71879.703835710519</v>
      </c>
      <c r="N1210" s="42">
        <v>50.104734323784108</v>
      </c>
      <c r="O1210" s="43">
        <v>12279.210898115052</v>
      </c>
    </row>
    <row r="1211" spans="12:15" x14ac:dyDescent="0.2">
      <c r="L1211" s="4">
        <v>1205</v>
      </c>
      <c r="M1211" s="21">
        <v>-213501.09632214566</v>
      </c>
      <c r="N1211" s="42">
        <v>51.002711439838151</v>
      </c>
      <c r="O1211" s="43">
        <v>12607.595894871927</v>
      </c>
    </row>
    <row r="1212" spans="12:15" x14ac:dyDescent="0.2">
      <c r="L1212" s="4">
        <v>1206</v>
      </c>
      <c r="M1212" s="21">
        <v>-140309.88243548904</v>
      </c>
      <c r="N1212" s="42">
        <v>48.502114299312296</v>
      </c>
      <c r="O1212" s="43">
        <v>13922.653143148362</v>
      </c>
    </row>
    <row r="1213" spans="12:15" x14ac:dyDescent="0.2">
      <c r="L1213" s="4">
        <v>1207</v>
      </c>
      <c r="M1213" s="21">
        <v>-171342.53533316735</v>
      </c>
      <c r="N1213" s="42">
        <v>48.187614144853335</v>
      </c>
      <c r="O1213" s="43">
        <v>14941.802676429266</v>
      </c>
    </row>
    <row r="1214" spans="12:15" x14ac:dyDescent="0.2">
      <c r="L1214" s="4">
        <v>1208</v>
      </c>
      <c r="M1214" s="21">
        <v>-301495.10466698278</v>
      </c>
      <c r="N1214" s="42">
        <v>51.770289882250474</v>
      </c>
      <c r="O1214" s="43">
        <v>9572.1446136898339</v>
      </c>
    </row>
    <row r="1215" spans="12:15" x14ac:dyDescent="0.2">
      <c r="L1215" s="4">
        <v>1209</v>
      </c>
      <c r="M1215" s="21">
        <v>208650.92632678704</v>
      </c>
      <c r="N1215" s="42">
        <v>50.846532427432969</v>
      </c>
      <c r="O1215" s="43">
        <v>15806.857712753103</v>
      </c>
    </row>
    <row r="1216" spans="12:15" x14ac:dyDescent="0.2">
      <c r="L1216" s="4">
        <v>1210</v>
      </c>
      <c r="M1216" s="21">
        <v>62049.209152887517</v>
      </c>
      <c r="N1216" s="42">
        <v>49.590366605544794</v>
      </c>
      <c r="O1216" s="43">
        <v>14365.537835209005</v>
      </c>
    </row>
    <row r="1217" spans="12:15" x14ac:dyDescent="0.2">
      <c r="L1217" s="4">
        <v>1211</v>
      </c>
      <c r="M1217" s="21">
        <v>-203712.6244096281</v>
      </c>
      <c r="N1217" s="42">
        <v>45.313842608539879</v>
      </c>
      <c r="O1217" s="43">
        <v>15880.702989875876</v>
      </c>
    </row>
    <row r="1218" spans="12:15" x14ac:dyDescent="0.2">
      <c r="L1218" s="4">
        <v>1212</v>
      </c>
      <c r="M1218" s="21">
        <v>17983.820538115629</v>
      </c>
      <c r="N1218" s="42">
        <v>49.101936882558945</v>
      </c>
      <c r="O1218" s="43">
        <v>15579.34313336089</v>
      </c>
    </row>
    <row r="1219" spans="12:15" x14ac:dyDescent="0.2">
      <c r="L1219" s="4">
        <v>1213</v>
      </c>
      <c r="M1219" s="21">
        <v>-125993.95024362457</v>
      </c>
      <c r="N1219" s="42">
        <v>46.515382450261647</v>
      </c>
      <c r="O1219" s="43">
        <v>15466.085311871773</v>
      </c>
    </row>
    <row r="1220" spans="12:15" x14ac:dyDescent="0.2">
      <c r="L1220" s="4">
        <v>1214</v>
      </c>
      <c r="M1220" s="21">
        <v>194764.10747916109</v>
      </c>
      <c r="N1220" s="42">
        <v>49.428052000385122</v>
      </c>
      <c r="O1220" s="43">
        <v>17766.334584368276</v>
      </c>
    </row>
    <row r="1221" spans="12:15" x14ac:dyDescent="0.2">
      <c r="L1221" s="4">
        <v>1215</v>
      </c>
      <c r="M1221" s="21">
        <v>77647.893246106978</v>
      </c>
      <c r="N1221" s="42">
        <v>49.653073169474659</v>
      </c>
      <c r="O1221" s="43">
        <v>15576.657855978396</v>
      </c>
    </row>
    <row r="1222" spans="12:15" x14ac:dyDescent="0.2">
      <c r="L1222" s="4">
        <v>1216</v>
      </c>
      <c r="M1222" s="21">
        <v>125527.92473253311</v>
      </c>
      <c r="N1222" s="42">
        <v>49.036653996648369</v>
      </c>
      <c r="O1222" s="43">
        <v>16199.652235557127</v>
      </c>
    </row>
    <row r="1223" spans="12:15" x14ac:dyDescent="0.2">
      <c r="L1223" s="4">
        <v>1217</v>
      </c>
      <c r="M1223" s="21">
        <v>-113277.63919500158</v>
      </c>
      <c r="N1223" s="42">
        <v>50.85469369852796</v>
      </c>
      <c r="O1223" s="43">
        <v>12500.817345836151</v>
      </c>
    </row>
    <row r="1224" spans="12:15" x14ac:dyDescent="0.2">
      <c r="L1224" s="4">
        <v>1218</v>
      </c>
      <c r="M1224" s="21">
        <v>-166922.29313735681</v>
      </c>
      <c r="N1224" s="42">
        <v>49.606897143274296</v>
      </c>
      <c r="O1224" s="43">
        <v>14694.225035060826</v>
      </c>
    </row>
    <row r="1225" spans="12:15" x14ac:dyDescent="0.2">
      <c r="L1225" s="4">
        <v>1219</v>
      </c>
      <c r="M1225" s="21">
        <v>-76385.32682405955</v>
      </c>
      <c r="N1225" s="42">
        <v>49.467978568470301</v>
      </c>
      <c r="O1225" s="43">
        <v>14284.017903005188</v>
      </c>
    </row>
    <row r="1226" spans="12:15" x14ac:dyDescent="0.2">
      <c r="L1226" s="4">
        <v>1220</v>
      </c>
      <c r="M1226" s="21">
        <v>-61424.469448207907</v>
      </c>
      <c r="N1226" s="42">
        <v>49.350953248490086</v>
      </c>
      <c r="O1226" s="43">
        <v>15620.8838818694</v>
      </c>
    </row>
    <row r="1227" spans="12:15" x14ac:dyDescent="0.2">
      <c r="L1227" s="4">
        <v>1221</v>
      </c>
      <c r="M1227" s="21">
        <v>-106935.81087958772</v>
      </c>
      <c r="N1227" s="42">
        <v>50.170096304246968</v>
      </c>
      <c r="O1227" s="43">
        <v>13248.66155805987</v>
      </c>
    </row>
    <row r="1228" spans="12:15" x14ac:dyDescent="0.2">
      <c r="L1228" s="4">
        <v>1222</v>
      </c>
      <c r="M1228" s="21">
        <v>-130890.82732911833</v>
      </c>
      <c r="N1228" s="42">
        <v>51.003555390079413</v>
      </c>
      <c r="O1228" s="43">
        <v>12176.804824763254</v>
      </c>
    </row>
    <row r="1229" spans="12:15" x14ac:dyDescent="0.2">
      <c r="L1229" s="4">
        <v>1223</v>
      </c>
      <c r="M1229" s="21">
        <v>-42224.912976911059</v>
      </c>
      <c r="N1229" s="42">
        <v>51.213342255481265</v>
      </c>
      <c r="O1229" s="43">
        <v>12746.792150726826</v>
      </c>
    </row>
    <row r="1230" spans="12:15" x14ac:dyDescent="0.2">
      <c r="L1230" s="4">
        <v>1224</v>
      </c>
      <c r="M1230" s="21">
        <v>-20351.892053017174</v>
      </c>
      <c r="N1230" s="42">
        <v>49.458297415560679</v>
      </c>
      <c r="O1230" s="43">
        <v>13796.682191838263</v>
      </c>
    </row>
    <row r="1231" spans="12:15" x14ac:dyDescent="0.2">
      <c r="L1231" s="4">
        <v>1225</v>
      </c>
      <c r="M1231" s="21">
        <v>-230652.73235016537</v>
      </c>
      <c r="N1231" s="42">
        <v>49.318001809435387</v>
      </c>
      <c r="O1231" s="43">
        <v>12246.987056242697</v>
      </c>
    </row>
    <row r="1232" spans="12:15" x14ac:dyDescent="0.2">
      <c r="L1232" s="4">
        <v>1226</v>
      </c>
      <c r="M1232" s="21">
        <v>-14115.163215591077</v>
      </c>
      <c r="N1232" s="42">
        <v>50.341921084782939</v>
      </c>
      <c r="O1232" s="43">
        <v>15203.884494880993</v>
      </c>
    </row>
    <row r="1233" spans="12:15" x14ac:dyDescent="0.2">
      <c r="L1233" s="4">
        <v>1227</v>
      </c>
      <c r="M1233" s="21">
        <v>223710.20901189826</v>
      </c>
      <c r="N1233" s="42">
        <v>51.525535583260556</v>
      </c>
      <c r="O1233" s="43">
        <v>15580.371981407046</v>
      </c>
    </row>
    <row r="1234" spans="12:15" x14ac:dyDescent="0.2">
      <c r="L1234" s="4">
        <v>1228</v>
      </c>
      <c r="M1234" s="21">
        <v>-15742.804458296407</v>
      </c>
      <c r="N1234" s="42">
        <v>49.32828215703671</v>
      </c>
      <c r="O1234" s="43">
        <v>13914.118802428346</v>
      </c>
    </row>
    <row r="1235" spans="12:15" x14ac:dyDescent="0.2">
      <c r="L1235" s="4">
        <v>1229</v>
      </c>
      <c r="M1235" s="21">
        <v>103335.25800910368</v>
      </c>
      <c r="N1235" s="42">
        <v>51.140889488085378</v>
      </c>
      <c r="O1235" s="43">
        <v>15316.208363082465</v>
      </c>
    </row>
    <row r="1236" spans="12:15" x14ac:dyDescent="0.2">
      <c r="L1236" s="4">
        <v>1230</v>
      </c>
      <c r="M1236" s="21">
        <v>54525.739303605485</v>
      </c>
      <c r="N1236" s="42">
        <v>49.079124762014231</v>
      </c>
      <c r="O1236" s="43">
        <v>16605.181798970039</v>
      </c>
    </row>
    <row r="1237" spans="12:15" x14ac:dyDescent="0.2">
      <c r="L1237" s="4">
        <v>1231</v>
      </c>
      <c r="M1237" s="21">
        <v>-34643.516178955048</v>
      </c>
      <c r="N1237" s="42">
        <v>48.306429107731425</v>
      </c>
      <c r="O1237" s="43">
        <v>15421.829895446503</v>
      </c>
    </row>
    <row r="1238" spans="12:15" x14ac:dyDescent="0.2">
      <c r="L1238" s="4">
        <v>1232</v>
      </c>
      <c r="M1238" s="21">
        <v>-307932.78313107585</v>
      </c>
      <c r="N1238" s="42">
        <v>48.118886627945187</v>
      </c>
      <c r="O1238" s="43">
        <v>13737.651240691528</v>
      </c>
    </row>
    <row r="1239" spans="12:15" x14ac:dyDescent="0.2">
      <c r="L1239" s="4">
        <v>1233</v>
      </c>
      <c r="M1239" s="21">
        <v>-45768.789550340793</v>
      </c>
      <c r="N1239" s="42">
        <v>49.462322224076559</v>
      </c>
      <c r="O1239" s="43">
        <v>15549.215402855702</v>
      </c>
    </row>
    <row r="1240" spans="12:15" x14ac:dyDescent="0.2">
      <c r="L1240" s="4">
        <v>1234</v>
      </c>
      <c r="M1240" s="21">
        <v>63717.388291719777</v>
      </c>
      <c r="N1240" s="42">
        <v>47.428446129146714</v>
      </c>
      <c r="O1240" s="43">
        <v>17894.048666182418</v>
      </c>
    </row>
    <row r="1241" spans="12:15" x14ac:dyDescent="0.2">
      <c r="L1241" s="4">
        <v>1235</v>
      </c>
      <c r="M1241" s="21">
        <v>-103795.96578549907</v>
      </c>
      <c r="N1241" s="42">
        <v>50.442301414383614</v>
      </c>
      <c r="O1241" s="43">
        <v>12863.337999844076</v>
      </c>
    </row>
    <row r="1242" spans="12:15" x14ac:dyDescent="0.2">
      <c r="L1242" s="4">
        <v>1236</v>
      </c>
      <c r="M1242" s="21">
        <v>25345.350144021679</v>
      </c>
      <c r="N1242" s="42">
        <v>49.225248471759535</v>
      </c>
      <c r="O1242" s="43">
        <v>15166.315652496398</v>
      </c>
    </row>
    <row r="1243" spans="12:15" x14ac:dyDescent="0.2">
      <c r="L1243" s="4">
        <v>1237</v>
      </c>
      <c r="M1243" s="21">
        <v>77231.925489312591</v>
      </c>
      <c r="N1243" s="42">
        <v>47.33297580202894</v>
      </c>
      <c r="O1243" s="43">
        <v>17611.402083964553</v>
      </c>
    </row>
    <row r="1244" spans="12:15" x14ac:dyDescent="0.2">
      <c r="L1244" s="4">
        <v>1238</v>
      </c>
      <c r="M1244" s="21">
        <v>37379.579804363777</v>
      </c>
      <c r="N1244" s="42">
        <v>51.865651255048164</v>
      </c>
      <c r="O1244" s="43">
        <v>13382.200815749096</v>
      </c>
    </row>
    <row r="1245" spans="12:15" x14ac:dyDescent="0.2">
      <c r="L1245" s="4">
        <v>1239</v>
      </c>
      <c r="M1245" s="21">
        <v>144862.03158738071</v>
      </c>
      <c r="N1245" s="42">
        <v>49.664853312902665</v>
      </c>
      <c r="O1245" s="43">
        <v>15107.895189650755</v>
      </c>
    </row>
    <row r="1246" spans="12:15" x14ac:dyDescent="0.2">
      <c r="L1246" s="4">
        <v>1240</v>
      </c>
      <c r="M1246" s="21">
        <v>-45369.422835910183</v>
      </c>
      <c r="N1246" s="42">
        <v>48.438537518549403</v>
      </c>
      <c r="O1246" s="43">
        <v>16681.741673225515</v>
      </c>
    </row>
    <row r="1247" spans="12:15" x14ac:dyDescent="0.2">
      <c r="L1247" s="4">
        <v>1241</v>
      </c>
      <c r="M1247" s="21">
        <v>-46058.642326857502</v>
      </c>
      <c r="N1247" s="42">
        <v>49.55079484665346</v>
      </c>
      <c r="O1247" s="43">
        <v>14041.650284552126</v>
      </c>
    </row>
    <row r="1248" spans="12:15" x14ac:dyDescent="0.2">
      <c r="L1248" s="4">
        <v>1242</v>
      </c>
      <c r="M1248" s="21">
        <v>-33337.58996469916</v>
      </c>
      <c r="N1248" s="42">
        <v>49.359422886669712</v>
      </c>
      <c r="O1248" s="43">
        <v>16226.007532451178</v>
      </c>
    </row>
    <row r="1249" spans="12:15" x14ac:dyDescent="0.2">
      <c r="L1249" s="4">
        <v>1243</v>
      </c>
      <c r="M1249" s="21">
        <v>-260451.14234627815</v>
      </c>
      <c r="N1249" s="42">
        <v>49.008802156928795</v>
      </c>
      <c r="O1249" s="43">
        <v>13777.98415159298</v>
      </c>
    </row>
    <row r="1250" spans="12:15" x14ac:dyDescent="0.2">
      <c r="L1250" s="4">
        <v>1244</v>
      </c>
      <c r="M1250" s="21">
        <v>106569.84887437042</v>
      </c>
      <c r="N1250" s="42">
        <v>49.255581035213766</v>
      </c>
      <c r="O1250" s="43">
        <v>16711.661292180328</v>
      </c>
    </row>
    <row r="1251" spans="12:15" x14ac:dyDescent="0.2">
      <c r="L1251" s="4">
        <v>1245</v>
      </c>
      <c r="M1251" s="21">
        <v>20568.582040037174</v>
      </c>
      <c r="N1251" s="42">
        <v>48.714655141979307</v>
      </c>
      <c r="O1251" s="43">
        <v>16522.3531250409</v>
      </c>
    </row>
    <row r="1252" spans="12:15" x14ac:dyDescent="0.2">
      <c r="L1252" s="4">
        <v>1246</v>
      </c>
      <c r="M1252" s="21">
        <v>-158590.84778039774</v>
      </c>
      <c r="N1252" s="42">
        <v>50.830990543910033</v>
      </c>
      <c r="O1252" s="43">
        <v>11532.146950645843</v>
      </c>
    </row>
    <row r="1253" spans="12:15" x14ac:dyDescent="0.2">
      <c r="L1253" s="4">
        <v>1247</v>
      </c>
      <c r="M1253" s="21">
        <v>-213067.20389156503</v>
      </c>
      <c r="N1253" s="42">
        <v>48.31571576059261</v>
      </c>
      <c r="O1253" s="43">
        <v>14634.032997421386</v>
      </c>
    </row>
    <row r="1254" spans="12:15" x14ac:dyDescent="0.2">
      <c r="L1254" s="4">
        <v>1248</v>
      </c>
      <c r="M1254" s="21">
        <v>-20809.625549562203</v>
      </c>
      <c r="N1254" s="42">
        <v>50.009159714805072</v>
      </c>
      <c r="O1254" s="43">
        <v>15228.646622485525</v>
      </c>
    </row>
    <row r="1255" spans="12:15" x14ac:dyDescent="0.2">
      <c r="L1255" s="4">
        <v>1249</v>
      </c>
      <c r="M1255" s="21">
        <v>-46799.282125318801</v>
      </c>
      <c r="N1255" s="42">
        <v>49.526404033435604</v>
      </c>
      <c r="O1255" s="43">
        <v>14367.276964591752</v>
      </c>
    </row>
    <row r="1256" spans="12:15" x14ac:dyDescent="0.2">
      <c r="L1256" s="4">
        <v>1250</v>
      </c>
      <c r="M1256" s="21">
        <v>-132064.11713598244</v>
      </c>
      <c r="N1256" s="42">
        <v>48.62601877950005</v>
      </c>
      <c r="O1256" s="43">
        <v>16191.18600909714</v>
      </c>
    </row>
    <row r="1257" spans="12:15" x14ac:dyDescent="0.2">
      <c r="L1257" s="4">
        <v>1251</v>
      </c>
      <c r="M1257" s="21">
        <v>140965.59179593495</v>
      </c>
      <c r="N1257" s="42">
        <v>51.520448798716622</v>
      </c>
      <c r="O1257" s="43">
        <v>14339.14886014386</v>
      </c>
    </row>
    <row r="1258" spans="12:15" x14ac:dyDescent="0.2">
      <c r="L1258" s="4">
        <v>1252</v>
      </c>
      <c r="M1258" s="21">
        <v>42563.293189269345</v>
      </c>
      <c r="N1258" s="42">
        <v>50.508981321409095</v>
      </c>
      <c r="O1258" s="43">
        <v>13288.463073185523</v>
      </c>
    </row>
    <row r="1259" spans="12:15" x14ac:dyDescent="0.2">
      <c r="L1259" s="4">
        <v>1253</v>
      </c>
      <c r="M1259" s="21">
        <v>56425.883272566396</v>
      </c>
      <c r="N1259" s="42">
        <v>50.247944287302495</v>
      </c>
      <c r="O1259" s="43">
        <v>14741.216580512459</v>
      </c>
    </row>
    <row r="1260" spans="12:15" x14ac:dyDescent="0.2">
      <c r="L1260" s="4">
        <v>1254</v>
      </c>
      <c r="M1260" s="21">
        <v>-62634.321129017262</v>
      </c>
      <c r="N1260" s="42">
        <v>50.358256221904384</v>
      </c>
      <c r="O1260" s="43">
        <v>13991.271884142932</v>
      </c>
    </row>
    <row r="1261" spans="12:15" x14ac:dyDescent="0.2">
      <c r="L1261" s="4">
        <v>1255</v>
      </c>
      <c r="M1261" s="21">
        <v>70030.372195703821</v>
      </c>
      <c r="N1261" s="42">
        <v>49.689843309085219</v>
      </c>
      <c r="O1261" s="43">
        <v>15574.918216067801</v>
      </c>
    </row>
    <row r="1262" spans="12:15" x14ac:dyDescent="0.2">
      <c r="L1262" s="4">
        <v>1256</v>
      </c>
      <c r="M1262" s="21">
        <v>-48405.485703855549</v>
      </c>
      <c r="N1262" s="42">
        <v>51.651595416561968</v>
      </c>
      <c r="O1262" s="43">
        <v>12818.330563579912</v>
      </c>
    </row>
    <row r="1263" spans="12:15" x14ac:dyDescent="0.2">
      <c r="L1263" s="4">
        <v>1257</v>
      </c>
      <c r="M1263" s="21">
        <v>-200885.31746903382</v>
      </c>
      <c r="N1263" s="42">
        <v>50.67488379691018</v>
      </c>
      <c r="O1263" s="43">
        <v>11599.589925585615</v>
      </c>
    </row>
    <row r="1264" spans="12:15" x14ac:dyDescent="0.2">
      <c r="L1264" s="4">
        <v>1258</v>
      </c>
      <c r="M1264" s="21">
        <v>44396.85695102415</v>
      </c>
      <c r="N1264" s="42">
        <v>49.356828785269748</v>
      </c>
      <c r="O1264" s="43">
        <v>15716.230264381938</v>
      </c>
    </row>
    <row r="1265" spans="12:15" x14ac:dyDescent="0.2">
      <c r="L1265" s="4">
        <v>1259</v>
      </c>
      <c r="M1265" s="21">
        <v>-51012.710813229773</v>
      </c>
      <c r="N1265" s="42">
        <v>49.535434624693181</v>
      </c>
      <c r="O1265" s="43">
        <v>13717.610150816387</v>
      </c>
    </row>
    <row r="1266" spans="12:15" x14ac:dyDescent="0.2">
      <c r="L1266" s="4">
        <v>1260</v>
      </c>
      <c r="M1266" s="21">
        <v>7335.3310548697773</v>
      </c>
      <c r="N1266" s="42">
        <v>49.031059778205105</v>
      </c>
      <c r="O1266" s="43">
        <v>16583.54595174623</v>
      </c>
    </row>
    <row r="1267" spans="12:15" x14ac:dyDescent="0.2">
      <c r="L1267" s="4">
        <v>1261</v>
      </c>
      <c r="M1267" s="21">
        <v>41751.589629818365</v>
      </c>
      <c r="N1267" s="42">
        <v>51.321522713175519</v>
      </c>
      <c r="O1267" s="43">
        <v>16066.544553418695</v>
      </c>
    </row>
    <row r="1268" spans="12:15" x14ac:dyDescent="0.2">
      <c r="L1268" s="4">
        <v>1262</v>
      </c>
      <c r="M1268" s="21">
        <v>90875.14861330291</v>
      </c>
      <c r="N1268" s="42">
        <v>50.91499084615613</v>
      </c>
      <c r="O1268" s="43">
        <v>16849.833764334486</v>
      </c>
    </row>
    <row r="1269" spans="12:15" x14ac:dyDescent="0.2">
      <c r="L1269" s="4">
        <v>1263</v>
      </c>
      <c r="M1269" s="21">
        <v>-41059.483757349823</v>
      </c>
      <c r="N1269" s="42">
        <v>49.055297580579477</v>
      </c>
      <c r="O1269" s="43">
        <v>14666.955639551688</v>
      </c>
    </row>
    <row r="1270" spans="12:15" x14ac:dyDescent="0.2">
      <c r="L1270" s="4">
        <v>1264</v>
      </c>
      <c r="M1270" s="21">
        <v>-6557.8730336211302</v>
      </c>
      <c r="N1270" s="42">
        <v>48.55761095050822</v>
      </c>
      <c r="O1270" s="43">
        <v>16557.127641832281</v>
      </c>
    </row>
    <row r="1271" spans="12:15" x14ac:dyDescent="0.2">
      <c r="L1271" s="4">
        <v>1265</v>
      </c>
      <c r="M1271" s="21">
        <v>-25898.741866355369</v>
      </c>
      <c r="N1271" s="42">
        <v>51.48772561610209</v>
      </c>
      <c r="O1271" s="43">
        <v>13026.785585490246</v>
      </c>
    </row>
    <row r="1272" spans="12:15" x14ac:dyDescent="0.2">
      <c r="L1272" s="4">
        <v>1266</v>
      </c>
      <c r="M1272" s="21">
        <v>-13858.088747186615</v>
      </c>
      <c r="N1272" s="42">
        <v>51.436923338882465</v>
      </c>
      <c r="O1272" s="43">
        <v>14061.913312305453</v>
      </c>
    </row>
    <row r="1273" spans="12:15" x14ac:dyDescent="0.2">
      <c r="L1273" s="4">
        <v>1267</v>
      </c>
      <c r="M1273" s="21">
        <v>-17810.438991582632</v>
      </c>
      <c r="N1273" s="42">
        <v>50.390282332714136</v>
      </c>
      <c r="O1273" s="43">
        <v>14296.161176575763</v>
      </c>
    </row>
    <row r="1274" spans="12:15" x14ac:dyDescent="0.2">
      <c r="L1274" s="4">
        <v>1268</v>
      </c>
      <c r="M1274" s="21">
        <v>-19483.036665071486</v>
      </c>
      <c r="N1274" s="42">
        <v>47.227130469524887</v>
      </c>
      <c r="O1274" s="43">
        <v>18229.020506373217</v>
      </c>
    </row>
    <row r="1275" spans="12:15" x14ac:dyDescent="0.2">
      <c r="L1275" s="4">
        <v>1269</v>
      </c>
      <c r="M1275" s="21">
        <v>-197546.40415857936</v>
      </c>
      <c r="N1275" s="42">
        <v>50.344321304666067</v>
      </c>
      <c r="O1275" s="43">
        <v>12512.568953932312</v>
      </c>
    </row>
    <row r="1276" spans="12:15" x14ac:dyDescent="0.2">
      <c r="L1276" s="4">
        <v>1270</v>
      </c>
      <c r="M1276" s="21">
        <v>61794.034584123932</v>
      </c>
      <c r="N1276" s="42">
        <v>49.430844609397973</v>
      </c>
      <c r="O1276" s="43">
        <v>15031.093213415288</v>
      </c>
    </row>
    <row r="1277" spans="12:15" x14ac:dyDescent="0.2">
      <c r="L1277" s="4">
        <v>1271</v>
      </c>
      <c r="M1277" s="21">
        <v>-20143.882484254354</v>
      </c>
      <c r="N1277" s="42">
        <v>47.690316600131162</v>
      </c>
      <c r="O1277" s="43">
        <v>15833.580636295987</v>
      </c>
    </row>
    <row r="1278" spans="12:15" x14ac:dyDescent="0.2">
      <c r="L1278" s="4">
        <v>1272</v>
      </c>
      <c r="M1278" s="21">
        <v>-20787.82371445006</v>
      </c>
      <c r="N1278" s="42">
        <v>49.768194094534863</v>
      </c>
      <c r="O1278" s="43">
        <v>14942.755383843816</v>
      </c>
    </row>
    <row r="1279" spans="12:15" x14ac:dyDescent="0.2">
      <c r="L1279" s="4">
        <v>1273</v>
      </c>
      <c r="M1279" s="21">
        <v>-38671.017661073667</v>
      </c>
      <c r="N1279" s="42">
        <v>50.166558116747019</v>
      </c>
      <c r="O1279" s="43">
        <v>15335.721774036074</v>
      </c>
    </row>
    <row r="1280" spans="12:15" x14ac:dyDescent="0.2">
      <c r="L1280" s="4">
        <v>1274</v>
      </c>
      <c r="M1280" s="21">
        <v>-150630.93206062005</v>
      </c>
      <c r="N1280" s="42">
        <v>49.301955960298869</v>
      </c>
      <c r="O1280" s="43">
        <v>13132.334674085956</v>
      </c>
    </row>
    <row r="1281" spans="12:15" x14ac:dyDescent="0.2">
      <c r="L1281" s="4">
        <v>1275</v>
      </c>
      <c r="M1281" s="21">
        <v>115359.69497769666</v>
      </c>
      <c r="N1281" s="42">
        <v>47.527800232358842</v>
      </c>
      <c r="O1281" s="43">
        <v>16414.609601836182</v>
      </c>
    </row>
    <row r="1282" spans="12:15" x14ac:dyDescent="0.2">
      <c r="L1282" s="4">
        <v>1276</v>
      </c>
      <c r="M1282" s="21">
        <v>-35531.199333259327</v>
      </c>
      <c r="N1282" s="42">
        <v>49.957890050385373</v>
      </c>
      <c r="O1282" s="43">
        <v>13502.145789677421</v>
      </c>
    </row>
    <row r="1283" spans="12:15" x14ac:dyDescent="0.2">
      <c r="L1283" s="4">
        <v>1277</v>
      </c>
      <c r="M1283" s="21">
        <v>-24855.172813166078</v>
      </c>
      <c r="N1283" s="42">
        <v>50.226950130600933</v>
      </c>
      <c r="O1283" s="43">
        <v>15335.2830488245</v>
      </c>
    </row>
    <row r="1284" spans="12:15" x14ac:dyDescent="0.2">
      <c r="L1284" s="4">
        <v>1278</v>
      </c>
      <c r="M1284" s="21">
        <v>-176830.1097721039</v>
      </c>
      <c r="N1284" s="42">
        <v>51.63300517845606</v>
      </c>
      <c r="O1284" s="43">
        <v>11397.750135771781</v>
      </c>
    </row>
    <row r="1285" spans="12:15" x14ac:dyDescent="0.2">
      <c r="L1285" s="4">
        <v>1279</v>
      </c>
      <c r="M1285" s="21">
        <v>179776.27101477783</v>
      </c>
      <c r="N1285" s="42">
        <v>45.919556576275383</v>
      </c>
      <c r="O1285" s="43">
        <v>17302.622271201868</v>
      </c>
    </row>
    <row r="1286" spans="12:15" x14ac:dyDescent="0.2">
      <c r="L1286" s="4">
        <v>1280</v>
      </c>
      <c r="M1286" s="21">
        <v>81743.28469898412</v>
      </c>
      <c r="N1286" s="42">
        <v>48.968876120860386</v>
      </c>
      <c r="O1286" s="43">
        <v>15799.841399187009</v>
      </c>
    </row>
    <row r="1287" spans="12:15" x14ac:dyDescent="0.2">
      <c r="L1287" s="4">
        <v>1281</v>
      </c>
      <c r="M1287" s="21">
        <v>8624.5935337425617</v>
      </c>
      <c r="N1287" s="42">
        <v>47.068851004917349</v>
      </c>
      <c r="O1287" s="43">
        <v>16868.953598027903</v>
      </c>
    </row>
    <row r="1288" spans="12:15" x14ac:dyDescent="0.2">
      <c r="L1288" s="4">
        <v>1282</v>
      </c>
      <c r="M1288" s="21">
        <v>115362.2384763291</v>
      </c>
      <c r="N1288" s="42">
        <v>49.447240726038196</v>
      </c>
      <c r="O1288" s="43">
        <v>15402.815529221982</v>
      </c>
    </row>
    <row r="1289" spans="12:15" x14ac:dyDescent="0.2">
      <c r="L1289" s="4">
        <v>1283</v>
      </c>
      <c r="M1289" s="21">
        <v>-138480.96569600614</v>
      </c>
      <c r="N1289" s="42">
        <v>46.151443293317136</v>
      </c>
      <c r="O1289" s="43">
        <v>18100.157011846131</v>
      </c>
    </row>
    <row r="1290" spans="12:15" x14ac:dyDescent="0.2">
      <c r="L1290" s="4">
        <v>1284</v>
      </c>
      <c r="M1290" s="21">
        <v>-104254.03374463494</v>
      </c>
      <c r="N1290" s="42">
        <v>49.973981371387886</v>
      </c>
      <c r="O1290" s="43">
        <v>13635.248935320171</v>
      </c>
    </row>
    <row r="1291" spans="12:15" x14ac:dyDescent="0.2">
      <c r="L1291" s="4">
        <v>1285</v>
      </c>
      <c r="M1291" s="21">
        <v>117127.79025250048</v>
      </c>
      <c r="N1291" s="42">
        <v>48.881443851010111</v>
      </c>
      <c r="O1291" s="43">
        <v>14458.909349993321</v>
      </c>
    </row>
    <row r="1292" spans="12:15" x14ac:dyDescent="0.2">
      <c r="L1292" s="4">
        <v>1286</v>
      </c>
      <c r="M1292" s="21">
        <v>152637.89829183047</v>
      </c>
      <c r="N1292" s="42">
        <v>51.381531653627619</v>
      </c>
      <c r="O1292" s="43">
        <v>13327.373015863384</v>
      </c>
    </row>
    <row r="1293" spans="12:15" x14ac:dyDescent="0.2">
      <c r="L1293" s="4">
        <v>1287</v>
      </c>
      <c r="M1293" s="21">
        <v>-127770.42327515154</v>
      </c>
      <c r="N1293" s="42">
        <v>49.051867968921123</v>
      </c>
      <c r="O1293" s="43">
        <v>14848.544676552643</v>
      </c>
    </row>
    <row r="1294" spans="12:15" x14ac:dyDescent="0.2">
      <c r="L1294" s="4">
        <v>1288</v>
      </c>
      <c r="M1294" s="21">
        <v>59181.736822114734</v>
      </c>
      <c r="N1294" s="42">
        <v>50.625260143955501</v>
      </c>
      <c r="O1294" s="43">
        <v>13230.109805462829</v>
      </c>
    </row>
    <row r="1295" spans="12:15" x14ac:dyDescent="0.2">
      <c r="L1295" s="4">
        <v>1289</v>
      </c>
      <c r="M1295" s="21">
        <v>1846.1842905355443</v>
      </c>
      <c r="N1295" s="42">
        <v>47.400961536295817</v>
      </c>
      <c r="O1295" s="43">
        <v>16846.258244731616</v>
      </c>
    </row>
    <row r="1296" spans="12:15" x14ac:dyDescent="0.2">
      <c r="L1296" s="4">
        <v>1290</v>
      </c>
      <c r="M1296" s="21">
        <v>109150.67376404596</v>
      </c>
      <c r="N1296" s="42">
        <v>48.457967475598977</v>
      </c>
      <c r="O1296" s="43">
        <v>16409.227825395039</v>
      </c>
    </row>
    <row r="1297" spans="12:15" x14ac:dyDescent="0.2">
      <c r="L1297" s="4">
        <v>1291</v>
      </c>
      <c r="M1297" s="21">
        <v>64429.566873639589</v>
      </c>
      <c r="N1297" s="42">
        <v>48.865554090270628</v>
      </c>
      <c r="O1297" s="43">
        <v>15784.745361801624</v>
      </c>
    </row>
    <row r="1298" spans="12:15" x14ac:dyDescent="0.2">
      <c r="L1298" s="4">
        <v>1292</v>
      </c>
      <c r="M1298" s="21">
        <v>123804.93455825688</v>
      </c>
      <c r="N1298" s="42">
        <v>48.865041400672496</v>
      </c>
      <c r="O1298" s="43">
        <v>15666.189050977402</v>
      </c>
    </row>
    <row r="1299" spans="12:15" x14ac:dyDescent="0.2">
      <c r="L1299" s="4">
        <v>1293</v>
      </c>
      <c r="M1299" s="21">
        <v>130069.03634482159</v>
      </c>
      <c r="N1299" s="42">
        <v>48.607987869068914</v>
      </c>
      <c r="O1299" s="43">
        <v>16435.439703026816</v>
      </c>
    </row>
    <row r="1300" spans="12:15" x14ac:dyDescent="0.2">
      <c r="L1300" s="4">
        <v>1294</v>
      </c>
      <c r="M1300" s="21">
        <v>138955.170187229</v>
      </c>
      <c r="N1300" s="42">
        <v>50.718351037716644</v>
      </c>
      <c r="O1300" s="43">
        <v>15301.644861233168</v>
      </c>
    </row>
    <row r="1301" spans="12:15" x14ac:dyDescent="0.2">
      <c r="L1301" s="4">
        <v>1295</v>
      </c>
      <c r="M1301" s="21">
        <v>-106977.92507093331</v>
      </c>
      <c r="N1301" s="42">
        <v>49.011238600002144</v>
      </c>
      <c r="O1301" s="43">
        <v>15322.0531138728</v>
      </c>
    </row>
    <row r="1302" spans="12:15" x14ac:dyDescent="0.2">
      <c r="L1302" s="4">
        <v>1296</v>
      </c>
      <c r="M1302" s="21">
        <v>192478.76655939608</v>
      </c>
      <c r="N1302" s="42">
        <v>50.535590054896076</v>
      </c>
      <c r="O1302" s="43">
        <v>16356.855649571078</v>
      </c>
    </row>
    <row r="1303" spans="12:15" x14ac:dyDescent="0.2">
      <c r="L1303" s="4">
        <v>1297</v>
      </c>
      <c r="M1303" s="21">
        <v>153541.42650700541</v>
      </c>
      <c r="N1303" s="42">
        <v>49.42462910416679</v>
      </c>
      <c r="O1303" s="43">
        <v>16131.200297985559</v>
      </c>
    </row>
    <row r="1304" spans="12:15" x14ac:dyDescent="0.2">
      <c r="L1304" s="4">
        <v>1298</v>
      </c>
      <c r="M1304" s="21">
        <v>-122234.05697058891</v>
      </c>
      <c r="N1304" s="42">
        <v>48.300574191976992</v>
      </c>
      <c r="O1304" s="43">
        <v>14922.548612461671</v>
      </c>
    </row>
    <row r="1305" spans="12:15" x14ac:dyDescent="0.2">
      <c r="L1305" s="4">
        <v>1299</v>
      </c>
      <c r="M1305" s="21">
        <v>178054.27894696197</v>
      </c>
      <c r="N1305" s="42">
        <v>50.446188042169283</v>
      </c>
      <c r="O1305" s="43">
        <v>17095.111510298801</v>
      </c>
    </row>
    <row r="1306" spans="12:15" x14ac:dyDescent="0.2">
      <c r="L1306" s="4">
        <v>1300</v>
      </c>
      <c r="M1306" s="21">
        <v>-56039.310927028055</v>
      </c>
      <c r="N1306" s="42">
        <v>50.602161668870863</v>
      </c>
      <c r="O1306" s="43">
        <v>14384.758067540586</v>
      </c>
    </row>
    <row r="1307" spans="12:15" x14ac:dyDescent="0.2">
      <c r="L1307" s="4">
        <v>1301</v>
      </c>
      <c r="M1307" s="21">
        <v>-71351.098299231322</v>
      </c>
      <c r="N1307" s="42">
        <v>48.830808005941407</v>
      </c>
      <c r="O1307" s="43">
        <v>14897.072019356536</v>
      </c>
    </row>
    <row r="1308" spans="12:15" x14ac:dyDescent="0.2">
      <c r="L1308" s="4">
        <v>1302</v>
      </c>
      <c r="M1308" s="21">
        <v>-34469.141502085113</v>
      </c>
      <c r="N1308" s="42">
        <v>49.989452306213067</v>
      </c>
      <c r="O1308" s="43">
        <v>13280.376506916313</v>
      </c>
    </row>
    <row r="1309" spans="12:15" x14ac:dyDescent="0.2">
      <c r="L1309" s="4">
        <v>1303</v>
      </c>
      <c r="M1309" s="21">
        <v>-65009.451156763884</v>
      </c>
      <c r="N1309" s="42">
        <v>49.515001811350274</v>
      </c>
      <c r="O1309" s="43">
        <v>14296.423395304355</v>
      </c>
    </row>
    <row r="1310" spans="12:15" x14ac:dyDescent="0.2">
      <c r="L1310" s="4">
        <v>1304</v>
      </c>
      <c r="M1310" s="21">
        <v>11162.255586418061</v>
      </c>
      <c r="N1310" s="42">
        <v>49.249379544957236</v>
      </c>
      <c r="O1310" s="43">
        <v>17458.571863272529</v>
      </c>
    </row>
    <row r="1311" spans="12:15" x14ac:dyDescent="0.2">
      <c r="L1311" s="4">
        <v>1305</v>
      </c>
      <c r="M1311" s="21">
        <v>-174035.10358399272</v>
      </c>
      <c r="N1311" s="42">
        <v>49.491315297727652</v>
      </c>
      <c r="O1311" s="43">
        <v>13118.268254302973</v>
      </c>
    </row>
    <row r="1312" spans="12:15" x14ac:dyDescent="0.2">
      <c r="L1312" s="4">
        <v>1306</v>
      </c>
      <c r="M1312" s="21">
        <v>-2874.9187659349263</v>
      </c>
      <c r="N1312" s="42">
        <v>49.939321722346428</v>
      </c>
      <c r="O1312" s="43">
        <v>15033.145196118207</v>
      </c>
    </row>
    <row r="1313" spans="12:15" x14ac:dyDescent="0.2">
      <c r="L1313" s="4">
        <v>1307</v>
      </c>
      <c r="M1313" s="21">
        <v>169219.89716021629</v>
      </c>
      <c r="N1313" s="42">
        <v>50.271097432697857</v>
      </c>
      <c r="O1313" s="43">
        <v>15383.741910747491</v>
      </c>
    </row>
    <row r="1314" spans="12:15" x14ac:dyDescent="0.2">
      <c r="L1314" s="4">
        <v>1308</v>
      </c>
      <c r="M1314" s="21">
        <v>22609.658526565239</v>
      </c>
      <c r="N1314" s="42">
        <v>51.48285050635431</v>
      </c>
      <c r="O1314" s="43">
        <v>14151.700058437365</v>
      </c>
    </row>
    <row r="1315" spans="12:15" x14ac:dyDescent="0.2">
      <c r="L1315" s="4">
        <v>1309</v>
      </c>
      <c r="M1315" s="21">
        <v>114788.3761686256</v>
      </c>
      <c r="N1315" s="42">
        <v>51.449892029657278</v>
      </c>
      <c r="O1315" s="43">
        <v>14972.786345174272</v>
      </c>
    </row>
    <row r="1316" spans="12:15" x14ac:dyDescent="0.2">
      <c r="L1316" s="4">
        <v>1310</v>
      </c>
      <c r="M1316" s="21">
        <v>-81186.667016468287</v>
      </c>
      <c r="N1316" s="42">
        <v>51.357039254282959</v>
      </c>
      <c r="O1316" s="43">
        <v>12796.953038212825</v>
      </c>
    </row>
    <row r="1317" spans="12:15" x14ac:dyDescent="0.2">
      <c r="L1317" s="4">
        <v>1311</v>
      </c>
      <c r="M1317" s="21">
        <v>90099.375976875919</v>
      </c>
      <c r="N1317" s="42">
        <v>48.153744590123765</v>
      </c>
      <c r="O1317" s="43">
        <v>17245.691188499361</v>
      </c>
    </row>
    <row r="1318" spans="12:15" x14ac:dyDescent="0.2">
      <c r="L1318" s="4">
        <v>1312</v>
      </c>
      <c r="M1318" s="21">
        <v>-221616.53035523108</v>
      </c>
      <c r="N1318" s="42">
        <v>49.905583927111742</v>
      </c>
      <c r="O1318" s="43">
        <v>12826.380734770219</v>
      </c>
    </row>
    <row r="1319" spans="12:15" x14ac:dyDescent="0.2">
      <c r="L1319" s="4">
        <v>1313</v>
      </c>
      <c r="M1319" s="21">
        <v>-43238.994006662717</v>
      </c>
      <c r="N1319" s="42">
        <v>48.723391707742728</v>
      </c>
      <c r="O1319" s="43">
        <v>15274.041914633952</v>
      </c>
    </row>
    <row r="1320" spans="12:15" x14ac:dyDescent="0.2">
      <c r="L1320" s="4">
        <v>1314</v>
      </c>
      <c r="M1320" s="21">
        <v>50688.030520077649</v>
      </c>
      <c r="N1320" s="42">
        <v>48.410318200594439</v>
      </c>
      <c r="O1320" s="43">
        <v>17155.673510471952</v>
      </c>
    </row>
    <row r="1321" spans="12:15" x14ac:dyDescent="0.2">
      <c r="L1321" s="4">
        <v>1315</v>
      </c>
      <c r="M1321" s="21">
        <v>30180.44789548908</v>
      </c>
      <c r="N1321" s="42">
        <v>50.401445893516055</v>
      </c>
      <c r="O1321" s="43">
        <v>16653.681487078979</v>
      </c>
    </row>
    <row r="1322" spans="12:15" x14ac:dyDescent="0.2">
      <c r="L1322" s="4">
        <v>1316</v>
      </c>
      <c r="M1322" s="21">
        <v>-37577.919918911517</v>
      </c>
      <c r="N1322" s="42">
        <v>48.113142429448146</v>
      </c>
      <c r="O1322" s="43">
        <v>15975.174768593573</v>
      </c>
    </row>
    <row r="1323" spans="12:15" x14ac:dyDescent="0.2">
      <c r="L1323" s="4">
        <v>1317</v>
      </c>
      <c r="M1323" s="21">
        <v>-145908.9673656337</v>
      </c>
      <c r="N1323" s="42">
        <v>47.509269439053611</v>
      </c>
      <c r="O1323" s="43">
        <v>14687.493468351007</v>
      </c>
    </row>
    <row r="1324" spans="12:15" x14ac:dyDescent="0.2">
      <c r="L1324" s="4">
        <v>1318</v>
      </c>
      <c r="M1324" s="21">
        <v>-41239.921884686293</v>
      </c>
      <c r="N1324" s="42">
        <v>50.291026369810886</v>
      </c>
      <c r="O1324" s="43">
        <v>13073.59271703404</v>
      </c>
    </row>
    <row r="1325" spans="12:15" x14ac:dyDescent="0.2">
      <c r="L1325" s="4">
        <v>1319</v>
      </c>
      <c r="M1325" s="21">
        <v>88481.485236071341</v>
      </c>
      <c r="N1325" s="42">
        <v>49.376181937992342</v>
      </c>
      <c r="O1325" s="43">
        <v>17103.50029662003</v>
      </c>
    </row>
    <row r="1326" spans="12:15" x14ac:dyDescent="0.2">
      <c r="L1326" s="4">
        <v>1320</v>
      </c>
      <c r="M1326" s="21">
        <v>-66681.447447731451</v>
      </c>
      <c r="N1326" s="42">
        <v>48.22632096093875</v>
      </c>
      <c r="O1326" s="43">
        <v>16463.677753804612</v>
      </c>
    </row>
    <row r="1327" spans="12:15" x14ac:dyDescent="0.2">
      <c r="L1327" s="4">
        <v>1321</v>
      </c>
      <c r="M1327" s="21">
        <v>-200810.70893553726</v>
      </c>
      <c r="N1327" s="42">
        <v>48.815567845172254</v>
      </c>
      <c r="O1327" s="43">
        <v>13223.473077426335</v>
      </c>
    </row>
    <row r="1328" spans="12:15" x14ac:dyDescent="0.2">
      <c r="L1328" s="4">
        <v>1322</v>
      </c>
      <c r="M1328" s="21">
        <v>173354.15250439913</v>
      </c>
      <c r="N1328" s="42">
        <v>50.724285959415589</v>
      </c>
      <c r="O1328" s="43">
        <v>15756.575021787137</v>
      </c>
    </row>
    <row r="1329" spans="12:15" x14ac:dyDescent="0.2">
      <c r="L1329" s="4">
        <v>1323</v>
      </c>
      <c r="M1329" s="21">
        <v>174715.79359013331</v>
      </c>
      <c r="N1329" s="42">
        <v>50.94682411313768</v>
      </c>
      <c r="O1329" s="43">
        <v>16435.447941989376</v>
      </c>
    </row>
    <row r="1330" spans="12:15" x14ac:dyDescent="0.2">
      <c r="L1330" s="4">
        <v>1324</v>
      </c>
      <c r="M1330" s="21">
        <v>241841.27967092066</v>
      </c>
      <c r="N1330" s="42">
        <v>50.377208877257523</v>
      </c>
      <c r="O1330" s="43">
        <v>16803.287455164984</v>
      </c>
    </row>
    <row r="1331" spans="12:15" x14ac:dyDescent="0.2">
      <c r="L1331" s="4">
        <v>1325</v>
      </c>
      <c r="M1331" s="21">
        <v>199809.42664995298</v>
      </c>
      <c r="N1331" s="42">
        <v>50.938085203914859</v>
      </c>
      <c r="O1331" s="43">
        <v>15566.752619596571</v>
      </c>
    </row>
    <row r="1332" spans="12:15" x14ac:dyDescent="0.2">
      <c r="L1332" s="4">
        <v>1326</v>
      </c>
      <c r="M1332" s="21">
        <v>174640.35119558993</v>
      </c>
      <c r="N1332" s="42">
        <v>50.199947802079549</v>
      </c>
      <c r="O1332" s="43">
        <v>16385.805578223069</v>
      </c>
    </row>
    <row r="1333" spans="12:15" x14ac:dyDescent="0.2">
      <c r="L1333" s="4">
        <v>1327</v>
      </c>
      <c r="M1333" s="21">
        <v>133548.87316239494</v>
      </c>
      <c r="N1333" s="42">
        <v>50.243859563479631</v>
      </c>
      <c r="O1333" s="43">
        <v>15373.849482468511</v>
      </c>
    </row>
    <row r="1334" spans="12:15" x14ac:dyDescent="0.2">
      <c r="L1334" s="4">
        <v>1328</v>
      </c>
      <c r="M1334" s="21">
        <v>-206217.47916297172</v>
      </c>
      <c r="N1334" s="42">
        <v>49.342141869169772</v>
      </c>
      <c r="O1334" s="43">
        <v>12985.957127910679</v>
      </c>
    </row>
    <row r="1335" spans="12:15" x14ac:dyDescent="0.2">
      <c r="L1335" s="4">
        <v>1329</v>
      </c>
      <c r="M1335" s="21">
        <v>46107.70506731185</v>
      </c>
      <c r="N1335" s="42">
        <v>49.937891882368035</v>
      </c>
      <c r="O1335" s="43">
        <v>14521.998405712469</v>
      </c>
    </row>
    <row r="1336" spans="12:15" x14ac:dyDescent="0.2">
      <c r="L1336" s="4">
        <v>1330</v>
      </c>
      <c r="M1336" s="21">
        <v>-84458.56268809727</v>
      </c>
      <c r="N1336" s="42">
        <v>48.36479681220613</v>
      </c>
      <c r="O1336" s="43">
        <v>14806.365914076712</v>
      </c>
    </row>
    <row r="1337" spans="12:15" x14ac:dyDescent="0.2">
      <c r="L1337" s="4">
        <v>1331</v>
      </c>
      <c r="M1337" s="21">
        <v>-119312.14869873942</v>
      </c>
      <c r="N1337" s="42">
        <v>45.587816536634321</v>
      </c>
      <c r="O1337" s="43">
        <v>16914.328551917417</v>
      </c>
    </row>
    <row r="1338" spans="12:15" x14ac:dyDescent="0.2">
      <c r="L1338" s="4">
        <v>1332</v>
      </c>
      <c r="M1338" s="21">
        <v>111436.47165221089</v>
      </c>
      <c r="N1338" s="42">
        <v>48.46243327154837</v>
      </c>
      <c r="O1338" s="43">
        <v>16728.796165306736</v>
      </c>
    </row>
    <row r="1339" spans="12:15" x14ac:dyDescent="0.2">
      <c r="L1339" s="4">
        <v>1333</v>
      </c>
      <c r="M1339" s="21">
        <v>-185244.19196341097</v>
      </c>
      <c r="N1339" s="42">
        <v>48.523747189077113</v>
      </c>
      <c r="O1339" s="43">
        <v>15181.880862269132</v>
      </c>
    </row>
    <row r="1340" spans="12:15" x14ac:dyDescent="0.2">
      <c r="L1340" s="4">
        <v>1334</v>
      </c>
      <c r="M1340" s="21">
        <v>121682.97941813554</v>
      </c>
      <c r="N1340" s="42">
        <v>50.154096105048744</v>
      </c>
      <c r="O1340" s="43">
        <v>14454.528621738993</v>
      </c>
    </row>
    <row r="1341" spans="12:15" x14ac:dyDescent="0.2">
      <c r="L1341" s="4">
        <v>1335</v>
      </c>
      <c r="M1341" s="21">
        <v>175957.68251619319</v>
      </c>
      <c r="N1341" s="42">
        <v>49.191623943016616</v>
      </c>
      <c r="O1341" s="43">
        <v>16827.408049816539</v>
      </c>
    </row>
    <row r="1342" spans="12:15" x14ac:dyDescent="0.2">
      <c r="L1342" s="4">
        <v>1336</v>
      </c>
      <c r="M1342" s="21">
        <v>5826.0906099189597</v>
      </c>
      <c r="N1342" s="42">
        <v>50.558730205484579</v>
      </c>
      <c r="O1342" s="43">
        <v>14524.259684842898</v>
      </c>
    </row>
    <row r="1343" spans="12:15" x14ac:dyDescent="0.2">
      <c r="L1343" s="4">
        <v>1337</v>
      </c>
      <c r="M1343" s="21">
        <v>-102474.04068865035</v>
      </c>
      <c r="N1343" s="42">
        <v>50.76508249529725</v>
      </c>
      <c r="O1343" s="43">
        <v>11872.251049847842</v>
      </c>
    </row>
    <row r="1344" spans="12:15" x14ac:dyDescent="0.2">
      <c r="L1344" s="4">
        <v>1338</v>
      </c>
      <c r="M1344" s="21">
        <v>-3029.8206993829372</v>
      </c>
      <c r="N1344" s="42">
        <v>48.242293991576844</v>
      </c>
      <c r="O1344" s="43">
        <v>16558.157829953103</v>
      </c>
    </row>
    <row r="1345" spans="12:15" x14ac:dyDescent="0.2">
      <c r="L1345" s="4">
        <v>1339</v>
      </c>
      <c r="M1345" s="21">
        <v>30317.230430373427</v>
      </c>
      <c r="N1345" s="42">
        <v>50.784966240136157</v>
      </c>
      <c r="O1345" s="43">
        <v>14732.454173840626</v>
      </c>
    </row>
    <row r="1346" spans="12:15" x14ac:dyDescent="0.2">
      <c r="L1346" s="4">
        <v>1340</v>
      </c>
      <c r="M1346" s="21">
        <v>-3523.386943807971</v>
      </c>
      <c r="N1346" s="42">
        <v>47.027001384386722</v>
      </c>
      <c r="O1346" s="43">
        <v>16426.707925550971</v>
      </c>
    </row>
    <row r="1347" spans="12:15" x14ac:dyDescent="0.2">
      <c r="L1347" s="4">
        <v>1341</v>
      </c>
      <c r="M1347" s="21">
        <v>-42886.139232311209</v>
      </c>
      <c r="N1347" s="42">
        <v>48.164921276303069</v>
      </c>
      <c r="O1347" s="43">
        <v>15015.880665086188</v>
      </c>
    </row>
    <row r="1348" spans="12:15" x14ac:dyDescent="0.2">
      <c r="L1348" s="4">
        <v>1342</v>
      </c>
      <c r="M1348" s="21">
        <v>-202607.37417558453</v>
      </c>
      <c r="N1348" s="42">
        <v>45.904050910521029</v>
      </c>
      <c r="O1348" s="43">
        <v>15214.840560382037</v>
      </c>
    </row>
    <row r="1349" spans="12:15" x14ac:dyDescent="0.2">
      <c r="L1349" s="4">
        <v>1343</v>
      </c>
      <c r="M1349" s="21">
        <v>-59230.538996079442</v>
      </c>
      <c r="N1349" s="42">
        <v>50.453064948738557</v>
      </c>
      <c r="O1349" s="43">
        <v>14344.715226801784</v>
      </c>
    </row>
    <row r="1350" spans="12:15" x14ac:dyDescent="0.2">
      <c r="L1350" s="4">
        <v>1344</v>
      </c>
      <c r="M1350" s="21">
        <v>169496.9098211836</v>
      </c>
      <c r="N1350" s="42">
        <v>51.18759223432675</v>
      </c>
      <c r="O1350" s="43">
        <v>16135.268422643328</v>
      </c>
    </row>
    <row r="1351" spans="12:15" x14ac:dyDescent="0.2">
      <c r="L1351" s="4">
        <v>1345</v>
      </c>
      <c r="M1351" s="21">
        <v>-158908.38222183715</v>
      </c>
      <c r="N1351" s="42">
        <v>47.603855071938391</v>
      </c>
      <c r="O1351" s="43">
        <v>15298.533420417531</v>
      </c>
    </row>
    <row r="1352" spans="12:15" x14ac:dyDescent="0.2">
      <c r="L1352" s="4">
        <v>1346</v>
      </c>
      <c r="M1352" s="21">
        <v>-78944.970342867324</v>
      </c>
      <c r="N1352" s="42">
        <v>47.060197290478818</v>
      </c>
      <c r="O1352" s="43">
        <v>17007.136696116864</v>
      </c>
    </row>
    <row r="1353" spans="12:15" x14ac:dyDescent="0.2">
      <c r="L1353" s="4">
        <v>1347</v>
      </c>
      <c r="M1353" s="21">
        <v>154308.99077081151</v>
      </c>
      <c r="N1353" s="42">
        <v>50.167480144363338</v>
      </c>
      <c r="O1353" s="43">
        <v>16492.553969479774</v>
      </c>
    </row>
    <row r="1354" spans="12:15" x14ac:dyDescent="0.2">
      <c r="L1354" s="4">
        <v>1348</v>
      </c>
      <c r="M1354" s="21">
        <v>-10141.18375907978</v>
      </c>
      <c r="N1354" s="42">
        <v>51.321338307052564</v>
      </c>
      <c r="O1354" s="43">
        <v>14509.776828736703</v>
      </c>
    </row>
    <row r="1355" spans="12:15" x14ac:dyDescent="0.2">
      <c r="L1355" s="4">
        <v>1349</v>
      </c>
      <c r="M1355" s="21">
        <v>-296601.90611165884</v>
      </c>
      <c r="N1355" s="42">
        <v>48.89346401991768</v>
      </c>
      <c r="O1355" s="43">
        <v>13045.850664996939</v>
      </c>
    </row>
    <row r="1356" spans="12:15" x14ac:dyDescent="0.2">
      <c r="L1356" s="4">
        <v>1350</v>
      </c>
      <c r="M1356" s="21">
        <v>210303.51191652025</v>
      </c>
      <c r="N1356" s="42">
        <v>50.076645637066477</v>
      </c>
      <c r="O1356" s="43">
        <v>15127.828301576019</v>
      </c>
    </row>
    <row r="1357" spans="12:15" x14ac:dyDescent="0.2">
      <c r="L1357" s="4">
        <v>1351</v>
      </c>
      <c r="M1357" s="21">
        <v>71788.429495529243</v>
      </c>
      <c r="N1357" s="42">
        <v>50.034976916535996</v>
      </c>
      <c r="O1357" s="43">
        <v>16207.046578524463</v>
      </c>
    </row>
    <row r="1358" spans="12:15" x14ac:dyDescent="0.2">
      <c r="L1358" s="4">
        <v>1352</v>
      </c>
      <c r="M1358" s="21">
        <v>-199825.92146602634</v>
      </c>
      <c r="N1358" s="42">
        <v>49.01586141307012</v>
      </c>
      <c r="O1358" s="43">
        <v>14386.130220072409</v>
      </c>
    </row>
    <row r="1359" spans="12:15" x14ac:dyDescent="0.2">
      <c r="L1359" s="4">
        <v>1353</v>
      </c>
      <c r="M1359" s="21">
        <v>31065.265691247594</v>
      </c>
      <c r="N1359" s="42">
        <v>49.396869858762365</v>
      </c>
      <c r="O1359" s="43">
        <v>15794.496004256249</v>
      </c>
    </row>
    <row r="1360" spans="12:15" x14ac:dyDescent="0.2">
      <c r="L1360" s="4">
        <v>1354</v>
      </c>
      <c r="M1360" s="21">
        <v>84253.61488370088</v>
      </c>
      <c r="N1360" s="42">
        <v>48.84062288768844</v>
      </c>
      <c r="O1360" s="43">
        <v>16565.55476586214</v>
      </c>
    </row>
    <row r="1361" spans="12:15" x14ac:dyDescent="0.2">
      <c r="L1361" s="4">
        <v>1355</v>
      </c>
      <c r="M1361" s="21">
        <v>-229949.23346444056</v>
      </c>
      <c r="N1361" s="42">
        <v>51.767318943851862</v>
      </c>
      <c r="O1361" s="43">
        <v>12248.77378106429</v>
      </c>
    </row>
    <row r="1362" spans="12:15" x14ac:dyDescent="0.2">
      <c r="L1362" s="4">
        <v>1356</v>
      </c>
      <c r="M1362" s="21">
        <v>-3039.5877158663498</v>
      </c>
      <c r="N1362" s="42">
        <v>49.913039300218827</v>
      </c>
      <c r="O1362" s="43">
        <v>13895.644873566824</v>
      </c>
    </row>
    <row r="1363" spans="12:15" x14ac:dyDescent="0.2">
      <c r="L1363" s="4">
        <v>1357</v>
      </c>
      <c r="M1363" s="21">
        <v>54384.671056190622</v>
      </c>
      <c r="N1363" s="42">
        <v>50.095318420902665</v>
      </c>
      <c r="O1363" s="43">
        <v>12331.674714494922</v>
      </c>
    </row>
    <row r="1364" spans="12:15" x14ac:dyDescent="0.2">
      <c r="L1364" s="4">
        <v>1358</v>
      </c>
      <c r="M1364" s="21">
        <v>46308.993454383948</v>
      </c>
      <c r="N1364" s="42">
        <v>47.716238353453441</v>
      </c>
      <c r="O1364" s="43">
        <v>18549.789848078613</v>
      </c>
    </row>
    <row r="1365" spans="12:15" x14ac:dyDescent="0.2">
      <c r="L1365" s="4">
        <v>1359</v>
      </c>
      <c r="M1365" s="21">
        <v>-299432.94851718505</v>
      </c>
      <c r="N1365" s="42">
        <v>45.25318838489563</v>
      </c>
      <c r="O1365" s="43">
        <v>14151.737159434115</v>
      </c>
    </row>
    <row r="1366" spans="12:15" x14ac:dyDescent="0.2">
      <c r="L1366" s="4">
        <v>1360</v>
      </c>
      <c r="M1366" s="21">
        <v>245125.2276287011</v>
      </c>
      <c r="N1366" s="42">
        <v>51.504661562037953</v>
      </c>
      <c r="O1366" s="43">
        <v>15157.589009610063</v>
      </c>
    </row>
    <row r="1367" spans="12:15" x14ac:dyDescent="0.2">
      <c r="L1367" s="4">
        <v>1361</v>
      </c>
      <c r="M1367" s="21">
        <v>-165471.38576677738</v>
      </c>
      <c r="N1367" s="42">
        <v>49.122834991130894</v>
      </c>
      <c r="O1367" s="43">
        <v>12908.681472006017</v>
      </c>
    </row>
    <row r="1368" spans="12:15" x14ac:dyDescent="0.2">
      <c r="L1368" s="4">
        <v>1362</v>
      </c>
      <c r="M1368" s="21">
        <v>27717.059817713423</v>
      </c>
      <c r="N1368" s="42">
        <v>49.353762603653102</v>
      </c>
      <c r="O1368" s="43">
        <v>15369.643019015331</v>
      </c>
    </row>
    <row r="1369" spans="12:15" x14ac:dyDescent="0.2">
      <c r="L1369" s="4">
        <v>1363</v>
      </c>
      <c r="M1369" s="21">
        <v>-182353.8918464162</v>
      </c>
      <c r="N1369" s="42">
        <v>49.194659827295666</v>
      </c>
      <c r="O1369" s="43">
        <v>14372.8931951909</v>
      </c>
    </row>
    <row r="1370" spans="12:15" x14ac:dyDescent="0.2">
      <c r="L1370" s="4">
        <v>1364</v>
      </c>
      <c r="M1370" s="21">
        <v>-62711.359965379335</v>
      </c>
      <c r="N1370" s="42">
        <v>49.402839204514407</v>
      </c>
      <c r="O1370" s="43">
        <v>14483.77492534973</v>
      </c>
    </row>
    <row r="1371" spans="12:15" x14ac:dyDescent="0.2">
      <c r="L1371" s="4">
        <v>1365</v>
      </c>
      <c r="M1371" s="21">
        <v>90707.160564345133</v>
      </c>
      <c r="N1371" s="42">
        <v>50.011766102179408</v>
      </c>
      <c r="O1371" s="43">
        <v>15858.965823875025</v>
      </c>
    </row>
    <row r="1372" spans="12:15" x14ac:dyDescent="0.2">
      <c r="L1372" s="4">
        <v>1366</v>
      </c>
      <c r="M1372" s="21">
        <v>-4428.9222773760703</v>
      </c>
      <c r="N1372" s="42">
        <v>50.317173593511463</v>
      </c>
      <c r="O1372" s="43">
        <v>13814.56804470229</v>
      </c>
    </row>
    <row r="1373" spans="12:15" x14ac:dyDescent="0.2">
      <c r="L1373" s="4">
        <v>1367</v>
      </c>
      <c r="M1373" s="21">
        <v>-19709.988672029824</v>
      </c>
      <c r="N1373" s="42">
        <v>49.898684816356585</v>
      </c>
      <c r="O1373" s="43">
        <v>14854.380684812382</v>
      </c>
    </row>
    <row r="1374" spans="12:15" x14ac:dyDescent="0.2">
      <c r="L1374" s="4">
        <v>1368</v>
      </c>
      <c r="M1374" s="21">
        <v>106934.79361490655</v>
      </c>
      <c r="N1374" s="42">
        <v>50.555169306590138</v>
      </c>
      <c r="O1374" s="43">
        <v>14908.355464762966</v>
      </c>
    </row>
    <row r="1375" spans="12:15" x14ac:dyDescent="0.2">
      <c r="L1375" s="4">
        <v>1369</v>
      </c>
      <c r="M1375" s="21">
        <v>-170739.48460801414</v>
      </c>
      <c r="N1375" s="42">
        <v>49.903870366439385</v>
      </c>
      <c r="O1375" s="43">
        <v>11881.202569768982</v>
      </c>
    </row>
    <row r="1376" spans="12:15" x14ac:dyDescent="0.2">
      <c r="L1376" s="4">
        <v>1370</v>
      </c>
      <c r="M1376" s="21">
        <v>26090.889736206445</v>
      </c>
      <c r="N1376" s="42">
        <v>47.631252825728154</v>
      </c>
      <c r="O1376" s="43">
        <v>15918.359512317171</v>
      </c>
    </row>
    <row r="1377" spans="12:15" x14ac:dyDescent="0.2">
      <c r="L1377" s="4">
        <v>1371</v>
      </c>
      <c r="M1377" s="21">
        <v>-148023.37198327217</v>
      </c>
      <c r="N1377" s="42">
        <v>50.491072733770466</v>
      </c>
      <c r="O1377" s="43">
        <v>13155.268187842392</v>
      </c>
    </row>
    <row r="1378" spans="12:15" x14ac:dyDescent="0.2">
      <c r="L1378" s="4">
        <v>1372</v>
      </c>
      <c r="M1378" s="21">
        <v>-149292.28969901131</v>
      </c>
      <c r="N1378" s="42">
        <v>50.025923196098006</v>
      </c>
      <c r="O1378" s="43">
        <v>13807.199050332478</v>
      </c>
    </row>
    <row r="1379" spans="12:15" x14ac:dyDescent="0.2">
      <c r="L1379" s="4">
        <v>1373</v>
      </c>
      <c r="M1379" s="21">
        <v>-47450.831071375695</v>
      </c>
      <c r="N1379" s="42">
        <v>48.912070554629871</v>
      </c>
      <c r="O1379" s="43">
        <v>14239.602544410274</v>
      </c>
    </row>
    <row r="1380" spans="12:15" x14ac:dyDescent="0.2">
      <c r="L1380" s="4">
        <v>1374</v>
      </c>
      <c r="M1380" s="21">
        <v>34142.176350688591</v>
      </c>
      <c r="N1380" s="42">
        <v>50.948146759292129</v>
      </c>
      <c r="O1380" s="43">
        <v>14310.46975713627</v>
      </c>
    </row>
    <row r="1381" spans="12:15" x14ac:dyDescent="0.2">
      <c r="L1381" s="4">
        <v>1375</v>
      </c>
      <c r="M1381" s="21">
        <v>-122518.74115721126</v>
      </c>
      <c r="N1381" s="42">
        <v>49.189587563487301</v>
      </c>
      <c r="O1381" s="43">
        <v>13951.517817838056</v>
      </c>
    </row>
    <row r="1382" spans="12:15" x14ac:dyDescent="0.2">
      <c r="L1382" s="4">
        <v>1376</v>
      </c>
      <c r="M1382" s="21">
        <v>-243781.31743542216</v>
      </c>
      <c r="N1382" s="42">
        <v>45.90187332638056</v>
      </c>
      <c r="O1382" s="43">
        <v>14599.74660287691</v>
      </c>
    </row>
    <row r="1383" spans="12:15" x14ac:dyDescent="0.2">
      <c r="L1383" s="4">
        <v>1377</v>
      </c>
      <c r="M1383" s="21">
        <v>-95350.823012190653</v>
      </c>
      <c r="N1383" s="42">
        <v>46.771445032113228</v>
      </c>
      <c r="O1383" s="43">
        <v>15636.703067646142</v>
      </c>
    </row>
    <row r="1384" spans="12:15" x14ac:dyDescent="0.2">
      <c r="L1384" s="4">
        <v>1378</v>
      </c>
      <c r="M1384" s="21">
        <v>103064.9477709762</v>
      </c>
      <c r="N1384" s="42">
        <v>49.669586140096357</v>
      </c>
      <c r="O1384" s="43">
        <v>15679.862449725353</v>
      </c>
    </row>
    <row r="1385" spans="12:15" x14ac:dyDescent="0.2">
      <c r="L1385" s="4">
        <v>1379</v>
      </c>
      <c r="M1385" s="21">
        <v>-29672.249228189132</v>
      </c>
      <c r="N1385" s="42">
        <v>47.686810572725747</v>
      </c>
      <c r="O1385" s="43">
        <v>15976.239845328491</v>
      </c>
    </row>
    <row r="1386" spans="12:15" x14ac:dyDescent="0.2">
      <c r="L1386" s="4">
        <v>1380</v>
      </c>
      <c r="M1386" s="21">
        <v>80897.618200692435</v>
      </c>
      <c r="N1386" s="42">
        <v>49.385568534297875</v>
      </c>
      <c r="O1386" s="43">
        <v>15168.435917994482</v>
      </c>
    </row>
    <row r="1387" spans="12:15" x14ac:dyDescent="0.2">
      <c r="L1387" s="4">
        <v>1381</v>
      </c>
      <c r="M1387" s="21">
        <v>-6132.7551419880474</v>
      </c>
      <c r="N1387" s="42">
        <v>48.223835479818689</v>
      </c>
      <c r="O1387" s="43">
        <v>17613.242104633126</v>
      </c>
    </row>
    <row r="1388" spans="12:15" x14ac:dyDescent="0.2">
      <c r="L1388" s="4">
        <v>1382</v>
      </c>
      <c r="M1388" s="21">
        <v>-53672.632067076833</v>
      </c>
      <c r="N1388" s="42">
        <v>47.551453581920377</v>
      </c>
      <c r="O1388" s="43">
        <v>14559.454229618834</v>
      </c>
    </row>
    <row r="1389" spans="12:15" x14ac:dyDescent="0.2">
      <c r="L1389" s="4">
        <v>1383</v>
      </c>
      <c r="M1389" s="21">
        <v>-64282.757824405271</v>
      </c>
      <c r="N1389" s="42">
        <v>47.410882959891424</v>
      </c>
      <c r="O1389" s="43">
        <v>17211.385108896582</v>
      </c>
    </row>
    <row r="1390" spans="12:15" x14ac:dyDescent="0.2">
      <c r="L1390" s="4">
        <v>1384</v>
      </c>
      <c r="M1390" s="21">
        <v>72098.209798782045</v>
      </c>
      <c r="N1390" s="42">
        <v>51.180331194995539</v>
      </c>
      <c r="O1390" s="43">
        <v>15298.938479201943</v>
      </c>
    </row>
    <row r="1391" spans="12:15" x14ac:dyDescent="0.2">
      <c r="L1391" s="4">
        <v>1385</v>
      </c>
      <c r="M1391" s="21">
        <v>-235848.12015431031</v>
      </c>
      <c r="N1391" s="42">
        <v>49.247978614750622</v>
      </c>
      <c r="O1391" s="43">
        <v>13122.664210556079</v>
      </c>
    </row>
    <row r="1392" spans="12:15" x14ac:dyDescent="0.2">
      <c r="L1392" s="4">
        <v>1386</v>
      </c>
      <c r="M1392" s="21">
        <v>-172461.2551495714</v>
      </c>
      <c r="N1392" s="42">
        <v>51.019094034428406</v>
      </c>
      <c r="O1392" s="43">
        <v>12410.927585822501</v>
      </c>
    </row>
    <row r="1393" spans="12:15" x14ac:dyDescent="0.2">
      <c r="L1393" s="4">
        <v>1387</v>
      </c>
      <c r="M1393" s="21">
        <v>-44226.009889503635</v>
      </c>
      <c r="N1393" s="42">
        <v>50.239085805867767</v>
      </c>
      <c r="O1393" s="43">
        <v>13792.938358254143</v>
      </c>
    </row>
    <row r="1394" spans="12:15" x14ac:dyDescent="0.2">
      <c r="L1394" s="4">
        <v>1388</v>
      </c>
      <c r="M1394" s="21">
        <v>5362.3877002866939</v>
      </c>
      <c r="N1394" s="42">
        <v>49.298796629616035</v>
      </c>
      <c r="O1394" s="43">
        <v>13941.014820886872</v>
      </c>
    </row>
    <row r="1395" spans="12:15" x14ac:dyDescent="0.2">
      <c r="L1395" s="4">
        <v>1389</v>
      </c>
      <c r="M1395" s="21">
        <v>-133212.94661232678</v>
      </c>
      <c r="N1395" s="42">
        <v>47.83989699915444</v>
      </c>
      <c r="O1395" s="43">
        <v>14246.58803533591</v>
      </c>
    </row>
    <row r="1396" spans="12:15" x14ac:dyDescent="0.2">
      <c r="L1396" s="4">
        <v>1390</v>
      </c>
      <c r="M1396" s="21">
        <v>312355.79148021195</v>
      </c>
      <c r="N1396" s="42">
        <v>50.206043138377979</v>
      </c>
      <c r="O1396" s="43">
        <v>17692.867263728549</v>
      </c>
    </row>
    <row r="1397" spans="12:15" x14ac:dyDescent="0.2">
      <c r="L1397" s="4">
        <v>1391</v>
      </c>
      <c r="M1397" s="21">
        <v>66007.617019814701</v>
      </c>
      <c r="N1397" s="42">
        <v>50.533884880211694</v>
      </c>
      <c r="O1397" s="43">
        <v>15715.33436973107</v>
      </c>
    </row>
    <row r="1398" spans="12:15" x14ac:dyDescent="0.2">
      <c r="L1398" s="4">
        <v>1392</v>
      </c>
      <c r="M1398" s="21">
        <v>-5371.869097146744</v>
      </c>
      <c r="N1398" s="42">
        <v>48.553755146839194</v>
      </c>
      <c r="O1398" s="43">
        <v>15020.143050259889</v>
      </c>
    </row>
    <row r="1399" spans="12:15" x14ac:dyDescent="0.2">
      <c r="L1399" s="4">
        <v>1393</v>
      </c>
      <c r="M1399" s="21">
        <v>-369.88390513106424</v>
      </c>
      <c r="N1399" s="42">
        <v>50.46264917389292</v>
      </c>
      <c r="O1399" s="43">
        <v>14009.975071724912</v>
      </c>
    </row>
    <row r="1400" spans="12:15" x14ac:dyDescent="0.2">
      <c r="L1400" s="4">
        <v>1394</v>
      </c>
      <c r="M1400" s="21">
        <v>-55208.17494094721</v>
      </c>
      <c r="N1400" s="42">
        <v>50.316042685849702</v>
      </c>
      <c r="O1400" s="43">
        <v>13502.865319424529</v>
      </c>
    </row>
    <row r="1401" spans="12:15" x14ac:dyDescent="0.2">
      <c r="L1401" s="4">
        <v>1395</v>
      </c>
      <c r="M1401" s="21">
        <v>-325396.13477330073</v>
      </c>
      <c r="N1401" s="42">
        <v>47.0790916703344</v>
      </c>
      <c r="O1401" s="43">
        <v>13836.01330627234</v>
      </c>
    </row>
    <row r="1402" spans="12:15" x14ac:dyDescent="0.2">
      <c r="L1402" s="4">
        <v>1396</v>
      </c>
      <c r="M1402" s="21">
        <v>82607.807926258887</v>
      </c>
      <c r="N1402" s="42">
        <v>49.822271367815389</v>
      </c>
      <c r="O1402" s="43">
        <v>16431.139182903022</v>
      </c>
    </row>
    <row r="1403" spans="12:15" x14ac:dyDescent="0.2">
      <c r="L1403" s="4">
        <v>1397</v>
      </c>
      <c r="M1403" s="21">
        <v>-75863.871983626988</v>
      </c>
      <c r="N1403" s="42">
        <v>47.105457146190084</v>
      </c>
      <c r="O1403" s="43">
        <v>14923.836018716756</v>
      </c>
    </row>
    <row r="1404" spans="12:15" x14ac:dyDescent="0.2">
      <c r="L1404" s="4">
        <v>1398</v>
      </c>
      <c r="M1404" s="21">
        <v>215136.31903786756</v>
      </c>
      <c r="N1404" s="42">
        <v>50.012847530556989</v>
      </c>
      <c r="O1404" s="43">
        <v>16829.337173669584</v>
      </c>
    </row>
    <row r="1405" spans="12:15" x14ac:dyDescent="0.2">
      <c r="L1405" s="4">
        <v>1399</v>
      </c>
      <c r="M1405" s="21">
        <v>229831.05101141694</v>
      </c>
      <c r="N1405" s="42">
        <v>49.627800330104868</v>
      </c>
      <c r="O1405" s="43">
        <v>15897.230360175467</v>
      </c>
    </row>
    <row r="1406" spans="12:15" x14ac:dyDescent="0.2">
      <c r="L1406" s="4">
        <v>1400</v>
      </c>
      <c r="M1406" s="21">
        <v>9541.4932595855207</v>
      </c>
      <c r="N1406" s="42">
        <v>47.829746553625391</v>
      </c>
      <c r="O1406" s="43">
        <v>16393.980970313245</v>
      </c>
    </row>
    <row r="1407" spans="12:15" x14ac:dyDescent="0.2">
      <c r="L1407" s="4">
        <v>1401</v>
      </c>
      <c r="M1407" s="21">
        <v>-68080.210028945716</v>
      </c>
      <c r="N1407" s="42">
        <v>47.222177436485772</v>
      </c>
      <c r="O1407" s="43">
        <v>16374.150166025436</v>
      </c>
    </row>
    <row r="1408" spans="12:15" x14ac:dyDescent="0.2">
      <c r="L1408" s="4">
        <v>1402</v>
      </c>
      <c r="M1408" s="21">
        <v>155114.23331967136</v>
      </c>
      <c r="N1408" s="42">
        <v>49.324579540872094</v>
      </c>
      <c r="O1408" s="43">
        <v>15785.647546435348</v>
      </c>
    </row>
    <row r="1409" spans="12:15" x14ac:dyDescent="0.2">
      <c r="L1409" s="4">
        <v>1403</v>
      </c>
      <c r="M1409" s="21">
        <v>-16352.348587609202</v>
      </c>
      <c r="N1409" s="42">
        <v>47.609256088986932</v>
      </c>
      <c r="O1409" s="43">
        <v>15830.058382175564</v>
      </c>
    </row>
    <row r="1410" spans="12:15" x14ac:dyDescent="0.2">
      <c r="L1410" s="4">
        <v>1404</v>
      </c>
      <c r="M1410" s="21">
        <v>47457.559013866063</v>
      </c>
      <c r="N1410" s="42">
        <v>49.683144741989516</v>
      </c>
      <c r="O1410" s="43">
        <v>15040.143414192278</v>
      </c>
    </row>
    <row r="1411" spans="12:15" x14ac:dyDescent="0.2">
      <c r="L1411" s="4">
        <v>1405</v>
      </c>
      <c r="M1411" s="21">
        <v>-38447.509621720819</v>
      </c>
      <c r="N1411" s="42">
        <v>48.570452695142066</v>
      </c>
      <c r="O1411" s="43">
        <v>15641.399019412262</v>
      </c>
    </row>
    <row r="1412" spans="12:15" x14ac:dyDescent="0.2">
      <c r="L1412" s="4">
        <v>1406</v>
      </c>
      <c r="M1412" s="21">
        <v>-7906.9255949643411</v>
      </c>
      <c r="N1412" s="42">
        <v>48.16849468158636</v>
      </c>
      <c r="O1412" s="43">
        <v>14937.757350472144</v>
      </c>
    </row>
    <row r="1413" spans="12:15" x14ac:dyDescent="0.2">
      <c r="L1413" s="4">
        <v>1407</v>
      </c>
      <c r="M1413" s="21">
        <v>68909.226549864543</v>
      </c>
      <c r="N1413" s="42">
        <v>47.918714545693845</v>
      </c>
      <c r="O1413" s="43">
        <v>17870.758463760216</v>
      </c>
    </row>
    <row r="1414" spans="12:15" x14ac:dyDescent="0.2">
      <c r="L1414" s="4">
        <v>1408</v>
      </c>
      <c r="M1414" s="21">
        <v>-129929.61282879599</v>
      </c>
      <c r="N1414" s="42">
        <v>49.131413439512428</v>
      </c>
      <c r="O1414" s="43">
        <v>13445.817123161291</v>
      </c>
    </row>
    <row r="1415" spans="12:15" x14ac:dyDescent="0.2">
      <c r="L1415" s="4">
        <v>1409</v>
      </c>
      <c r="M1415" s="21">
        <v>-115053.31261411002</v>
      </c>
      <c r="N1415" s="42">
        <v>48.307136077914166</v>
      </c>
      <c r="O1415" s="43">
        <v>14840.87314642272</v>
      </c>
    </row>
    <row r="1416" spans="12:15" x14ac:dyDescent="0.2">
      <c r="L1416" s="4">
        <v>1410</v>
      </c>
      <c r="M1416" s="21">
        <v>-134704.9539699959</v>
      </c>
      <c r="N1416" s="42">
        <v>48.816543341597139</v>
      </c>
      <c r="O1416" s="43">
        <v>14130.970197388895</v>
      </c>
    </row>
    <row r="1417" spans="12:15" x14ac:dyDescent="0.2">
      <c r="L1417" s="4">
        <v>1411</v>
      </c>
      <c r="M1417" s="21">
        <v>-254979.69866264309</v>
      </c>
      <c r="N1417" s="42">
        <v>48.924205171203901</v>
      </c>
      <c r="O1417" s="43">
        <v>11815.270856669369</v>
      </c>
    </row>
    <row r="1418" spans="12:15" x14ac:dyDescent="0.2">
      <c r="L1418" s="4">
        <v>1412</v>
      </c>
      <c r="M1418" s="21">
        <v>204899.01609396096</v>
      </c>
      <c r="N1418" s="42">
        <v>48.65049123238736</v>
      </c>
      <c r="O1418" s="43">
        <v>16932.757538588558</v>
      </c>
    </row>
    <row r="1419" spans="12:15" x14ac:dyDescent="0.2">
      <c r="L1419" s="4">
        <v>1413</v>
      </c>
      <c r="M1419" s="21">
        <v>-55285.80454118707</v>
      </c>
      <c r="N1419" s="42">
        <v>48.495968763223622</v>
      </c>
      <c r="O1419" s="43">
        <v>16509.817898258392</v>
      </c>
    </row>
    <row r="1420" spans="12:15" x14ac:dyDescent="0.2">
      <c r="L1420" s="4">
        <v>1414</v>
      </c>
      <c r="M1420" s="21">
        <v>234848.55949909697</v>
      </c>
      <c r="N1420" s="42">
        <v>48.738775035911218</v>
      </c>
      <c r="O1420" s="43">
        <v>16936.967106675555</v>
      </c>
    </row>
    <row r="1421" spans="12:15" x14ac:dyDescent="0.2">
      <c r="L1421" s="4">
        <v>1415</v>
      </c>
      <c r="M1421" s="21">
        <v>-107470.32590803971</v>
      </c>
      <c r="N1421" s="42">
        <v>48.387828393283925</v>
      </c>
      <c r="O1421" s="43">
        <v>15198.322225081332</v>
      </c>
    </row>
    <row r="1422" spans="12:15" x14ac:dyDescent="0.2">
      <c r="L1422" s="4">
        <v>1416</v>
      </c>
      <c r="M1422" s="21">
        <v>82883.91254682251</v>
      </c>
      <c r="N1422" s="42">
        <v>49.181956795127782</v>
      </c>
      <c r="O1422" s="43">
        <v>14958.899213124503</v>
      </c>
    </row>
    <row r="1423" spans="12:15" x14ac:dyDescent="0.2">
      <c r="L1423" s="4">
        <v>1417</v>
      </c>
      <c r="M1423" s="21">
        <v>5612.5362457624578</v>
      </c>
      <c r="N1423" s="42">
        <v>50.214551716142608</v>
      </c>
      <c r="O1423" s="43">
        <v>14422.011808336987</v>
      </c>
    </row>
    <row r="1424" spans="12:15" x14ac:dyDescent="0.2">
      <c r="L1424" s="4">
        <v>1418</v>
      </c>
      <c r="M1424" s="21">
        <v>-106938.88296242959</v>
      </c>
      <c r="N1424" s="42">
        <v>51.240049884314708</v>
      </c>
      <c r="O1424" s="43">
        <v>12897.851673280378</v>
      </c>
    </row>
    <row r="1425" spans="12:15" x14ac:dyDescent="0.2">
      <c r="L1425" s="4">
        <v>1419</v>
      </c>
      <c r="M1425" s="21">
        <v>-65711.553029125949</v>
      </c>
      <c r="N1425" s="42">
        <v>48.196621575063929</v>
      </c>
      <c r="O1425" s="43">
        <v>14822.414792583282</v>
      </c>
    </row>
    <row r="1426" spans="12:15" x14ac:dyDescent="0.2">
      <c r="L1426" s="4">
        <v>1420</v>
      </c>
      <c r="M1426" s="21">
        <v>317089.64947776671</v>
      </c>
      <c r="N1426" s="42">
        <v>49.317727439459503</v>
      </c>
      <c r="O1426" s="43">
        <v>16419.801081135836</v>
      </c>
    </row>
    <row r="1427" spans="12:15" x14ac:dyDescent="0.2">
      <c r="L1427" s="4">
        <v>1421</v>
      </c>
      <c r="M1427" s="21">
        <v>-237920.6300135921</v>
      </c>
      <c r="N1427" s="42">
        <v>50.046589906811597</v>
      </c>
      <c r="O1427" s="43">
        <v>12896.288561811009</v>
      </c>
    </row>
    <row r="1428" spans="12:15" x14ac:dyDescent="0.2">
      <c r="L1428" s="4">
        <v>1422</v>
      </c>
      <c r="M1428" s="21">
        <v>74617.548819058662</v>
      </c>
      <c r="N1428" s="42">
        <v>50.592523138318512</v>
      </c>
      <c r="O1428" s="43">
        <v>14716.83956258846</v>
      </c>
    </row>
    <row r="1429" spans="12:15" x14ac:dyDescent="0.2">
      <c r="L1429" s="4">
        <v>1423</v>
      </c>
      <c r="M1429" s="21">
        <v>165508.31584301681</v>
      </c>
      <c r="N1429" s="42">
        <v>49.747003738108113</v>
      </c>
      <c r="O1429" s="43">
        <v>15692.761879360391</v>
      </c>
    </row>
    <row r="1430" spans="12:15" x14ac:dyDescent="0.2">
      <c r="L1430" s="4">
        <v>1424</v>
      </c>
      <c r="M1430" s="21">
        <v>117254.94484406113</v>
      </c>
      <c r="N1430" s="42">
        <v>49.414341691342614</v>
      </c>
      <c r="O1430" s="43">
        <v>16117.914153927564</v>
      </c>
    </row>
    <row r="1431" spans="12:15" x14ac:dyDescent="0.2">
      <c r="L1431" s="4">
        <v>1425</v>
      </c>
      <c r="M1431" s="21">
        <v>8867.3438590002188</v>
      </c>
      <c r="N1431" s="42">
        <v>50.545105922127441</v>
      </c>
      <c r="O1431" s="43">
        <v>14946.019848899185</v>
      </c>
    </row>
    <row r="1432" spans="12:15" x14ac:dyDescent="0.2">
      <c r="L1432" s="4">
        <v>1426</v>
      </c>
      <c r="M1432" s="21">
        <v>-62099.300119445732</v>
      </c>
      <c r="N1432" s="42">
        <v>49.055048667206854</v>
      </c>
      <c r="O1432" s="43">
        <v>15059.063112698908</v>
      </c>
    </row>
    <row r="1433" spans="12:15" x14ac:dyDescent="0.2">
      <c r="L1433" s="4">
        <v>1427</v>
      </c>
      <c r="M1433" s="21">
        <v>-11621.104286304122</v>
      </c>
      <c r="N1433" s="42">
        <v>50.703175170858877</v>
      </c>
      <c r="O1433" s="43">
        <v>14162.216427559604</v>
      </c>
    </row>
    <row r="1434" spans="12:15" x14ac:dyDescent="0.2">
      <c r="L1434" s="4">
        <v>1428</v>
      </c>
      <c r="M1434" s="21">
        <v>-67602.697700254794</v>
      </c>
      <c r="N1434" s="42">
        <v>49.933993519632388</v>
      </c>
      <c r="O1434" s="43">
        <v>14512.474120721896</v>
      </c>
    </row>
    <row r="1435" spans="12:15" x14ac:dyDescent="0.2">
      <c r="L1435" s="4">
        <v>1429</v>
      </c>
      <c r="M1435" s="21">
        <v>132538.83730569726</v>
      </c>
      <c r="N1435" s="42">
        <v>48.962231613818005</v>
      </c>
      <c r="O1435" s="43">
        <v>17363.896270789392</v>
      </c>
    </row>
    <row r="1436" spans="12:15" x14ac:dyDescent="0.2">
      <c r="L1436" s="4">
        <v>1430</v>
      </c>
      <c r="M1436" s="21">
        <v>-241849.35197428407</v>
      </c>
      <c r="N1436" s="42">
        <v>47.512749517129777</v>
      </c>
      <c r="O1436" s="43">
        <v>14993.495322783521</v>
      </c>
    </row>
    <row r="1437" spans="12:15" x14ac:dyDescent="0.2">
      <c r="L1437" s="4">
        <v>1431</v>
      </c>
      <c r="M1437" s="21">
        <v>-48995.068145714657</v>
      </c>
      <c r="N1437" s="42">
        <v>48.455643214162968</v>
      </c>
      <c r="O1437" s="43">
        <v>14874.32138486427</v>
      </c>
    </row>
    <row r="1438" spans="12:15" x14ac:dyDescent="0.2">
      <c r="L1438" s="4">
        <v>1432</v>
      </c>
      <c r="M1438" s="21">
        <v>215533.65472379571</v>
      </c>
      <c r="N1438" s="42">
        <v>50.544216205807103</v>
      </c>
      <c r="O1438" s="43">
        <v>16239.113102394827</v>
      </c>
    </row>
    <row r="1439" spans="12:15" x14ac:dyDescent="0.2">
      <c r="L1439" s="4">
        <v>1433</v>
      </c>
      <c r="M1439" s="21">
        <v>172182.24997271271</v>
      </c>
      <c r="N1439" s="42">
        <v>51.008098618325512</v>
      </c>
      <c r="O1439" s="43">
        <v>17210.714487239158</v>
      </c>
    </row>
    <row r="1440" spans="12:15" x14ac:dyDescent="0.2">
      <c r="L1440" s="4">
        <v>1434</v>
      </c>
      <c r="M1440" s="21">
        <v>-30661.521816328153</v>
      </c>
      <c r="N1440" s="42">
        <v>49.660933957704458</v>
      </c>
      <c r="O1440" s="43">
        <v>14860.096757657986</v>
      </c>
    </row>
    <row r="1441" spans="12:15" x14ac:dyDescent="0.2">
      <c r="L1441" s="4">
        <v>1435</v>
      </c>
      <c r="M1441" s="21">
        <v>114520.42844745773</v>
      </c>
      <c r="N1441" s="42">
        <v>50.185427035016986</v>
      </c>
      <c r="O1441" s="43">
        <v>15004.104535170318</v>
      </c>
    </row>
    <row r="1442" spans="12:15" x14ac:dyDescent="0.2">
      <c r="L1442" s="4">
        <v>1436</v>
      </c>
      <c r="M1442" s="21">
        <v>101730.60571610613</v>
      </c>
      <c r="N1442" s="42">
        <v>50.826809580838912</v>
      </c>
      <c r="O1442" s="43">
        <v>14590.834202919976</v>
      </c>
    </row>
    <row r="1443" spans="12:15" x14ac:dyDescent="0.2">
      <c r="L1443" s="4">
        <v>1437</v>
      </c>
      <c r="M1443" s="21">
        <v>117239.29493771069</v>
      </c>
      <c r="N1443" s="42">
        <v>50.984008313654144</v>
      </c>
      <c r="O1443" s="43">
        <v>15412.32405469795</v>
      </c>
    </row>
    <row r="1444" spans="12:15" x14ac:dyDescent="0.2">
      <c r="L1444" s="4">
        <v>1438</v>
      </c>
      <c r="M1444" s="21">
        <v>-151868.25186672289</v>
      </c>
      <c r="N1444" s="42">
        <v>50.83621043844019</v>
      </c>
      <c r="O1444" s="43">
        <v>12525.365399679162</v>
      </c>
    </row>
    <row r="1445" spans="12:15" x14ac:dyDescent="0.2">
      <c r="L1445" s="4">
        <v>1439</v>
      </c>
      <c r="M1445" s="21">
        <v>-12907.259519939995</v>
      </c>
      <c r="N1445" s="42">
        <v>47.16015611175375</v>
      </c>
      <c r="O1445" s="43">
        <v>15610.632149882187</v>
      </c>
    </row>
    <row r="1446" spans="12:15" x14ac:dyDescent="0.2">
      <c r="L1446" s="4">
        <v>1440</v>
      </c>
      <c r="M1446" s="21">
        <v>164400.89218387706</v>
      </c>
      <c r="N1446" s="42">
        <v>49.415362724821236</v>
      </c>
      <c r="O1446" s="43">
        <v>16122.489951157766</v>
      </c>
    </row>
    <row r="1447" spans="12:15" x14ac:dyDescent="0.2">
      <c r="L1447" s="4">
        <v>1441</v>
      </c>
      <c r="M1447" s="21">
        <v>-55571.455376032231</v>
      </c>
      <c r="N1447" s="42">
        <v>49.233116178634887</v>
      </c>
      <c r="O1447" s="43">
        <v>14032.016830187431</v>
      </c>
    </row>
    <row r="1448" spans="12:15" x14ac:dyDescent="0.2">
      <c r="L1448" s="4">
        <v>1442</v>
      </c>
      <c r="M1448" s="21">
        <v>40013.85756354226</v>
      </c>
      <c r="N1448" s="42">
        <v>50.282464438993564</v>
      </c>
      <c r="O1448" s="43">
        <v>15382.664113077586</v>
      </c>
    </row>
    <row r="1449" spans="12:15" x14ac:dyDescent="0.2">
      <c r="L1449" s="4">
        <v>1443</v>
      </c>
      <c r="M1449" s="21">
        <v>-41537.23116705181</v>
      </c>
      <c r="N1449" s="42">
        <v>48.52436620848642</v>
      </c>
      <c r="O1449" s="43">
        <v>18246.93982660499</v>
      </c>
    </row>
    <row r="1450" spans="12:15" x14ac:dyDescent="0.2">
      <c r="L1450" s="4">
        <v>1444</v>
      </c>
      <c r="M1450" s="21">
        <v>-30306.986070482963</v>
      </c>
      <c r="N1450" s="42">
        <v>48.855976787310006</v>
      </c>
      <c r="O1450" s="43">
        <v>15186.660088828861</v>
      </c>
    </row>
    <row r="1451" spans="12:15" x14ac:dyDescent="0.2">
      <c r="L1451" s="4">
        <v>1445</v>
      </c>
      <c r="M1451" s="21">
        <v>-118377.2291137306</v>
      </c>
      <c r="N1451" s="42">
        <v>48.197120575287073</v>
      </c>
      <c r="O1451" s="43">
        <v>13880.929987429412</v>
      </c>
    </row>
    <row r="1452" spans="12:15" x14ac:dyDescent="0.2">
      <c r="L1452" s="4">
        <v>1446</v>
      </c>
      <c r="M1452" s="21">
        <v>-262951.21931374783</v>
      </c>
      <c r="N1452" s="42">
        <v>51.362700991724495</v>
      </c>
      <c r="O1452" s="43">
        <v>10038.233027362672</v>
      </c>
    </row>
    <row r="1453" spans="12:15" x14ac:dyDescent="0.2">
      <c r="L1453" s="4">
        <v>1447</v>
      </c>
      <c r="M1453" s="21">
        <v>113264.27999445202</v>
      </c>
      <c r="N1453" s="42">
        <v>50.297394352171885</v>
      </c>
      <c r="O1453" s="43">
        <v>16747.080081110409</v>
      </c>
    </row>
    <row r="1454" spans="12:15" x14ac:dyDescent="0.2">
      <c r="L1454" s="4">
        <v>1448</v>
      </c>
      <c r="M1454" s="21">
        <v>167382.09463429937</v>
      </c>
      <c r="N1454" s="42">
        <v>50.420589245307205</v>
      </c>
      <c r="O1454" s="43">
        <v>14550.998757027863</v>
      </c>
    </row>
    <row r="1455" spans="12:15" x14ac:dyDescent="0.2">
      <c r="L1455" s="4">
        <v>1449</v>
      </c>
      <c r="M1455" s="21">
        <v>-78882.287973322294</v>
      </c>
      <c r="N1455" s="42">
        <v>51.285371890060127</v>
      </c>
      <c r="O1455" s="43">
        <v>13001.657388777005</v>
      </c>
    </row>
    <row r="1456" spans="12:15" x14ac:dyDescent="0.2">
      <c r="L1456" s="4">
        <v>1450</v>
      </c>
      <c r="M1456" s="21">
        <v>47548.769798061316</v>
      </c>
      <c r="N1456" s="42">
        <v>49.669071579867804</v>
      </c>
      <c r="O1456" s="43">
        <v>15936.416638980716</v>
      </c>
    </row>
    <row r="1457" spans="12:15" x14ac:dyDescent="0.2">
      <c r="L1457" s="4">
        <v>1451</v>
      </c>
      <c r="M1457" s="21">
        <v>-132768.50568905158</v>
      </c>
      <c r="N1457" s="42">
        <v>48.743184825507456</v>
      </c>
      <c r="O1457" s="43">
        <v>14927.198219084825</v>
      </c>
    </row>
    <row r="1458" spans="12:15" x14ac:dyDescent="0.2">
      <c r="L1458" s="4">
        <v>1452</v>
      </c>
      <c r="M1458" s="21">
        <v>-99346.469344117213</v>
      </c>
      <c r="N1458" s="42">
        <v>48.454022073468458</v>
      </c>
      <c r="O1458" s="43">
        <v>14471.272797702404</v>
      </c>
    </row>
    <row r="1459" spans="12:15" x14ac:dyDescent="0.2">
      <c r="L1459" s="4">
        <v>1453</v>
      </c>
      <c r="M1459" s="21">
        <v>-144596.86106042477</v>
      </c>
      <c r="N1459" s="42">
        <v>48.853311937821267</v>
      </c>
      <c r="O1459" s="43">
        <v>16264.548815262462</v>
      </c>
    </row>
    <row r="1460" spans="12:15" x14ac:dyDescent="0.2">
      <c r="L1460" s="4">
        <v>1454</v>
      </c>
      <c r="M1460" s="21">
        <v>104494.57658285162</v>
      </c>
      <c r="N1460" s="42">
        <v>49.828811126042986</v>
      </c>
      <c r="O1460" s="43">
        <v>14896.224998062946</v>
      </c>
    </row>
    <row r="1461" spans="12:15" x14ac:dyDescent="0.2">
      <c r="L1461" s="4">
        <v>1455</v>
      </c>
      <c r="M1461" s="21">
        <v>29452.056582558464</v>
      </c>
      <c r="N1461" s="42">
        <v>49.033157194012894</v>
      </c>
      <c r="O1461" s="43">
        <v>14665.759591155076</v>
      </c>
    </row>
    <row r="1462" spans="12:15" x14ac:dyDescent="0.2">
      <c r="L1462" s="4">
        <v>1456</v>
      </c>
      <c r="M1462" s="21">
        <v>-115012.90010354125</v>
      </c>
      <c r="N1462" s="42">
        <v>48.520215920669791</v>
      </c>
      <c r="O1462" s="43">
        <v>14581.011124782372</v>
      </c>
    </row>
    <row r="1463" spans="12:15" x14ac:dyDescent="0.2">
      <c r="L1463" s="4">
        <v>1457</v>
      </c>
      <c r="M1463" s="21">
        <v>-94424.676848777555</v>
      </c>
      <c r="N1463" s="42">
        <v>50.061438595662878</v>
      </c>
      <c r="O1463" s="43">
        <v>12777.971111577333</v>
      </c>
    </row>
    <row r="1464" spans="12:15" x14ac:dyDescent="0.2">
      <c r="L1464" s="4">
        <v>1458</v>
      </c>
      <c r="M1464" s="21">
        <v>-151298.5145909462</v>
      </c>
      <c r="N1464" s="42">
        <v>50.183149426731752</v>
      </c>
      <c r="O1464" s="43">
        <v>14726.822275924484</v>
      </c>
    </row>
    <row r="1465" spans="12:15" x14ac:dyDescent="0.2">
      <c r="L1465" s="4">
        <v>1459</v>
      </c>
      <c r="M1465" s="21">
        <v>132236.27785298918</v>
      </c>
      <c r="N1465" s="42">
        <v>47.216975413225512</v>
      </c>
      <c r="O1465" s="43">
        <v>17117.30727622216</v>
      </c>
    </row>
    <row r="1466" spans="12:15" x14ac:dyDescent="0.2">
      <c r="L1466" s="4">
        <v>1460</v>
      </c>
      <c r="M1466" s="21">
        <v>106697.91707722907</v>
      </c>
      <c r="N1466" s="42">
        <v>51.060143289546879</v>
      </c>
      <c r="O1466" s="43">
        <v>15466.338216836881</v>
      </c>
    </row>
    <row r="1467" spans="12:15" x14ac:dyDescent="0.2">
      <c r="L1467" s="4">
        <v>1461</v>
      </c>
      <c r="M1467" s="21">
        <v>-141604.8345107435</v>
      </c>
      <c r="N1467" s="42">
        <v>49.10328377257666</v>
      </c>
      <c r="O1467" s="43">
        <v>14917.72378592353</v>
      </c>
    </row>
    <row r="1468" spans="12:15" x14ac:dyDescent="0.2">
      <c r="L1468" s="4">
        <v>1462</v>
      </c>
      <c r="M1468" s="21">
        <v>43331.609982168884</v>
      </c>
      <c r="N1468" s="42">
        <v>51.535908208476847</v>
      </c>
      <c r="O1468" s="43">
        <v>15181.802775479598</v>
      </c>
    </row>
    <row r="1469" spans="12:15" x14ac:dyDescent="0.2">
      <c r="L1469" s="4">
        <v>1463</v>
      </c>
      <c r="M1469" s="21">
        <v>-115160.41491144052</v>
      </c>
      <c r="N1469" s="42">
        <v>50.812031114328725</v>
      </c>
      <c r="O1469" s="43">
        <v>13745.305356097231</v>
      </c>
    </row>
    <row r="1470" spans="12:15" x14ac:dyDescent="0.2">
      <c r="L1470" s="4">
        <v>1464</v>
      </c>
      <c r="M1470" s="21">
        <v>-67799.056944039126</v>
      </c>
      <c r="N1470" s="42">
        <v>47.673634751161387</v>
      </c>
      <c r="O1470" s="43">
        <v>14702.071475597</v>
      </c>
    </row>
    <row r="1471" spans="12:15" x14ac:dyDescent="0.2">
      <c r="L1471" s="4">
        <v>1465</v>
      </c>
      <c r="M1471" s="21">
        <v>-51249.298412010074</v>
      </c>
      <c r="N1471" s="42">
        <v>49.205362771172858</v>
      </c>
      <c r="O1471" s="43">
        <v>15296.741546956138</v>
      </c>
    </row>
    <row r="1472" spans="12:15" x14ac:dyDescent="0.2">
      <c r="L1472" s="4">
        <v>1466</v>
      </c>
      <c r="M1472" s="21">
        <v>50499.60150757042</v>
      </c>
      <c r="N1472" s="42">
        <v>49.702064282276602</v>
      </c>
      <c r="O1472" s="43">
        <v>15239.703766717028</v>
      </c>
    </row>
    <row r="1473" spans="12:15" x14ac:dyDescent="0.2">
      <c r="L1473" s="4">
        <v>1467</v>
      </c>
      <c r="M1473" s="21">
        <v>-175782.23687123286</v>
      </c>
      <c r="N1473" s="42">
        <v>48.478007474323235</v>
      </c>
      <c r="O1473" s="43">
        <v>13164.446569412119</v>
      </c>
    </row>
    <row r="1474" spans="12:15" x14ac:dyDescent="0.2">
      <c r="L1474" s="4">
        <v>1468</v>
      </c>
      <c r="M1474" s="21">
        <v>162792.55925604052</v>
      </c>
      <c r="N1474" s="42">
        <v>51.322406495652352</v>
      </c>
      <c r="O1474" s="43">
        <v>14029.431538093804</v>
      </c>
    </row>
    <row r="1475" spans="12:15" x14ac:dyDescent="0.2">
      <c r="L1475" s="4">
        <v>1469</v>
      </c>
      <c r="M1475" s="21">
        <v>-122120.35131605808</v>
      </c>
      <c r="N1475" s="42">
        <v>48.025461472306361</v>
      </c>
      <c r="O1475" s="43">
        <v>14018.357571716104</v>
      </c>
    </row>
    <row r="1476" spans="12:15" x14ac:dyDescent="0.2">
      <c r="L1476" s="4">
        <v>1470</v>
      </c>
      <c r="M1476" s="21">
        <v>-159953.52837747644</v>
      </c>
      <c r="N1476" s="42">
        <v>46.535359905609099</v>
      </c>
      <c r="O1476" s="43">
        <v>19345.719573034061</v>
      </c>
    </row>
    <row r="1477" spans="12:15" x14ac:dyDescent="0.2">
      <c r="L1477" s="4">
        <v>1471</v>
      </c>
      <c r="M1477" s="21">
        <v>-76778.716264469113</v>
      </c>
      <c r="N1477" s="42">
        <v>47.610908384293062</v>
      </c>
      <c r="O1477" s="43">
        <v>16106.825551023107</v>
      </c>
    </row>
    <row r="1478" spans="12:15" x14ac:dyDescent="0.2">
      <c r="L1478" s="4">
        <v>1472</v>
      </c>
      <c r="M1478" s="21">
        <v>-69237.74077488856</v>
      </c>
      <c r="N1478" s="42">
        <v>51.373052094977666</v>
      </c>
      <c r="O1478" s="43">
        <v>12897.497294145101</v>
      </c>
    </row>
    <row r="1479" spans="12:15" x14ac:dyDescent="0.2">
      <c r="L1479" s="4">
        <v>1473</v>
      </c>
      <c r="M1479" s="21">
        <v>43800.763356119161</v>
      </c>
      <c r="N1479" s="42">
        <v>49.810303512418102</v>
      </c>
      <c r="O1479" s="43">
        <v>16462.068643702871</v>
      </c>
    </row>
    <row r="1480" spans="12:15" x14ac:dyDescent="0.2">
      <c r="L1480" s="4">
        <v>1474</v>
      </c>
      <c r="M1480" s="21">
        <v>80422.000505973265</v>
      </c>
      <c r="N1480" s="42">
        <v>47.867863369861062</v>
      </c>
      <c r="O1480" s="43">
        <v>16834.876850611003</v>
      </c>
    </row>
    <row r="1481" spans="12:15" x14ac:dyDescent="0.2">
      <c r="L1481" s="4">
        <v>1475</v>
      </c>
      <c r="M1481" s="21">
        <v>33205.981938100391</v>
      </c>
      <c r="N1481" s="42">
        <v>47.94950666242363</v>
      </c>
      <c r="O1481" s="43">
        <v>16563.970572416842</v>
      </c>
    </row>
    <row r="1482" spans="12:15" x14ac:dyDescent="0.2">
      <c r="L1482" s="4">
        <v>1476</v>
      </c>
      <c r="M1482" s="21">
        <v>-180277.72410471833</v>
      </c>
      <c r="N1482" s="42">
        <v>50.160028109781607</v>
      </c>
      <c r="O1482" s="43">
        <v>13099.504563575249</v>
      </c>
    </row>
    <row r="1483" spans="12:15" x14ac:dyDescent="0.2">
      <c r="L1483" s="4">
        <v>1477</v>
      </c>
      <c r="M1483" s="21">
        <v>-89583.219536104487</v>
      </c>
      <c r="N1483" s="42">
        <v>51.503035314885942</v>
      </c>
      <c r="O1483" s="43">
        <v>12384.66242818534</v>
      </c>
    </row>
    <row r="1484" spans="12:15" x14ac:dyDescent="0.2">
      <c r="L1484" s="4">
        <v>1478</v>
      </c>
      <c r="M1484" s="21">
        <v>83136.591290613811</v>
      </c>
      <c r="N1484" s="42">
        <v>48.383248385048617</v>
      </c>
      <c r="O1484" s="43">
        <v>16874.078672711152</v>
      </c>
    </row>
    <row r="1485" spans="12:15" x14ac:dyDescent="0.2">
      <c r="L1485" s="4">
        <v>1479</v>
      </c>
      <c r="M1485" s="21">
        <v>-157141.69770205976</v>
      </c>
      <c r="N1485" s="42">
        <v>47.941068837434329</v>
      </c>
      <c r="O1485" s="43">
        <v>13233.017573318744</v>
      </c>
    </row>
    <row r="1486" spans="12:15" x14ac:dyDescent="0.2">
      <c r="L1486" s="4">
        <v>1480</v>
      </c>
      <c r="M1486" s="21">
        <v>-209682.13752965146</v>
      </c>
      <c r="N1486" s="42">
        <v>46.881805286162297</v>
      </c>
      <c r="O1486" s="43">
        <v>15328.949477061269</v>
      </c>
    </row>
    <row r="1487" spans="12:15" x14ac:dyDescent="0.2">
      <c r="L1487" s="4">
        <v>1481</v>
      </c>
      <c r="M1487" s="21">
        <v>141668.26207821222</v>
      </c>
      <c r="N1487" s="42">
        <v>51.138637266547008</v>
      </c>
      <c r="O1487" s="43">
        <v>14450.734088056284</v>
      </c>
    </row>
    <row r="1488" spans="12:15" x14ac:dyDescent="0.2">
      <c r="L1488" s="4">
        <v>1482</v>
      </c>
      <c r="M1488" s="21">
        <v>-68767.424510160155</v>
      </c>
      <c r="N1488" s="42">
        <v>50.018709403831579</v>
      </c>
      <c r="O1488" s="43">
        <v>14945.114655726306</v>
      </c>
    </row>
    <row r="1489" spans="12:15" x14ac:dyDescent="0.2">
      <c r="L1489" s="4">
        <v>1483</v>
      </c>
      <c r="M1489" s="21">
        <v>101213.57870065075</v>
      </c>
      <c r="N1489" s="42">
        <v>50.273257016697102</v>
      </c>
      <c r="O1489" s="43">
        <v>17346.435399565969</v>
      </c>
    </row>
    <row r="1490" spans="12:15" x14ac:dyDescent="0.2">
      <c r="L1490" s="4">
        <v>1484</v>
      </c>
      <c r="M1490" s="21">
        <v>-204504.73922014557</v>
      </c>
      <c r="N1490" s="42">
        <v>49.970492821878324</v>
      </c>
      <c r="O1490" s="43">
        <v>13561.921907406791</v>
      </c>
    </row>
    <row r="1491" spans="12:15" x14ac:dyDescent="0.2">
      <c r="L1491" s="4">
        <v>1485</v>
      </c>
      <c r="M1491" s="21">
        <v>-16086.046412537253</v>
      </c>
      <c r="N1491" s="42">
        <v>49.944411649412459</v>
      </c>
      <c r="O1491" s="43">
        <v>14815.061351517223</v>
      </c>
    </row>
    <row r="1492" spans="12:15" x14ac:dyDescent="0.2">
      <c r="L1492" s="4">
        <v>1486</v>
      </c>
      <c r="M1492" s="21">
        <v>52950.589822037728</v>
      </c>
      <c r="N1492" s="42">
        <v>47.84525363021951</v>
      </c>
      <c r="O1492" s="43">
        <v>16762.062358989831</v>
      </c>
    </row>
    <row r="1493" spans="12:15" x14ac:dyDescent="0.2">
      <c r="L1493" s="4">
        <v>1487</v>
      </c>
      <c r="M1493" s="21">
        <v>-90507.871154632143</v>
      </c>
      <c r="N1493" s="42">
        <v>50.046972125361478</v>
      </c>
      <c r="O1493" s="43">
        <v>13961.377900805765</v>
      </c>
    </row>
    <row r="1494" spans="12:15" x14ac:dyDescent="0.2">
      <c r="L1494" s="4">
        <v>1488</v>
      </c>
      <c r="M1494" s="21">
        <v>-46854.691567649832</v>
      </c>
      <c r="N1494" s="42">
        <v>50.871173486377984</v>
      </c>
      <c r="O1494" s="43">
        <v>14272.235051867474</v>
      </c>
    </row>
    <row r="1495" spans="12:15" x14ac:dyDescent="0.2">
      <c r="L1495" s="4">
        <v>1489</v>
      </c>
      <c r="M1495" s="21">
        <v>-230793.41310608338</v>
      </c>
      <c r="N1495" s="42">
        <v>46.5624844555865</v>
      </c>
      <c r="O1495" s="43">
        <v>15177.742064882033</v>
      </c>
    </row>
    <row r="1496" spans="12:15" x14ac:dyDescent="0.2">
      <c r="L1496" s="4">
        <v>1490</v>
      </c>
      <c r="M1496" s="21">
        <v>-50400.250632494601</v>
      </c>
      <c r="N1496" s="42">
        <v>45.394520386384066</v>
      </c>
      <c r="O1496" s="43">
        <v>17495.484630959658</v>
      </c>
    </row>
    <row r="1497" spans="12:15" x14ac:dyDescent="0.2">
      <c r="L1497" s="4">
        <v>1491</v>
      </c>
      <c r="M1497" s="21">
        <v>37128.853295511333</v>
      </c>
      <c r="N1497" s="42">
        <v>47.076541407253195</v>
      </c>
      <c r="O1497" s="43">
        <v>17420.532503781957</v>
      </c>
    </row>
    <row r="1498" spans="12:15" x14ac:dyDescent="0.2">
      <c r="L1498" s="4">
        <v>1492</v>
      </c>
      <c r="M1498" s="21">
        <v>-225406.22254643514</v>
      </c>
      <c r="N1498" s="42">
        <v>45.141746335243361</v>
      </c>
      <c r="O1498" s="43">
        <v>14682.412755679441</v>
      </c>
    </row>
    <row r="1499" spans="12:15" x14ac:dyDescent="0.2">
      <c r="L1499" s="4">
        <v>1493</v>
      </c>
      <c r="M1499" s="21">
        <v>245241.50459144419</v>
      </c>
      <c r="N1499" s="42">
        <v>48.513722183394052</v>
      </c>
      <c r="O1499" s="43">
        <v>16480.101554089917</v>
      </c>
    </row>
    <row r="1500" spans="12:15" x14ac:dyDescent="0.2">
      <c r="L1500" s="4">
        <v>1494</v>
      </c>
      <c r="M1500" s="21">
        <v>-39049.672780853187</v>
      </c>
      <c r="N1500" s="42">
        <v>49.331605280157675</v>
      </c>
      <c r="O1500" s="43">
        <v>14923.336200289761</v>
      </c>
    </row>
    <row r="1501" spans="12:15" x14ac:dyDescent="0.2">
      <c r="L1501" s="4">
        <v>1495</v>
      </c>
      <c r="M1501" s="21">
        <v>-123185.47716716146</v>
      </c>
      <c r="N1501" s="42">
        <v>48.44710826444156</v>
      </c>
      <c r="O1501" s="43">
        <v>13273.295278954038</v>
      </c>
    </row>
    <row r="1502" spans="12:15" x14ac:dyDescent="0.2">
      <c r="L1502" s="4">
        <v>1496</v>
      </c>
      <c r="M1502" s="21">
        <v>-20512.233720830161</v>
      </c>
      <c r="N1502" s="42">
        <v>46.687509924953609</v>
      </c>
      <c r="O1502" s="43">
        <v>16412.527216640781</v>
      </c>
    </row>
    <row r="1503" spans="12:15" x14ac:dyDescent="0.2">
      <c r="L1503" s="4">
        <v>1497</v>
      </c>
      <c r="M1503" s="21">
        <v>222349.84202768959</v>
      </c>
      <c r="N1503" s="42">
        <v>49.426982446096282</v>
      </c>
      <c r="O1503" s="43">
        <v>16385.489989459194</v>
      </c>
    </row>
    <row r="1504" spans="12:15" x14ac:dyDescent="0.2">
      <c r="L1504" s="4">
        <v>1498</v>
      </c>
      <c r="M1504" s="21">
        <v>-76762.382647373248</v>
      </c>
      <c r="N1504" s="42">
        <v>49.177624404473967</v>
      </c>
      <c r="O1504" s="43">
        <v>14546.841921071888</v>
      </c>
    </row>
    <row r="1505" spans="12:15" x14ac:dyDescent="0.2">
      <c r="L1505" s="4">
        <v>1499</v>
      </c>
      <c r="M1505" s="21">
        <v>-30142.214431936765</v>
      </c>
      <c r="N1505" s="42">
        <v>51.074111207320975</v>
      </c>
      <c r="O1505" s="43">
        <v>14077.772814926766</v>
      </c>
    </row>
    <row r="1506" spans="12:15" x14ac:dyDescent="0.2">
      <c r="L1506" s="4">
        <v>1500</v>
      </c>
      <c r="M1506" s="21">
        <v>161689.47951994592</v>
      </c>
      <c r="N1506" s="42">
        <v>49.904330439366738</v>
      </c>
      <c r="O1506" s="43">
        <v>14922.662149708827</v>
      </c>
    </row>
    <row r="1507" spans="12:15" x14ac:dyDescent="0.2">
      <c r="L1507" s="4">
        <v>1501</v>
      </c>
      <c r="M1507" s="21">
        <v>-84940.60612026586</v>
      </c>
      <c r="N1507" s="42">
        <v>51.243208587599646</v>
      </c>
      <c r="O1507" s="43">
        <v>12066.131833815896</v>
      </c>
    </row>
    <row r="1508" spans="12:15" x14ac:dyDescent="0.2">
      <c r="L1508" s="4">
        <v>1502</v>
      </c>
      <c r="M1508" s="21">
        <v>-138564.07732441521</v>
      </c>
      <c r="N1508" s="42">
        <v>51.111469715506068</v>
      </c>
      <c r="O1508" s="43">
        <v>12727.13827317552</v>
      </c>
    </row>
    <row r="1509" spans="12:15" x14ac:dyDescent="0.2">
      <c r="L1509" s="4">
        <v>1503</v>
      </c>
      <c r="M1509" s="21">
        <v>-252352.53920346498</v>
      </c>
      <c r="N1509" s="42">
        <v>47.362640011198131</v>
      </c>
      <c r="O1509" s="43">
        <v>13760.79743272749</v>
      </c>
    </row>
    <row r="1510" spans="12:15" x14ac:dyDescent="0.2">
      <c r="L1510" s="4">
        <v>1504</v>
      </c>
      <c r="M1510" s="21">
        <v>159787.59990049782</v>
      </c>
      <c r="N1510" s="42">
        <v>49.514153525456727</v>
      </c>
      <c r="O1510" s="43">
        <v>16623.664897611463</v>
      </c>
    </row>
    <row r="1511" spans="12:15" x14ac:dyDescent="0.2">
      <c r="L1511" s="4">
        <v>1505</v>
      </c>
      <c r="M1511" s="21">
        <v>-49079.479138723662</v>
      </c>
      <c r="N1511" s="42">
        <v>46.417398714365518</v>
      </c>
      <c r="O1511" s="43">
        <v>16188.952074342822</v>
      </c>
    </row>
    <row r="1512" spans="12:15" x14ac:dyDescent="0.2">
      <c r="L1512" s="4">
        <v>1506</v>
      </c>
      <c r="M1512" s="21">
        <v>-32923.848467143791</v>
      </c>
      <c r="N1512" s="42">
        <v>49.409993648371206</v>
      </c>
      <c r="O1512" s="43">
        <v>14617.225309268388</v>
      </c>
    </row>
    <row r="1513" spans="12:15" x14ac:dyDescent="0.2">
      <c r="L1513" s="4">
        <v>1507</v>
      </c>
      <c r="M1513" s="21">
        <v>-19008.676093140923</v>
      </c>
      <c r="N1513" s="42">
        <v>47.513705558730635</v>
      </c>
      <c r="O1513" s="43">
        <v>16176.973873656636</v>
      </c>
    </row>
    <row r="1514" spans="12:15" x14ac:dyDescent="0.2">
      <c r="L1514" s="4">
        <v>1508</v>
      </c>
      <c r="M1514" s="21">
        <v>-221020.13451362873</v>
      </c>
      <c r="N1514" s="42">
        <v>47.194146708704523</v>
      </c>
      <c r="O1514" s="43">
        <v>14975.948836990567</v>
      </c>
    </row>
    <row r="1515" spans="12:15" x14ac:dyDescent="0.2">
      <c r="L1515" s="4">
        <v>1509</v>
      </c>
      <c r="M1515" s="21">
        <v>59112.736575640738</v>
      </c>
      <c r="N1515" s="42">
        <v>51.404632258214988</v>
      </c>
      <c r="O1515" s="43">
        <v>15990.22584958902</v>
      </c>
    </row>
    <row r="1516" spans="12:15" x14ac:dyDescent="0.2">
      <c r="L1516" s="4">
        <v>1510</v>
      </c>
      <c r="M1516" s="21">
        <v>-66221.777393748242</v>
      </c>
      <c r="N1516" s="42">
        <v>50.241003296861891</v>
      </c>
      <c r="O1516" s="43">
        <v>13511.440656609357</v>
      </c>
    </row>
    <row r="1517" spans="12:15" x14ac:dyDescent="0.2">
      <c r="L1517" s="4">
        <v>1511</v>
      </c>
      <c r="M1517" s="21">
        <v>-92781.084552455286</v>
      </c>
      <c r="N1517" s="42">
        <v>47.212474661481096</v>
      </c>
      <c r="O1517" s="43">
        <v>16443.256132284347</v>
      </c>
    </row>
    <row r="1518" spans="12:15" x14ac:dyDescent="0.2">
      <c r="L1518" s="4">
        <v>1512</v>
      </c>
      <c r="M1518" s="21">
        <v>-277980.55309583998</v>
      </c>
      <c r="N1518" s="42">
        <v>50.998076044571754</v>
      </c>
      <c r="O1518" s="43">
        <v>11093.66453063995</v>
      </c>
    </row>
    <row r="1519" spans="12:15" x14ac:dyDescent="0.2">
      <c r="L1519" s="4">
        <v>1513</v>
      </c>
      <c r="M1519" s="21">
        <v>28502.564749875688</v>
      </c>
      <c r="N1519" s="42">
        <v>48.693679557074567</v>
      </c>
      <c r="O1519" s="43">
        <v>16301.315139158651</v>
      </c>
    </row>
    <row r="1520" spans="12:15" x14ac:dyDescent="0.2">
      <c r="L1520" s="4">
        <v>1514</v>
      </c>
      <c r="M1520" s="21">
        <v>-131083.52205759368</v>
      </c>
      <c r="N1520" s="42">
        <v>48.600465927488287</v>
      </c>
      <c r="O1520" s="43">
        <v>15176.812055867284</v>
      </c>
    </row>
    <row r="1521" spans="12:15" x14ac:dyDescent="0.2">
      <c r="L1521" s="4">
        <v>1515</v>
      </c>
      <c r="M1521" s="21">
        <v>-87070.671597933717</v>
      </c>
      <c r="N1521" s="42">
        <v>50.026349015494361</v>
      </c>
      <c r="O1521" s="43">
        <v>14194.411657330578</v>
      </c>
    </row>
    <row r="1522" spans="12:15" x14ac:dyDescent="0.2">
      <c r="L1522" s="4">
        <v>1516</v>
      </c>
      <c r="M1522" s="21">
        <v>35502.458869852708</v>
      </c>
      <c r="N1522" s="42">
        <v>50.077528805154877</v>
      </c>
      <c r="O1522" s="43">
        <v>16672.22565812579</v>
      </c>
    </row>
    <row r="1523" spans="12:15" x14ac:dyDescent="0.2">
      <c r="L1523" s="4">
        <v>1517</v>
      </c>
      <c r="M1523" s="21">
        <v>46374.788769537525</v>
      </c>
      <c r="N1523" s="42">
        <v>51.244289175543038</v>
      </c>
      <c r="O1523" s="43">
        <v>14065.51100215853</v>
      </c>
    </row>
    <row r="1524" spans="12:15" x14ac:dyDescent="0.2">
      <c r="L1524" s="4">
        <v>1518</v>
      </c>
      <c r="M1524" s="21">
        <v>-283254.06260360987</v>
      </c>
      <c r="N1524" s="42">
        <v>48.86277945967727</v>
      </c>
      <c r="O1524" s="43">
        <v>13628.067854257033</v>
      </c>
    </row>
    <row r="1525" spans="12:15" x14ac:dyDescent="0.2">
      <c r="L1525" s="4">
        <v>1519</v>
      </c>
      <c r="M1525" s="21">
        <v>-147277.51638126798</v>
      </c>
      <c r="N1525" s="42">
        <v>50.148377587204756</v>
      </c>
      <c r="O1525" s="43">
        <v>12975.656811923282</v>
      </c>
    </row>
    <row r="1526" spans="12:15" x14ac:dyDescent="0.2">
      <c r="L1526" s="4">
        <v>1520</v>
      </c>
      <c r="M1526" s="21">
        <v>243295.98974542235</v>
      </c>
      <c r="N1526" s="42">
        <v>50.824756169065594</v>
      </c>
      <c r="O1526" s="43">
        <v>16320.199811708739</v>
      </c>
    </row>
    <row r="1527" spans="12:15" x14ac:dyDescent="0.2">
      <c r="L1527" s="4">
        <v>1521</v>
      </c>
      <c r="M1527" s="21">
        <v>56858.248002519744</v>
      </c>
      <c r="N1527" s="42">
        <v>51.032685797744172</v>
      </c>
      <c r="O1527" s="43">
        <v>14401.38125202083</v>
      </c>
    </row>
    <row r="1528" spans="12:15" x14ac:dyDescent="0.2">
      <c r="L1528" s="4">
        <v>1522</v>
      </c>
      <c r="M1528" s="21">
        <v>-141405.07174113466</v>
      </c>
      <c r="N1528" s="42">
        <v>48.793810100486667</v>
      </c>
      <c r="O1528" s="43">
        <v>13862.891213486866</v>
      </c>
    </row>
    <row r="1529" spans="12:15" x14ac:dyDescent="0.2">
      <c r="L1529" s="4">
        <v>1523</v>
      </c>
      <c r="M1529" s="21">
        <v>-192465.32926577784</v>
      </c>
      <c r="N1529" s="42">
        <v>51.050247185075222</v>
      </c>
      <c r="O1529" s="43">
        <v>12791.759274488912</v>
      </c>
    </row>
    <row r="1530" spans="12:15" x14ac:dyDescent="0.2">
      <c r="L1530" s="4">
        <v>1524</v>
      </c>
      <c r="M1530" s="21">
        <v>-59030.315202584345</v>
      </c>
      <c r="N1530" s="42">
        <v>47.086990352262909</v>
      </c>
      <c r="O1530" s="43">
        <v>16065.337100094624</v>
      </c>
    </row>
    <row r="1531" spans="12:15" x14ac:dyDescent="0.2">
      <c r="L1531" s="4">
        <v>1525</v>
      </c>
      <c r="M1531" s="21">
        <v>68741.73117309119</v>
      </c>
      <c r="N1531" s="42">
        <v>48.229772052931423</v>
      </c>
      <c r="O1531" s="43">
        <v>17218.091237423807</v>
      </c>
    </row>
    <row r="1532" spans="12:15" x14ac:dyDescent="0.2">
      <c r="L1532" s="4">
        <v>1526</v>
      </c>
      <c r="M1532" s="21">
        <v>-15942.410332951913</v>
      </c>
      <c r="N1532" s="42">
        <v>48.011765738541143</v>
      </c>
      <c r="O1532" s="43">
        <v>16132.925393560308</v>
      </c>
    </row>
    <row r="1533" spans="12:15" x14ac:dyDescent="0.2">
      <c r="L1533" s="4">
        <v>1527</v>
      </c>
      <c r="M1533" s="21">
        <v>83496.409788675606</v>
      </c>
      <c r="N1533" s="42">
        <v>51.499635361592588</v>
      </c>
      <c r="O1533" s="43">
        <v>15320.627928043788</v>
      </c>
    </row>
    <row r="1534" spans="12:15" x14ac:dyDescent="0.2">
      <c r="L1534" s="4">
        <v>1528</v>
      </c>
      <c r="M1534" s="21">
        <v>-92885.862942706866</v>
      </c>
      <c r="N1534" s="42">
        <v>46.152229883633211</v>
      </c>
      <c r="O1534" s="43">
        <v>17041.763144626573</v>
      </c>
    </row>
    <row r="1535" spans="12:15" x14ac:dyDescent="0.2">
      <c r="L1535" s="4">
        <v>1529</v>
      </c>
      <c r="M1535" s="21">
        <v>14095.224691292766</v>
      </c>
      <c r="N1535" s="42">
        <v>51.727424583962858</v>
      </c>
      <c r="O1535" s="43">
        <v>13273.136812057919</v>
      </c>
    </row>
    <row r="1536" spans="12:15" x14ac:dyDescent="0.2">
      <c r="L1536" s="4">
        <v>1530</v>
      </c>
      <c r="M1536" s="21">
        <v>-189742.89276873448</v>
      </c>
      <c r="N1536" s="42">
        <v>49.142477774009507</v>
      </c>
      <c r="O1536" s="43">
        <v>13229.800598689719</v>
      </c>
    </row>
    <row r="1537" spans="12:15" x14ac:dyDescent="0.2">
      <c r="L1537" s="4">
        <v>1531</v>
      </c>
      <c r="M1537" s="21">
        <v>9968.7758954415622</v>
      </c>
      <c r="N1537" s="42">
        <v>48.664310842319487</v>
      </c>
      <c r="O1537" s="43">
        <v>13532.198736257564</v>
      </c>
    </row>
    <row r="1538" spans="12:15" x14ac:dyDescent="0.2">
      <c r="L1538" s="4">
        <v>1532</v>
      </c>
      <c r="M1538" s="21">
        <v>-164413.83173908031</v>
      </c>
      <c r="N1538" s="42">
        <v>48.520012773838559</v>
      </c>
      <c r="O1538" s="43">
        <v>13204.827983624496</v>
      </c>
    </row>
    <row r="1539" spans="12:15" x14ac:dyDescent="0.2">
      <c r="L1539" s="4">
        <v>1533</v>
      </c>
      <c r="M1539" s="21">
        <v>-193256.83833784211</v>
      </c>
      <c r="N1539" s="42">
        <v>47.192043996682422</v>
      </c>
      <c r="O1539" s="43">
        <v>13231.191902563327</v>
      </c>
    </row>
    <row r="1540" spans="12:15" x14ac:dyDescent="0.2">
      <c r="L1540" s="4">
        <v>1534</v>
      </c>
      <c r="M1540" s="21">
        <v>-80385.638693148183</v>
      </c>
      <c r="N1540" s="42">
        <v>49.458756648513656</v>
      </c>
      <c r="O1540" s="43">
        <v>13986.33336995249</v>
      </c>
    </row>
    <row r="1541" spans="12:15" x14ac:dyDescent="0.2">
      <c r="L1541" s="4">
        <v>1535</v>
      </c>
      <c r="M1541" s="21">
        <v>65520.142010094569</v>
      </c>
      <c r="N1541" s="42">
        <v>51.102318857045461</v>
      </c>
      <c r="O1541" s="43">
        <v>15489.501199240876</v>
      </c>
    </row>
    <row r="1542" spans="12:15" x14ac:dyDescent="0.2">
      <c r="L1542" s="4">
        <v>1536</v>
      </c>
      <c r="M1542" s="21">
        <v>112697.11950564021</v>
      </c>
      <c r="N1542" s="42">
        <v>50.376531362364226</v>
      </c>
      <c r="O1542" s="43">
        <v>15445.783644467789</v>
      </c>
    </row>
    <row r="1543" spans="12:15" x14ac:dyDescent="0.2">
      <c r="L1543" s="4">
        <v>1537</v>
      </c>
      <c r="M1543" s="21">
        <v>-134710.36082436622</v>
      </c>
      <c r="N1543" s="42">
        <v>50.323302731359597</v>
      </c>
      <c r="O1543" s="43">
        <v>12691.730552668327</v>
      </c>
    </row>
    <row r="1544" spans="12:15" x14ac:dyDescent="0.2">
      <c r="L1544" s="4">
        <v>1538</v>
      </c>
      <c r="M1544" s="21">
        <v>-6084.7368486811756</v>
      </c>
      <c r="N1544" s="42">
        <v>47.529144334160605</v>
      </c>
      <c r="O1544" s="43">
        <v>16943.631831356826</v>
      </c>
    </row>
    <row r="1545" spans="12:15" x14ac:dyDescent="0.2">
      <c r="L1545" s="4">
        <v>1539</v>
      </c>
      <c r="M1545" s="21">
        <v>124205.66232340466</v>
      </c>
      <c r="N1545" s="42">
        <v>49.896576897943909</v>
      </c>
      <c r="O1545" s="43">
        <v>16233.501496077786</v>
      </c>
    </row>
    <row r="1546" spans="12:15" x14ac:dyDescent="0.2">
      <c r="L1546" s="4">
        <v>1540</v>
      </c>
      <c r="M1546" s="21">
        <v>53134.63014118679</v>
      </c>
      <c r="N1546" s="42">
        <v>48.390666701839002</v>
      </c>
      <c r="O1546" s="43">
        <v>16628.262653752165</v>
      </c>
    </row>
    <row r="1547" spans="12:15" x14ac:dyDescent="0.2">
      <c r="L1547" s="4">
        <v>1541</v>
      </c>
      <c r="M1547" s="21">
        <v>25379.339289534866</v>
      </c>
      <c r="N1547" s="42">
        <v>51.14126046177465</v>
      </c>
      <c r="O1547" s="43">
        <v>13276.110407383583</v>
      </c>
    </row>
    <row r="1548" spans="12:15" x14ac:dyDescent="0.2">
      <c r="L1548" s="4">
        <v>1542</v>
      </c>
      <c r="M1548" s="21">
        <v>7058.3984400573536</v>
      </c>
      <c r="N1548" s="42">
        <v>49.517426263222205</v>
      </c>
      <c r="O1548" s="43">
        <v>15656.926933574889</v>
      </c>
    </row>
    <row r="1549" spans="12:15" x14ac:dyDescent="0.2">
      <c r="L1549" s="4">
        <v>1543</v>
      </c>
      <c r="M1549" s="21">
        <v>-57107.27071244354</v>
      </c>
      <c r="N1549" s="42">
        <v>49.984687682707261</v>
      </c>
      <c r="O1549" s="43">
        <v>14493.954722494136</v>
      </c>
    </row>
    <row r="1550" spans="12:15" x14ac:dyDescent="0.2">
      <c r="L1550" s="4">
        <v>1544</v>
      </c>
      <c r="M1550" s="21">
        <v>44467.972172269278</v>
      </c>
      <c r="N1550" s="42">
        <v>48.395344687659488</v>
      </c>
      <c r="O1550" s="43">
        <v>15615.145428715012</v>
      </c>
    </row>
    <row r="1551" spans="12:15" x14ac:dyDescent="0.2">
      <c r="L1551" s="4">
        <v>1545</v>
      </c>
      <c r="M1551" s="21">
        <v>-109474.18915261605</v>
      </c>
      <c r="N1551" s="42">
        <v>47.193884410704442</v>
      </c>
      <c r="O1551" s="43">
        <v>16685.323509530532</v>
      </c>
    </row>
    <row r="1552" spans="12:15" x14ac:dyDescent="0.2">
      <c r="L1552" s="4">
        <v>1546</v>
      </c>
      <c r="M1552" s="21">
        <v>47568.110893872188</v>
      </c>
      <c r="N1552" s="42">
        <v>50.662205185096809</v>
      </c>
      <c r="O1552" s="43">
        <v>14295.628859901082</v>
      </c>
    </row>
    <row r="1553" spans="12:15" x14ac:dyDescent="0.2">
      <c r="L1553" s="4">
        <v>1547</v>
      </c>
      <c r="M1553" s="21">
        <v>18905.310253792559</v>
      </c>
      <c r="N1553" s="42">
        <v>50.825776723772677</v>
      </c>
      <c r="O1553" s="43">
        <v>13702.670231732229</v>
      </c>
    </row>
    <row r="1554" spans="12:15" x14ac:dyDescent="0.2">
      <c r="L1554" s="4">
        <v>1548</v>
      </c>
      <c r="M1554" s="21">
        <v>-58997.500966912994</v>
      </c>
      <c r="N1554" s="42">
        <v>46.255285930754901</v>
      </c>
      <c r="O1554" s="43">
        <v>17762.079586933847</v>
      </c>
    </row>
    <row r="1555" spans="12:15" x14ac:dyDescent="0.2">
      <c r="L1555" s="4">
        <v>1549</v>
      </c>
      <c r="M1555" s="21">
        <v>-17469.855243117679</v>
      </c>
      <c r="N1555" s="42">
        <v>50.192677648115314</v>
      </c>
      <c r="O1555" s="43">
        <v>14212.048568269121</v>
      </c>
    </row>
    <row r="1556" spans="12:15" x14ac:dyDescent="0.2">
      <c r="L1556" s="4">
        <v>1550</v>
      </c>
      <c r="M1556" s="21">
        <v>-2001.3734325468977</v>
      </c>
      <c r="N1556" s="42">
        <v>49.80479677456271</v>
      </c>
      <c r="O1556" s="43">
        <v>14735.021088335299</v>
      </c>
    </row>
    <row r="1557" spans="12:15" x14ac:dyDescent="0.2">
      <c r="L1557" s="4">
        <v>1551</v>
      </c>
      <c r="M1557" s="21">
        <v>271360.33257216809</v>
      </c>
      <c r="N1557" s="42">
        <v>50.626048443792733</v>
      </c>
      <c r="O1557" s="43">
        <v>16588.380200868942</v>
      </c>
    </row>
    <row r="1558" spans="12:15" x14ac:dyDescent="0.2">
      <c r="L1558" s="4">
        <v>1552</v>
      </c>
      <c r="M1558" s="21">
        <v>-82908.199579103966</v>
      </c>
      <c r="N1558" s="42">
        <v>48.555729684448529</v>
      </c>
      <c r="O1558" s="43">
        <v>14220.58524214403</v>
      </c>
    </row>
    <row r="1559" spans="12:15" x14ac:dyDescent="0.2">
      <c r="L1559" s="4">
        <v>1553</v>
      </c>
      <c r="M1559" s="21">
        <v>-213607.15873990906</v>
      </c>
      <c r="N1559" s="42">
        <v>49.81913447406086</v>
      </c>
      <c r="O1559" s="43">
        <v>13250.018228967936</v>
      </c>
    </row>
    <row r="1560" spans="12:15" x14ac:dyDescent="0.2">
      <c r="L1560" s="4">
        <v>1554</v>
      </c>
      <c r="M1560" s="21">
        <v>-213493.59611265277</v>
      </c>
      <c r="N1560" s="42">
        <v>50.590424405630969</v>
      </c>
      <c r="O1560" s="43">
        <v>11545.854109964355</v>
      </c>
    </row>
    <row r="1561" spans="12:15" x14ac:dyDescent="0.2">
      <c r="L1561" s="4">
        <v>1555</v>
      </c>
      <c r="M1561" s="21">
        <v>-163454.5409955607</v>
      </c>
      <c r="N1561" s="42">
        <v>48.888250496066746</v>
      </c>
      <c r="O1561" s="43">
        <v>13460.874093873581</v>
      </c>
    </row>
    <row r="1562" spans="12:15" x14ac:dyDescent="0.2">
      <c r="L1562" s="4">
        <v>1556</v>
      </c>
      <c r="M1562" s="21">
        <v>-102198.25345562077</v>
      </c>
      <c r="N1562" s="42">
        <v>49.052171142784559</v>
      </c>
      <c r="O1562" s="43">
        <v>14732.330668772905</v>
      </c>
    </row>
    <row r="1563" spans="12:15" x14ac:dyDescent="0.2">
      <c r="L1563" s="4">
        <v>1557</v>
      </c>
      <c r="M1563" s="21">
        <v>-162503.53513386496</v>
      </c>
      <c r="N1563" s="42">
        <v>51.093329317664953</v>
      </c>
      <c r="O1563" s="43">
        <v>12233.54927578846</v>
      </c>
    </row>
    <row r="1564" spans="12:15" x14ac:dyDescent="0.2">
      <c r="L1564" s="4">
        <v>1558</v>
      </c>
      <c r="M1564" s="21">
        <v>71677.229201725975</v>
      </c>
      <c r="N1564" s="42">
        <v>51.22839190896191</v>
      </c>
      <c r="O1564" s="43">
        <v>13533.921961862923</v>
      </c>
    </row>
    <row r="1565" spans="12:15" x14ac:dyDescent="0.2">
      <c r="L1565" s="4">
        <v>1559</v>
      </c>
      <c r="M1565" s="21">
        <v>94014.929365362274</v>
      </c>
      <c r="N1565" s="42">
        <v>48.642558299561486</v>
      </c>
      <c r="O1565" s="43">
        <v>15829.153427137027</v>
      </c>
    </row>
    <row r="1566" spans="12:15" x14ac:dyDescent="0.2">
      <c r="L1566" s="4">
        <v>1560</v>
      </c>
      <c r="M1566" s="21">
        <v>-156712.81716600474</v>
      </c>
      <c r="N1566" s="42">
        <v>46.810639229846956</v>
      </c>
      <c r="O1566" s="43">
        <v>14824.052388933309</v>
      </c>
    </row>
    <row r="1567" spans="12:15" x14ac:dyDescent="0.2">
      <c r="L1567" s="4">
        <v>1561</v>
      </c>
      <c r="M1567" s="21">
        <v>85391.242538689054</v>
      </c>
      <c r="N1567" s="42">
        <v>50.815538148234921</v>
      </c>
      <c r="O1567" s="43">
        <v>15580.229870882496</v>
      </c>
    </row>
    <row r="1568" spans="12:15" x14ac:dyDescent="0.2">
      <c r="L1568" s="4">
        <v>1562</v>
      </c>
      <c r="M1568" s="21">
        <v>279392.07159846945</v>
      </c>
      <c r="N1568" s="42">
        <v>50.941921611807558</v>
      </c>
      <c r="O1568" s="43">
        <v>16442.980222282127</v>
      </c>
    </row>
    <row r="1569" spans="12:15" x14ac:dyDescent="0.2">
      <c r="L1569" s="4">
        <v>1563</v>
      </c>
      <c r="M1569" s="21">
        <v>-182065.9132023133</v>
      </c>
      <c r="N1569" s="42">
        <v>47.771324278143148</v>
      </c>
      <c r="O1569" s="43">
        <v>14657.529639714308</v>
      </c>
    </row>
    <row r="1570" spans="12:15" x14ac:dyDescent="0.2">
      <c r="L1570" s="4">
        <v>1564</v>
      </c>
      <c r="M1570" s="21">
        <v>74385.403286204702</v>
      </c>
      <c r="N1570" s="42">
        <v>49.569042193968656</v>
      </c>
      <c r="O1570" s="43">
        <v>15257.213247534137</v>
      </c>
    </row>
    <row r="1571" spans="12:15" x14ac:dyDescent="0.2">
      <c r="L1571" s="4">
        <v>1565</v>
      </c>
      <c r="M1571" s="21">
        <v>162557.87357388422</v>
      </c>
      <c r="N1571" s="42">
        <v>50.720782533923014</v>
      </c>
      <c r="O1571" s="43">
        <v>15668.732591998381</v>
      </c>
    </row>
    <row r="1572" spans="12:15" x14ac:dyDescent="0.2">
      <c r="L1572" s="4">
        <v>1566</v>
      </c>
      <c r="M1572" s="21">
        <v>-81902.499455675323</v>
      </c>
      <c r="N1572" s="42">
        <v>48.624220395246624</v>
      </c>
      <c r="O1572" s="43">
        <v>14597.576806951838</v>
      </c>
    </row>
    <row r="1573" spans="12:15" x14ac:dyDescent="0.2">
      <c r="L1573" s="4">
        <v>1567</v>
      </c>
      <c r="M1573" s="21">
        <v>176598.98964513349</v>
      </c>
      <c r="N1573" s="42">
        <v>50.088915940229576</v>
      </c>
      <c r="O1573" s="43">
        <v>16124.574282000145</v>
      </c>
    </row>
    <row r="1574" spans="12:15" x14ac:dyDescent="0.2">
      <c r="L1574" s="4">
        <v>1568</v>
      </c>
      <c r="M1574" s="21">
        <v>109006.66946721912</v>
      </c>
      <c r="N1574" s="42">
        <v>49.750422531657449</v>
      </c>
      <c r="O1574" s="43">
        <v>15860.415945830133</v>
      </c>
    </row>
    <row r="1575" spans="12:15" x14ac:dyDescent="0.2">
      <c r="L1575" s="4">
        <v>1569</v>
      </c>
      <c r="M1575" s="21">
        <v>-3743.5014241354947</v>
      </c>
      <c r="N1575" s="42">
        <v>48.879573228408759</v>
      </c>
      <c r="O1575" s="43">
        <v>15143.439926330586</v>
      </c>
    </row>
    <row r="1576" spans="12:15" x14ac:dyDescent="0.2">
      <c r="L1576" s="4">
        <v>1570</v>
      </c>
      <c r="M1576" s="21">
        <v>-110075.13936613589</v>
      </c>
      <c r="N1576" s="42">
        <v>50.110639957147143</v>
      </c>
      <c r="O1576" s="43">
        <v>13804.292497648781</v>
      </c>
    </row>
    <row r="1577" spans="12:15" x14ac:dyDescent="0.2">
      <c r="L1577" s="4">
        <v>1571</v>
      </c>
      <c r="M1577" s="21">
        <v>-72380.783574098081</v>
      </c>
      <c r="N1577" s="42">
        <v>50.343458849305975</v>
      </c>
      <c r="O1577" s="43">
        <v>13304.180583359372</v>
      </c>
    </row>
    <row r="1578" spans="12:15" x14ac:dyDescent="0.2">
      <c r="L1578" s="4">
        <v>1572</v>
      </c>
      <c r="M1578" s="21">
        <v>-49678.740744861745</v>
      </c>
      <c r="N1578" s="42">
        <v>47.85228443323355</v>
      </c>
      <c r="O1578" s="43">
        <v>15357.890436793145</v>
      </c>
    </row>
    <row r="1579" spans="12:15" x14ac:dyDescent="0.2">
      <c r="L1579" s="4">
        <v>1573</v>
      </c>
      <c r="M1579" s="21">
        <v>32218.720779094234</v>
      </c>
      <c r="N1579" s="42">
        <v>50.75896972949328</v>
      </c>
      <c r="O1579" s="43">
        <v>14320.027355382445</v>
      </c>
    </row>
    <row r="1580" spans="12:15" x14ac:dyDescent="0.2">
      <c r="L1580" s="4">
        <v>1574</v>
      </c>
      <c r="M1580" s="21">
        <v>-586.97214136994444</v>
      </c>
      <c r="N1580" s="42">
        <v>50.054254122635399</v>
      </c>
      <c r="O1580" s="43">
        <v>14236.841472574673</v>
      </c>
    </row>
    <row r="1581" spans="12:15" x14ac:dyDescent="0.2">
      <c r="L1581" s="4">
        <v>1575</v>
      </c>
      <c r="M1581" s="21">
        <v>62025.634732053702</v>
      </c>
      <c r="N1581" s="42">
        <v>48.909778983300114</v>
      </c>
      <c r="O1581" s="43">
        <v>16427.04103438992</v>
      </c>
    </row>
    <row r="1582" spans="12:15" x14ac:dyDescent="0.2">
      <c r="L1582" s="4">
        <v>1576</v>
      </c>
      <c r="M1582" s="21">
        <v>-33186.033121273533</v>
      </c>
      <c r="N1582" s="42">
        <v>51.024073130718669</v>
      </c>
      <c r="O1582" s="43">
        <v>12312.302609341335</v>
      </c>
    </row>
    <row r="1583" spans="12:15" x14ac:dyDescent="0.2">
      <c r="L1583" s="4">
        <v>1577</v>
      </c>
      <c r="M1583" s="21">
        <v>-189817.84867207904</v>
      </c>
      <c r="N1583" s="42">
        <v>46.362836907692682</v>
      </c>
      <c r="O1583" s="43">
        <v>15614.195465551382</v>
      </c>
    </row>
    <row r="1584" spans="12:15" x14ac:dyDescent="0.2">
      <c r="L1584" s="4">
        <v>1578</v>
      </c>
      <c r="M1584" s="21">
        <v>92404.427907971694</v>
      </c>
      <c r="N1584" s="42">
        <v>49.550894061018134</v>
      </c>
      <c r="O1584" s="43">
        <v>15433.448308248773</v>
      </c>
    </row>
    <row r="1585" spans="12:15" x14ac:dyDescent="0.2">
      <c r="L1585" s="4">
        <v>1579</v>
      </c>
      <c r="M1585" s="21">
        <v>-67266.234827014719</v>
      </c>
      <c r="N1585" s="42">
        <v>48.771270918631657</v>
      </c>
      <c r="O1585" s="43">
        <v>15302.741799844955</v>
      </c>
    </row>
    <row r="1586" spans="12:15" x14ac:dyDescent="0.2">
      <c r="L1586" s="4">
        <v>1580</v>
      </c>
      <c r="M1586" s="21">
        <v>-16270.434772574343</v>
      </c>
      <c r="N1586" s="42">
        <v>49.148642262133272</v>
      </c>
      <c r="O1586" s="43">
        <v>14115.368582934796</v>
      </c>
    </row>
    <row r="1587" spans="12:15" x14ac:dyDescent="0.2">
      <c r="L1587" s="4">
        <v>1581</v>
      </c>
      <c r="M1587" s="21">
        <v>-29702.693468430269</v>
      </c>
      <c r="N1587" s="42">
        <v>47.370351067824835</v>
      </c>
      <c r="O1587" s="43">
        <v>16552.599669706098</v>
      </c>
    </row>
    <row r="1588" spans="12:15" x14ac:dyDescent="0.2">
      <c r="L1588" s="4">
        <v>1582</v>
      </c>
      <c r="M1588" s="21">
        <v>-155134.48003652293</v>
      </c>
      <c r="N1588" s="42">
        <v>45.114868249776201</v>
      </c>
      <c r="O1588" s="43">
        <v>18032.805532994851</v>
      </c>
    </row>
    <row r="1589" spans="12:15" x14ac:dyDescent="0.2">
      <c r="L1589" s="4">
        <v>1583</v>
      </c>
      <c r="M1589" s="21">
        <v>26723.10314101135</v>
      </c>
      <c r="N1589" s="42">
        <v>47.119825745111129</v>
      </c>
      <c r="O1589" s="43">
        <v>18566.777658865998</v>
      </c>
    </row>
    <row r="1590" spans="12:15" x14ac:dyDescent="0.2">
      <c r="L1590" s="4">
        <v>1584</v>
      </c>
      <c r="M1590" s="21">
        <v>-119902.4522924873</v>
      </c>
      <c r="N1590" s="42">
        <v>48.824663228475622</v>
      </c>
      <c r="O1590" s="43">
        <v>15912.304930435062</v>
      </c>
    </row>
    <row r="1591" spans="12:15" x14ac:dyDescent="0.2">
      <c r="L1591" s="4">
        <v>1585</v>
      </c>
      <c r="M1591" s="21">
        <v>23403.90702772318</v>
      </c>
      <c r="N1591" s="42">
        <v>48.596002441402533</v>
      </c>
      <c r="O1591" s="43">
        <v>16645.165567729724</v>
      </c>
    </row>
    <row r="1592" spans="12:15" x14ac:dyDescent="0.2">
      <c r="L1592" s="4">
        <v>1586</v>
      </c>
      <c r="M1592" s="21">
        <v>119046.10080007403</v>
      </c>
      <c r="N1592" s="42">
        <v>51.185578406215939</v>
      </c>
      <c r="O1592" s="43">
        <v>15741.476704363991</v>
      </c>
    </row>
    <row r="1593" spans="12:15" x14ac:dyDescent="0.2">
      <c r="L1593" s="4">
        <v>1587</v>
      </c>
      <c r="M1593" s="21">
        <v>120838.69223491554</v>
      </c>
      <c r="N1593" s="42">
        <v>50.939332578124009</v>
      </c>
      <c r="O1593" s="43">
        <v>14725.180323597895</v>
      </c>
    </row>
    <row r="1594" spans="12:15" x14ac:dyDescent="0.2">
      <c r="L1594" s="4">
        <v>1588</v>
      </c>
      <c r="M1594" s="21">
        <v>-29810.090497063284</v>
      </c>
      <c r="N1594" s="42">
        <v>47.833936613811815</v>
      </c>
      <c r="O1594" s="43">
        <v>16460.09158891534</v>
      </c>
    </row>
    <row r="1595" spans="12:15" x14ac:dyDescent="0.2">
      <c r="L1595" s="4">
        <v>1589</v>
      </c>
      <c r="M1595" s="21">
        <v>-241797.7589011089</v>
      </c>
      <c r="N1595" s="42">
        <v>47.172364046285153</v>
      </c>
      <c r="O1595" s="43">
        <v>15527.223477746755</v>
      </c>
    </row>
    <row r="1596" spans="12:15" x14ac:dyDescent="0.2">
      <c r="L1596" s="4">
        <v>1590</v>
      </c>
      <c r="M1596" s="21">
        <v>13513.357338781876</v>
      </c>
      <c r="N1596" s="42">
        <v>51.011969056681082</v>
      </c>
      <c r="O1596" s="43">
        <v>13774.948744983914</v>
      </c>
    </row>
    <row r="1597" spans="12:15" x14ac:dyDescent="0.2">
      <c r="L1597" s="4">
        <v>1591</v>
      </c>
      <c r="M1597" s="21">
        <v>20002.141944633535</v>
      </c>
      <c r="N1597" s="42">
        <v>51.473012317954868</v>
      </c>
      <c r="O1597" s="43">
        <v>15012.462168633927</v>
      </c>
    </row>
    <row r="1598" spans="12:15" x14ac:dyDescent="0.2">
      <c r="L1598" s="4">
        <v>1592</v>
      </c>
      <c r="M1598" s="21">
        <v>-51938.103394923121</v>
      </c>
      <c r="N1598" s="42">
        <v>50.149963011275275</v>
      </c>
      <c r="O1598" s="43">
        <v>13889.956116436209</v>
      </c>
    </row>
    <row r="1599" spans="12:15" x14ac:dyDescent="0.2">
      <c r="L1599" s="4">
        <v>1593</v>
      </c>
      <c r="M1599" s="21">
        <v>664.57533152698306</v>
      </c>
      <c r="N1599" s="42">
        <v>50.511049015217495</v>
      </c>
      <c r="O1599" s="43">
        <v>14411.221655373709</v>
      </c>
    </row>
    <row r="1600" spans="12:15" x14ac:dyDescent="0.2">
      <c r="L1600" s="4">
        <v>1594</v>
      </c>
      <c r="M1600" s="21">
        <v>48442.972881892434</v>
      </c>
      <c r="N1600" s="42">
        <v>50.751052987010979</v>
      </c>
      <c r="O1600" s="43">
        <v>13962.753526583958</v>
      </c>
    </row>
    <row r="1601" spans="12:15" x14ac:dyDescent="0.2">
      <c r="L1601" s="4">
        <v>1595</v>
      </c>
      <c r="M1601" s="21">
        <v>95972.089147274004</v>
      </c>
      <c r="N1601" s="42">
        <v>49.122231432986815</v>
      </c>
      <c r="O1601" s="43">
        <v>18270.48032915411</v>
      </c>
    </row>
    <row r="1602" spans="12:15" x14ac:dyDescent="0.2">
      <c r="L1602" s="4">
        <v>1596</v>
      </c>
      <c r="M1602" s="21">
        <v>-126207.12605517295</v>
      </c>
      <c r="N1602" s="42">
        <v>49.515369038591999</v>
      </c>
      <c r="O1602" s="43">
        <v>13450.261290887569</v>
      </c>
    </row>
    <row r="1603" spans="12:15" x14ac:dyDescent="0.2">
      <c r="L1603" s="4">
        <v>1597</v>
      </c>
      <c r="M1603" s="21">
        <v>-109488.1562086966</v>
      </c>
      <c r="N1603" s="42">
        <v>47.404923158869011</v>
      </c>
      <c r="O1603" s="43">
        <v>15639.165222621983</v>
      </c>
    </row>
    <row r="1604" spans="12:15" x14ac:dyDescent="0.2">
      <c r="L1604" s="4">
        <v>1598</v>
      </c>
      <c r="M1604" s="21">
        <v>82299.496563524241</v>
      </c>
      <c r="N1604" s="42">
        <v>50.26410362336317</v>
      </c>
      <c r="O1604" s="43">
        <v>15846.044680951065</v>
      </c>
    </row>
    <row r="1605" spans="12:15" x14ac:dyDescent="0.2">
      <c r="L1605" s="4">
        <v>1599</v>
      </c>
      <c r="M1605" s="21">
        <v>-257456.36491392908</v>
      </c>
      <c r="N1605" s="42">
        <v>45.546101791263453</v>
      </c>
      <c r="O1605" s="43">
        <v>13603.315732975603</v>
      </c>
    </row>
    <row r="1606" spans="12:15" x14ac:dyDescent="0.2">
      <c r="L1606" s="4">
        <v>1600</v>
      </c>
      <c r="M1606" s="21">
        <v>-84380.834223878424</v>
      </c>
      <c r="N1606" s="42">
        <v>50.143678040652972</v>
      </c>
      <c r="O1606" s="43">
        <v>13279.633985547895</v>
      </c>
    </row>
    <row r="1607" spans="12:15" x14ac:dyDescent="0.2">
      <c r="L1607" s="4">
        <v>1601</v>
      </c>
      <c r="M1607" s="21">
        <v>41851.789352410735</v>
      </c>
      <c r="N1607" s="42">
        <v>50.320995414984054</v>
      </c>
      <c r="O1607" s="43">
        <v>14676.393153085604</v>
      </c>
    </row>
    <row r="1608" spans="12:15" x14ac:dyDescent="0.2">
      <c r="L1608" s="4">
        <v>1602</v>
      </c>
      <c r="M1608" s="21">
        <v>-85554.445942876147</v>
      </c>
      <c r="N1608" s="42">
        <v>48.925709673004938</v>
      </c>
      <c r="O1608" s="43">
        <v>15353.707605305457</v>
      </c>
    </row>
    <row r="1609" spans="12:15" x14ac:dyDescent="0.2">
      <c r="L1609" s="4">
        <v>1603</v>
      </c>
      <c r="M1609" s="21">
        <v>54728.909626700595</v>
      </c>
      <c r="N1609" s="42">
        <v>50.788557900077123</v>
      </c>
      <c r="O1609" s="43">
        <v>14071.073881074308</v>
      </c>
    </row>
    <row r="1610" spans="12:15" x14ac:dyDescent="0.2">
      <c r="L1610" s="4">
        <v>1604</v>
      </c>
      <c r="M1610" s="21">
        <v>57395.811411225382</v>
      </c>
      <c r="N1610" s="42">
        <v>50.9574150346414</v>
      </c>
      <c r="O1610" s="43">
        <v>16161.347049240816</v>
      </c>
    </row>
    <row r="1611" spans="12:15" x14ac:dyDescent="0.2">
      <c r="L1611" s="4">
        <v>1605</v>
      </c>
      <c r="M1611" s="21">
        <v>-91031.958692221146</v>
      </c>
      <c r="N1611" s="42">
        <v>47.823513949314069</v>
      </c>
      <c r="O1611" s="43">
        <v>14866.921544049308</v>
      </c>
    </row>
    <row r="1612" spans="12:15" x14ac:dyDescent="0.2">
      <c r="L1612" s="4">
        <v>1606</v>
      </c>
      <c r="M1612" s="21">
        <v>-137584.26342606446</v>
      </c>
      <c r="N1612" s="42">
        <v>47.745269982302716</v>
      </c>
      <c r="O1612" s="43">
        <v>14770.971825307017</v>
      </c>
    </row>
    <row r="1613" spans="12:15" x14ac:dyDescent="0.2">
      <c r="L1613" s="4">
        <v>1607</v>
      </c>
      <c r="M1613" s="21">
        <v>21494.019005779846</v>
      </c>
      <c r="N1613" s="42">
        <v>49.903452745339621</v>
      </c>
      <c r="O1613" s="43">
        <v>14978.955739421921</v>
      </c>
    </row>
    <row r="1614" spans="12:15" x14ac:dyDescent="0.2">
      <c r="L1614" s="4">
        <v>1608</v>
      </c>
      <c r="M1614" s="21">
        <v>64735.114047189738</v>
      </c>
      <c r="N1614" s="42">
        <v>46.889827533511735</v>
      </c>
      <c r="O1614" s="43">
        <v>17032.930107673837</v>
      </c>
    </row>
    <row r="1615" spans="12:15" x14ac:dyDescent="0.2">
      <c r="L1615" s="4">
        <v>1609</v>
      </c>
      <c r="M1615" s="21">
        <v>-86341.766662683862</v>
      </c>
      <c r="N1615" s="42">
        <v>47.577512047648888</v>
      </c>
      <c r="O1615" s="43">
        <v>16132.78002256847</v>
      </c>
    </row>
    <row r="1616" spans="12:15" x14ac:dyDescent="0.2">
      <c r="L1616" s="4">
        <v>1610</v>
      </c>
      <c r="M1616" s="21">
        <v>162793.06159536511</v>
      </c>
      <c r="N1616" s="42">
        <v>50.402401618394364</v>
      </c>
      <c r="O1616" s="43">
        <v>16837.35848353403</v>
      </c>
    </row>
    <row r="1617" spans="12:15" x14ac:dyDescent="0.2">
      <c r="L1617" s="4">
        <v>1611</v>
      </c>
      <c r="M1617" s="21">
        <v>-16230.304537335323</v>
      </c>
      <c r="N1617" s="42">
        <v>49.741127261422271</v>
      </c>
      <c r="O1617" s="43">
        <v>15824.909918173249</v>
      </c>
    </row>
    <row r="1618" spans="12:15" x14ac:dyDescent="0.2">
      <c r="L1618" s="4">
        <v>1612</v>
      </c>
      <c r="M1618" s="21">
        <v>-68918.736438578984</v>
      </c>
      <c r="N1618" s="42">
        <v>49.147319863939195</v>
      </c>
      <c r="O1618" s="43">
        <v>14570.274485054766</v>
      </c>
    </row>
    <row r="1619" spans="12:15" x14ac:dyDescent="0.2">
      <c r="L1619" s="4">
        <v>1613</v>
      </c>
      <c r="M1619" s="21">
        <v>61401.581412234897</v>
      </c>
      <c r="N1619" s="42">
        <v>51.091071060697502</v>
      </c>
      <c r="O1619" s="43">
        <v>16178.045349565542</v>
      </c>
    </row>
    <row r="1620" spans="12:15" x14ac:dyDescent="0.2">
      <c r="L1620" s="4">
        <v>1614</v>
      </c>
      <c r="M1620" s="21">
        <v>62754.718511056271</v>
      </c>
      <c r="N1620" s="42">
        <v>48.189336147753124</v>
      </c>
      <c r="O1620" s="43">
        <v>16693.263744652675</v>
      </c>
    </row>
    <row r="1621" spans="12:15" x14ac:dyDescent="0.2">
      <c r="L1621" s="4">
        <v>1615</v>
      </c>
      <c r="M1621" s="21">
        <v>-138268.10921524197</v>
      </c>
      <c r="N1621" s="42">
        <v>48.903042382368653</v>
      </c>
      <c r="O1621" s="43">
        <v>14229.824376982187</v>
      </c>
    </row>
    <row r="1622" spans="12:15" x14ac:dyDescent="0.2">
      <c r="L1622" s="4">
        <v>1616</v>
      </c>
      <c r="M1622" s="21">
        <v>194475.62700806675</v>
      </c>
      <c r="N1622" s="42">
        <v>49.82925602466662</v>
      </c>
      <c r="O1622" s="43">
        <v>15935.204774202068</v>
      </c>
    </row>
    <row r="1623" spans="12:15" x14ac:dyDescent="0.2">
      <c r="L1623" s="4">
        <v>1617</v>
      </c>
      <c r="M1623" s="21">
        <v>28607.403029738925</v>
      </c>
      <c r="N1623" s="42">
        <v>50.979963940753031</v>
      </c>
      <c r="O1623" s="43">
        <v>13947.436721050277</v>
      </c>
    </row>
    <row r="1624" spans="12:15" x14ac:dyDescent="0.2">
      <c r="L1624" s="4">
        <v>1618</v>
      </c>
      <c r="M1624" s="21">
        <v>139315.66960014653</v>
      </c>
      <c r="N1624" s="42">
        <v>51.311835947569804</v>
      </c>
      <c r="O1624" s="43">
        <v>15073.121190268765</v>
      </c>
    </row>
    <row r="1625" spans="12:15" x14ac:dyDescent="0.2">
      <c r="L1625" s="4">
        <v>1619</v>
      </c>
      <c r="M1625" s="21">
        <v>-234229.76666333963</v>
      </c>
      <c r="N1625" s="42">
        <v>48.967660801072164</v>
      </c>
      <c r="O1625" s="43">
        <v>12010.14615386235</v>
      </c>
    </row>
    <row r="1626" spans="12:15" x14ac:dyDescent="0.2">
      <c r="L1626" s="4">
        <v>1620</v>
      </c>
      <c r="M1626" s="21">
        <v>79483.946225209598</v>
      </c>
      <c r="N1626" s="42">
        <v>50.347759166456868</v>
      </c>
      <c r="O1626" s="43">
        <v>18611.082433131669</v>
      </c>
    </row>
    <row r="1627" spans="12:15" x14ac:dyDescent="0.2">
      <c r="L1627" s="4">
        <v>1621</v>
      </c>
      <c r="M1627" s="21">
        <v>14482.883047715994</v>
      </c>
      <c r="N1627" s="42">
        <v>48.345143654578763</v>
      </c>
      <c r="O1627" s="43">
        <v>16518.919016265925</v>
      </c>
    </row>
    <row r="1628" spans="12:15" x14ac:dyDescent="0.2">
      <c r="L1628" s="4">
        <v>1622</v>
      </c>
      <c r="M1628" s="21">
        <v>-119742.97973981481</v>
      </c>
      <c r="N1628" s="42">
        <v>50.362329363442257</v>
      </c>
      <c r="O1628" s="43">
        <v>14109.021297456804</v>
      </c>
    </row>
    <row r="1629" spans="12:15" x14ac:dyDescent="0.2">
      <c r="L1629" s="4">
        <v>1623</v>
      </c>
      <c r="M1629" s="21">
        <v>177831.66757352185</v>
      </c>
      <c r="N1629" s="42">
        <v>49.416639448804816</v>
      </c>
      <c r="O1629" s="43">
        <v>15767.762107734623</v>
      </c>
    </row>
    <row r="1630" spans="12:15" x14ac:dyDescent="0.2">
      <c r="L1630" s="4">
        <v>1624</v>
      </c>
      <c r="M1630" s="21">
        <v>-152294.42308637922</v>
      </c>
      <c r="N1630" s="42">
        <v>50.91085859086278</v>
      </c>
      <c r="O1630" s="43">
        <v>13117.101852824595</v>
      </c>
    </row>
    <row r="1631" spans="12:15" x14ac:dyDescent="0.2">
      <c r="L1631" s="4">
        <v>1625</v>
      </c>
      <c r="M1631" s="21">
        <v>64256.536538724875</v>
      </c>
      <c r="N1631" s="42">
        <v>49.200615064560445</v>
      </c>
      <c r="O1631" s="43">
        <v>14498.606114661592</v>
      </c>
    </row>
    <row r="1632" spans="12:15" x14ac:dyDescent="0.2">
      <c r="L1632" s="4">
        <v>1626</v>
      </c>
      <c r="M1632" s="21">
        <v>7917.3018930438848</v>
      </c>
      <c r="N1632" s="42">
        <v>49.618507753010235</v>
      </c>
      <c r="O1632" s="43">
        <v>16165.351661200069</v>
      </c>
    </row>
    <row r="1633" spans="12:15" x14ac:dyDescent="0.2">
      <c r="L1633" s="4">
        <v>1627</v>
      </c>
      <c r="M1633" s="21">
        <v>-83053.023418723635</v>
      </c>
      <c r="N1633" s="42">
        <v>47.884048573870892</v>
      </c>
      <c r="O1633" s="43">
        <v>16097.552214566271</v>
      </c>
    </row>
    <row r="1634" spans="12:15" x14ac:dyDescent="0.2">
      <c r="L1634" s="4">
        <v>1628</v>
      </c>
      <c r="M1634" s="21">
        <v>-62532.277023347036</v>
      </c>
      <c r="N1634" s="42">
        <v>48.65982278179343</v>
      </c>
      <c r="O1634" s="43">
        <v>15457.125416524384</v>
      </c>
    </row>
    <row r="1635" spans="12:15" x14ac:dyDescent="0.2">
      <c r="L1635" s="4">
        <v>1629</v>
      </c>
      <c r="M1635" s="21">
        <v>-9747.5161919191742</v>
      </c>
      <c r="N1635" s="42">
        <v>51.757985272108009</v>
      </c>
      <c r="O1635" s="43">
        <v>12513.391549461681</v>
      </c>
    </row>
    <row r="1636" spans="12:15" x14ac:dyDescent="0.2">
      <c r="L1636" s="4">
        <v>1630</v>
      </c>
      <c r="M1636" s="21">
        <v>-132371.29719835421</v>
      </c>
      <c r="N1636" s="42">
        <v>49.851591059747278</v>
      </c>
      <c r="O1636" s="43">
        <v>12569.356804040102</v>
      </c>
    </row>
    <row r="1637" spans="12:15" x14ac:dyDescent="0.2">
      <c r="L1637" s="4">
        <v>1631</v>
      </c>
      <c r="M1637" s="21">
        <v>113958.35729021943</v>
      </c>
      <c r="N1637" s="42">
        <v>48.59194897290071</v>
      </c>
      <c r="O1637" s="43">
        <v>17767.561685525041</v>
      </c>
    </row>
    <row r="1638" spans="12:15" x14ac:dyDescent="0.2">
      <c r="L1638" s="4">
        <v>1632</v>
      </c>
      <c r="M1638" s="21">
        <v>235800.12181353261</v>
      </c>
      <c r="N1638" s="42">
        <v>51.026122577916134</v>
      </c>
      <c r="O1638" s="43">
        <v>16081.621876258947</v>
      </c>
    </row>
    <row r="1639" spans="12:15" x14ac:dyDescent="0.2">
      <c r="L1639" s="4">
        <v>1633</v>
      </c>
      <c r="M1639" s="21">
        <v>23718.153657924413</v>
      </c>
      <c r="N1639" s="42">
        <v>50.993411932226969</v>
      </c>
      <c r="O1639" s="43">
        <v>15082.569083226563</v>
      </c>
    </row>
    <row r="1640" spans="12:15" x14ac:dyDescent="0.2">
      <c r="L1640" s="4">
        <v>1634</v>
      </c>
      <c r="M1640" s="21">
        <v>-26757.185350722284</v>
      </c>
      <c r="N1640" s="42">
        <v>49.450033166145666</v>
      </c>
      <c r="O1640" s="43">
        <v>14642.936948307552</v>
      </c>
    </row>
    <row r="1641" spans="12:15" x14ac:dyDescent="0.2">
      <c r="L1641" s="4">
        <v>1635</v>
      </c>
      <c r="M1641" s="21">
        <v>-103301.49953898693</v>
      </c>
      <c r="N1641" s="42">
        <v>51.375097124732932</v>
      </c>
      <c r="O1641" s="43">
        <v>12775.024289804076</v>
      </c>
    </row>
    <row r="1642" spans="12:15" x14ac:dyDescent="0.2">
      <c r="L1642" s="4">
        <v>1636</v>
      </c>
      <c r="M1642" s="21">
        <v>-178500.62994912133</v>
      </c>
      <c r="N1642" s="42">
        <v>49.52698568789355</v>
      </c>
      <c r="O1642" s="43">
        <v>13469.670815368867</v>
      </c>
    </row>
    <row r="1643" spans="12:15" x14ac:dyDescent="0.2">
      <c r="L1643" s="4">
        <v>1637</v>
      </c>
      <c r="M1643" s="21">
        <v>-72.089916199212894</v>
      </c>
      <c r="N1643" s="42">
        <v>49.789145523637025</v>
      </c>
      <c r="O1643" s="43">
        <v>14666.203184553086</v>
      </c>
    </row>
    <row r="1644" spans="12:15" x14ac:dyDescent="0.2">
      <c r="L1644" s="4">
        <v>1638</v>
      </c>
      <c r="M1644" s="21">
        <v>-242044.33824267887</v>
      </c>
      <c r="N1644" s="42">
        <v>46.361152390068305</v>
      </c>
      <c r="O1644" s="43">
        <v>16212.800205825673</v>
      </c>
    </row>
    <row r="1645" spans="12:15" x14ac:dyDescent="0.2">
      <c r="L1645" s="4">
        <v>1639</v>
      </c>
      <c r="M1645" s="21">
        <v>-120936.85892594179</v>
      </c>
      <c r="N1645" s="42">
        <v>51.445143565427983</v>
      </c>
      <c r="O1645" s="43">
        <v>12724.039188727549</v>
      </c>
    </row>
    <row r="1646" spans="12:15" x14ac:dyDescent="0.2">
      <c r="L1646" s="4">
        <v>1640</v>
      </c>
      <c r="M1646" s="21">
        <v>173730.04907524993</v>
      </c>
      <c r="N1646" s="42">
        <v>48.965313914386222</v>
      </c>
      <c r="O1646" s="43">
        <v>16581.252876167466</v>
      </c>
    </row>
    <row r="1647" spans="12:15" x14ac:dyDescent="0.2">
      <c r="L1647" s="4">
        <v>1641</v>
      </c>
      <c r="M1647" s="21">
        <v>46761.599924556212</v>
      </c>
      <c r="N1647" s="42">
        <v>50.624853819983819</v>
      </c>
      <c r="O1647" s="43">
        <v>14400.914320632142</v>
      </c>
    </row>
    <row r="1648" spans="12:15" x14ac:dyDescent="0.2">
      <c r="L1648" s="4">
        <v>1642</v>
      </c>
      <c r="M1648" s="21">
        <v>135743.72226425246</v>
      </c>
      <c r="N1648" s="42">
        <v>51.109706410007909</v>
      </c>
      <c r="O1648" s="43">
        <v>15238.78723724566</v>
      </c>
    </row>
    <row r="1649" spans="12:15" x14ac:dyDescent="0.2">
      <c r="L1649" s="4">
        <v>1643</v>
      </c>
      <c r="M1649" s="21">
        <v>-33693.45628698598</v>
      </c>
      <c r="N1649" s="42">
        <v>50.620130026199327</v>
      </c>
      <c r="O1649" s="43">
        <v>12048.109086335764</v>
      </c>
    </row>
    <row r="1650" spans="12:15" x14ac:dyDescent="0.2">
      <c r="L1650" s="4">
        <v>1644</v>
      </c>
      <c r="M1650" s="21">
        <v>-9271.8721954954817</v>
      </c>
      <c r="N1650" s="42">
        <v>47.905859714475149</v>
      </c>
      <c r="O1650" s="43">
        <v>15107.341804571113</v>
      </c>
    </row>
    <row r="1651" spans="12:15" x14ac:dyDescent="0.2">
      <c r="L1651" s="4">
        <v>1645</v>
      </c>
      <c r="M1651" s="21">
        <v>101043.36026874886</v>
      </c>
      <c r="N1651" s="42">
        <v>46.995587165222553</v>
      </c>
      <c r="O1651" s="43">
        <v>17330.475520857246</v>
      </c>
    </row>
    <row r="1652" spans="12:15" x14ac:dyDescent="0.2">
      <c r="L1652" s="4">
        <v>1646</v>
      </c>
      <c r="M1652" s="21">
        <v>19412.923372175952</v>
      </c>
      <c r="N1652" s="42">
        <v>51.431234828972514</v>
      </c>
      <c r="O1652" s="43">
        <v>13797.166853414832</v>
      </c>
    </row>
    <row r="1653" spans="12:15" x14ac:dyDescent="0.2">
      <c r="L1653" s="4">
        <v>1647</v>
      </c>
      <c r="M1653" s="21">
        <v>-18516.23488477958</v>
      </c>
      <c r="N1653" s="42">
        <v>49.364711491045533</v>
      </c>
      <c r="O1653" s="43">
        <v>15126.961100171446</v>
      </c>
    </row>
    <row r="1654" spans="12:15" x14ac:dyDescent="0.2">
      <c r="L1654" s="4">
        <v>1648</v>
      </c>
      <c r="M1654" s="21">
        <v>-160223.85861849418</v>
      </c>
      <c r="N1654" s="42">
        <v>50.330344545564515</v>
      </c>
      <c r="O1654" s="43">
        <v>12685.783352602288</v>
      </c>
    </row>
    <row r="1655" spans="12:15" x14ac:dyDescent="0.2">
      <c r="L1655" s="4">
        <v>1649</v>
      </c>
      <c r="M1655" s="21">
        <v>-92510.247000839387</v>
      </c>
      <c r="N1655" s="42">
        <v>51.279621547608386</v>
      </c>
      <c r="O1655" s="43">
        <v>13882.623273311212</v>
      </c>
    </row>
    <row r="1656" spans="12:15" x14ac:dyDescent="0.2">
      <c r="L1656" s="4">
        <v>1650</v>
      </c>
      <c r="M1656" s="21">
        <v>102496.24432448833</v>
      </c>
      <c r="N1656" s="42">
        <v>51.507844766490116</v>
      </c>
      <c r="O1656" s="43">
        <v>14363.424510755698</v>
      </c>
    </row>
    <row r="1657" spans="12:15" x14ac:dyDescent="0.2">
      <c r="L1657" s="4">
        <v>1651</v>
      </c>
      <c r="M1657" s="21">
        <v>-130390.94684292862</v>
      </c>
      <c r="N1657" s="42">
        <v>47.597997021623456</v>
      </c>
      <c r="O1657" s="43">
        <v>16109.133650453967</v>
      </c>
    </row>
    <row r="1658" spans="12:15" x14ac:dyDescent="0.2">
      <c r="L1658" s="4">
        <v>1652</v>
      </c>
      <c r="M1658" s="21">
        <v>-523.08487560365757</v>
      </c>
      <c r="N1658" s="42">
        <v>47.95542819912643</v>
      </c>
      <c r="O1658" s="43">
        <v>16243.011941343722</v>
      </c>
    </row>
    <row r="1659" spans="12:15" x14ac:dyDescent="0.2">
      <c r="L1659" s="4">
        <v>1653</v>
      </c>
      <c r="M1659" s="21">
        <v>53331.309824219497</v>
      </c>
      <c r="N1659" s="42">
        <v>51.048328410630027</v>
      </c>
      <c r="O1659" s="43">
        <v>14289.28215470877</v>
      </c>
    </row>
    <row r="1660" spans="12:15" x14ac:dyDescent="0.2">
      <c r="L1660" s="4">
        <v>1654</v>
      </c>
      <c r="M1660" s="21">
        <v>-214497.9891469662</v>
      </c>
      <c r="N1660" s="42">
        <v>50.820059017504754</v>
      </c>
      <c r="O1660" s="43">
        <v>11366.226538561101</v>
      </c>
    </row>
    <row r="1661" spans="12:15" x14ac:dyDescent="0.2">
      <c r="L1661" s="4">
        <v>1655</v>
      </c>
      <c r="M1661" s="21">
        <v>125847.36547800887</v>
      </c>
      <c r="N1661" s="42">
        <v>51.07963452167553</v>
      </c>
      <c r="O1661" s="43">
        <v>15958.680656138591</v>
      </c>
    </row>
    <row r="1662" spans="12:15" x14ac:dyDescent="0.2">
      <c r="L1662" s="4">
        <v>1656</v>
      </c>
      <c r="M1662" s="21">
        <v>-98193.91985030676</v>
      </c>
      <c r="N1662" s="42">
        <v>46.959598420136757</v>
      </c>
      <c r="O1662" s="43">
        <v>16276.038332745442</v>
      </c>
    </row>
    <row r="1663" spans="12:15" x14ac:dyDescent="0.2">
      <c r="L1663" s="4">
        <v>1657</v>
      </c>
      <c r="M1663" s="21">
        <v>-44784.384411400504</v>
      </c>
      <c r="N1663" s="42">
        <v>45.590997593782099</v>
      </c>
      <c r="O1663" s="43">
        <v>18134.984767339123</v>
      </c>
    </row>
    <row r="1664" spans="12:15" x14ac:dyDescent="0.2">
      <c r="L1664" s="4">
        <v>1658</v>
      </c>
      <c r="M1664" s="21">
        <v>150405.86582797059</v>
      </c>
      <c r="N1664" s="42">
        <v>49.481400397801622</v>
      </c>
      <c r="O1664" s="43">
        <v>15771.80959061379</v>
      </c>
    </row>
    <row r="1665" spans="12:15" x14ac:dyDescent="0.2">
      <c r="L1665" s="4">
        <v>1659</v>
      </c>
      <c r="M1665" s="21">
        <v>-84559.954249666087</v>
      </c>
      <c r="N1665" s="42">
        <v>48.238412350542227</v>
      </c>
      <c r="O1665" s="43">
        <v>15086.097595297864</v>
      </c>
    </row>
    <row r="1666" spans="12:15" x14ac:dyDescent="0.2">
      <c r="L1666" s="4">
        <v>1660</v>
      </c>
      <c r="M1666" s="21">
        <v>320278.7567823244</v>
      </c>
      <c r="N1666" s="42">
        <v>51.395648749419379</v>
      </c>
      <c r="O1666" s="43">
        <v>16630.989293025108</v>
      </c>
    </row>
    <row r="1667" spans="12:15" x14ac:dyDescent="0.2">
      <c r="L1667" s="4">
        <v>1661</v>
      </c>
      <c r="M1667" s="21">
        <v>-120467.1154396194</v>
      </c>
      <c r="N1667" s="42">
        <v>47.882226493227016</v>
      </c>
      <c r="O1667" s="43">
        <v>16039.866938182686</v>
      </c>
    </row>
    <row r="1668" spans="12:15" x14ac:dyDescent="0.2">
      <c r="L1668" s="4">
        <v>1662</v>
      </c>
      <c r="M1668" s="21">
        <v>-11416.853335685926</v>
      </c>
      <c r="N1668" s="42">
        <v>49.648521310864673</v>
      </c>
      <c r="O1668" s="43">
        <v>13558.253006873296</v>
      </c>
    </row>
    <row r="1669" spans="12:15" x14ac:dyDescent="0.2">
      <c r="L1669" s="4">
        <v>1663</v>
      </c>
      <c r="M1669" s="21">
        <v>216328.64422885724</v>
      </c>
      <c r="N1669" s="42">
        <v>48.477106051188429</v>
      </c>
      <c r="O1669" s="43">
        <v>17772.035656916967</v>
      </c>
    </row>
    <row r="1670" spans="12:15" x14ac:dyDescent="0.2">
      <c r="L1670" s="4">
        <v>1664</v>
      </c>
      <c r="M1670" s="21">
        <v>15274.475380068063</v>
      </c>
      <c r="N1670" s="42">
        <v>50.005222249818843</v>
      </c>
      <c r="O1670" s="43">
        <v>14804.400972638035</v>
      </c>
    </row>
    <row r="1671" spans="12:15" x14ac:dyDescent="0.2">
      <c r="L1671" s="4">
        <v>1665</v>
      </c>
      <c r="M1671" s="21">
        <v>103072.30570938654</v>
      </c>
      <c r="N1671" s="42">
        <v>50.144406138266703</v>
      </c>
      <c r="O1671" s="43">
        <v>15409.274061974536</v>
      </c>
    </row>
    <row r="1672" spans="12:15" x14ac:dyDescent="0.2">
      <c r="L1672" s="4">
        <v>1666</v>
      </c>
      <c r="M1672" s="21">
        <v>-20101.313320514149</v>
      </c>
      <c r="N1672" s="42">
        <v>45.929462676087013</v>
      </c>
      <c r="O1672" s="43">
        <v>17888.992565621993</v>
      </c>
    </row>
    <row r="1673" spans="12:15" x14ac:dyDescent="0.2">
      <c r="L1673" s="4">
        <v>1667</v>
      </c>
      <c r="M1673" s="21">
        <v>-130695.02947578942</v>
      </c>
      <c r="N1673" s="42">
        <v>49.638548698341012</v>
      </c>
      <c r="O1673" s="43">
        <v>14556.824274060164</v>
      </c>
    </row>
    <row r="1674" spans="12:15" x14ac:dyDescent="0.2">
      <c r="L1674" s="4">
        <v>1668</v>
      </c>
      <c r="M1674" s="21">
        <v>-62583.993173823983</v>
      </c>
      <c r="N1674" s="42">
        <v>49.606573477316537</v>
      </c>
      <c r="O1674" s="43">
        <v>13912.039495401654</v>
      </c>
    </row>
    <row r="1675" spans="12:15" x14ac:dyDescent="0.2">
      <c r="L1675" s="4">
        <v>1669</v>
      </c>
      <c r="M1675" s="21">
        <v>-94907.924371724337</v>
      </c>
      <c r="N1675" s="42">
        <v>48.050482858313984</v>
      </c>
      <c r="O1675" s="43">
        <v>14873.802732972521</v>
      </c>
    </row>
    <row r="1676" spans="12:15" x14ac:dyDescent="0.2">
      <c r="L1676" s="4">
        <v>1670</v>
      </c>
      <c r="M1676" s="21">
        <v>8649.9644312402233</v>
      </c>
      <c r="N1676" s="42">
        <v>47.768054062018948</v>
      </c>
      <c r="O1676" s="43">
        <v>15555.736424858716</v>
      </c>
    </row>
    <row r="1677" spans="12:15" x14ac:dyDescent="0.2">
      <c r="L1677" s="4">
        <v>1671</v>
      </c>
      <c r="M1677" s="21">
        <v>155687.8446035714</v>
      </c>
      <c r="N1677" s="42">
        <v>50.963284498169507</v>
      </c>
      <c r="O1677" s="43">
        <v>15792.854302132548</v>
      </c>
    </row>
    <row r="1678" spans="12:15" x14ac:dyDescent="0.2">
      <c r="L1678" s="4">
        <v>1672</v>
      </c>
      <c r="M1678" s="21">
        <v>-3458.1449534255516</v>
      </c>
      <c r="N1678" s="42">
        <v>47.977057317241567</v>
      </c>
      <c r="O1678" s="43">
        <v>14910.656060945608</v>
      </c>
    </row>
    <row r="1679" spans="12:15" x14ac:dyDescent="0.2">
      <c r="L1679" s="4">
        <v>1673</v>
      </c>
      <c r="M1679" s="21">
        <v>-133139.55410832516</v>
      </c>
      <c r="N1679" s="42">
        <v>50.433263102627372</v>
      </c>
      <c r="O1679" s="43">
        <v>13202.927338646607</v>
      </c>
    </row>
    <row r="1680" spans="12:15" x14ac:dyDescent="0.2">
      <c r="L1680" s="4">
        <v>1674</v>
      </c>
      <c r="M1680" s="21">
        <v>-169154.94243207129</v>
      </c>
      <c r="N1680" s="42">
        <v>47.339133395285693</v>
      </c>
      <c r="O1680" s="43">
        <v>14099.854189815909</v>
      </c>
    </row>
    <row r="1681" spans="12:15" x14ac:dyDescent="0.2">
      <c r="L1681" s="4">
        <v>1675</v>
      </c>
      <c r="M1681" s="21">
        <v>108647.30338166919</v>
      </c>
      <c r="N1681" s="42">
        <v>51.376756984641226</v>
      </c>
      <c r="O1681" s="43">
        <v>14263.770660427797</v>
      </c>
    </row>
    <row r="1682" spans="12:15" x14ac:dyDescent="0.2">
      <c r="L1682" s="4">
        <v>1676</v>
      </c>
      <c r="M1682" s="21">
        <v>-129312.36323866242</v>
      </c>
      <c r="N1682" s="42">
        <v>48.050017465569297</v>
      </c>
      <c r="O1682" s="43">
        <v>15108.815152661999</v>
      </c>
    </row>
    <row r="1683" spans="12:15" x14ac:dyDescent="0.2">
      <c r="L1683" s="4">
        <v>1677</v>
      </c>
      <c r="M1683" s="21">
        <v>18852.026118912996</v>
      </c>
      <c r="N1683" s="42">
        <v>50.65907501583397</v>
      </c>
      <c r="O1683" s="43">
        <v>13683.489795772895</v>
      </c>
    </row>
    <row r="1684" spans="12:15" x14ac:dyDescent="0.2">
      <c r="L1684" s="4">
        <v>1678</v>
      </c>
      <c r="M1684" s="21">
        <v>972.56254765024642</v>
      </c>
      <c r="N1684" s="42">
        <v>49.900567642675007</v>
      </c>
      <c r="O1684" s="43">
        <v>14759.549971730068</v>
      </c>
    </row>
    <row r="1685" spans="12:15" x14ac:dyDescent="0.2">
      <c r="L1685" s="4">
        <v>1679</v>
      </c>
      <c r="M1685" s="21">
        <v>199468.41046042915</v>
      </c>
      <c r="N1685" s="42">
        <v>51.601105333778698</v>
      </c>
      <c r="O1685" s="43">
        <v>15572.205844012413</v>
      </c>
    </row>
    <row r="1686" spans="12:15" x14ac:dyDescent="0.2">
      <c r="L1686" s="4">
        <v>1680</v>
      </c>
      <c r="M1686" s="21">
        <v>-89618.412242629391</v>
      </c>
      <c r="N1686" s="42">
        <v>49.425479170526067</v>
      </c>
      <c r="O1686" s="43">
        <v>15587.508697410174</v>
      </c>
    </row>
    <row r="1687" spans="12:15" x14ac:dyDescent="0.2">
      <c r="L1687" s="4">
        <v>1681</v>
      </c>
      <c r="M1687" s="21">
        <v>58796.103696428734</v>
      </c>
      <c r="N1687" s="42">
        <v>50.000417698348272</v>
      </c>
      <c r="O1687" s="43">
        <v>15925.769206684166</v>
      </c>
    </row>
    <row r="1688" spans="12:15" x14ac:dyDescent="0.2">
      <c r="L1688" s="4">
        <v>1682</v>
      </c>
      <c r="M1688" s="21">
        <v>-23888.052016313362</v>
      </c>
      <c r="N1688" s="42">
        <v>48.585144296073153</v>
      </c>
      <c r="O1688" s="43">
        <v>17626.367110928644</v>
      </c>
    </row>
    <row r="1689" spans="12:15" x14ac:dyDescent="0.2">
      <c r="L1689" s="4">
        <v>1683</v>
      </c>
      <c r="M1689" s="21">
        <v>-230804.50863887358</v>
      </c>
      <c r="N1689" s="42">
        <v>48.850898643775629</v>
      </c>
      <c r="O1689" s="43">
        <v>12950.780316091685</v>
      </c>
    </row>
    <row r="1690" spans="12:15" x14ac:dyDescent="0.2">
      <c r="L1690" s="4">
        <v>1684</v>
      </c>
      <c r="M1690" s="21">
        <v>8567.5349469302455</v>
      </c>
      <c r="N1690" s="42">
        <v>50.310315427879985</v>
      </c>
      <c r="O1690" s="43">
        <v>13777.018725702444</v>
      </c>
    </row>
    <row r="1691" spans="12:15" x14ac:dyDescent="0.2">
      <c r="L1691" s="4">
        <v>1685</v>
      </c>
      <c r="M1691" s="21">
        <v>-107494.2412224147</v>
      </c>
      <c r="N1691" s="42">
        <v>50.780159812949094</v>
      </c>
      <c r="O1691" s="43">
        <v>12234.654060227311</v>
      </c>
    </row>
    <row r="1692" spans="12:15" x14ac:dyDescent="0.2">
      <c r="L1692" s="4">
        <v>1686</v>
      </c>
      <c r="M1692" s="21">
        <v>88519.375402690406</v>
      </c>
      <c r="N1692" s="42">
        <v>49.493474605192034</v>
      </c>
      <c r="O1692" s="43">
        <v>16565.680523274434</v>
      </c>
    </row>
    <row r="1693" spans="12:15" x14ac:dyDescent="0.2">
      <c r="L1693" s="4">
        <v>1687</v>
      </c>
      <c r="M1693" s="21">
        <v>10304.954859618068</v>
      </c>
      <c r="N1693" s="42">
        <v>48.561206279552344</v>
      </c>
      <c r="O1693" s="43">
        <v>15943.447461909302</v>
      </c>
    </row>
    <row r="1694" spans="12:15" x14ac:dyDescent="0.2">
      <c r="L1694" s="4">
        <v>1688</v>
      </c>
      <c r="M1694" s="21">
        <v>-65884.010738358993</v>
      </c>
      <c r="N1694" s="42">
        <v>50.76071936141193</v>
      </c>
      <c r="O1694" s="43">
        <v>13808.860580825054</v>
      </c>
    </row>
    <row r="1695" spans="12:15" x14ac:dyDescent="0.2">
      <c r="L1695" s="4">
        <v>1689</v>
      </c>
      <c r="M1695" s="21">
        <v>-20043.907610520866</v>
      </c>
      <c r="N1695" s="42">
        <v>49.897847518567403</v>
      </c>
      <c r="O1695" s="43">
        <v>15195.659085727548</v>
      </c>
    </row>
    <row r="1696" spans="12:15" x14ac:dyDescent="0.2">
      <c r="L1696" s="4">
        <v>1690</v>
      </c>
      <c r="M1696" s="21">
        <v>-114295.48347218127</v>
      </c>
      <c r="N1696" s="42">
        <v>48.437428302412322</v>
      </c>
      <c r="O1696" s="43">
        <v>15090.878856612397</v>
      </c>
    </row>
    <row r="1697" spans="12:15" x14ac:dyDescent="0.2">
      <c r="L1697" s="4">
        <v>1691</v>
      </c>
      <c r="M1697" s="21">
        <v>-156908.13910669077</v>
      </c>
      <c r="N1697" s="42">
        <v>48.828222635049812</v>
      </c>
      <c r="O1697" s="43">
        <v>14844.886501909874</v>
      </c>
    </row>
    <row r="1698" spans="12:15" x14ac:dyDescent="0.2">
      <c r="L1698" s="4">
        <v>1692</v>
      </c>
      <c r="M1698" s="21">
        <v>36133.291581542842</v>
      </c>
      <c r="N1698" s="42">
        <v>51.086191626983585</v>
      </c>
      <c r="O1698" s="43">
        <v>13874.243602231243</v>
      </c>
    </row>
    <row r="1699" spans="12:15" x14ac:dyDescent="0.2">
      <c r="L1699" s="4">
        <v>1693</v>
      </c>
      <c r="M1699" s="21">
        <v>16819.191322149272</v>
      </c>
      <c r="N1699" s="42">
        <v>50.702236798616703</v>
      </c>
      <c r="O1699" s="43">
        <v>14667.424328471528</v>
      </c>
    </row>
    <row r="1700" spans="12:15" x14ac:dyDescent="0.2">
      <c r="L1700" s="4">
        <v>1694</v>
      </c>
      <c r="M1700" s="21">
        <v>-176292.08537642105</v>
      </c>
      <c r="N1700" s="42">
        <v>47.506403402255479</v>
      </c>
      <c r="O1700" s="43">
        <v>15115.898099268958</v>
      </c>
    </row>
    <row r="1701" spans="12:15" x14ac:dyDescent="0.2">
      <c r="L1701" s="4">
        <v>1695</v>
      </c>
      <c r="M1701" s="21">
        <v>21255.900771953369</v>
      </c>
      <c r="N1701" s="42">
        <v>50.840028500007904</v>
      </c>
      <c r="O1701" s="43">
        <v>13335.801774232839</v>
      </c>
    </row>
    <row r="1702" spans="12:15" x14ac:dyDescent="0.2">
      <c r="L1702" s="4">
        <v>1696</v>
      </c>
      <c r="M1702" s="21">
        <v>-68013.249538279997</v>
      </c>
      <c r="N1702" s="42">
        <v>47.026214393756916</v>
      </c>
      <c r="O1702" s="43">
        <v>16501.519788258305</v>
      </c>
    </row>
    <row r="1703" spans="12:15" x14ac:dyDescent="0.2">
      <c r="L1703" s="4">
        <v>1697</v>
      </c>
      <c r="M1703" s="21">
        <v>-131347.62517834664</v>
      </c>
      <c r="N1703" s="42">
        <v>49.520860252755547</v>
      </c>
      <c r="O1703" s="43">
        <v>14129.26796954077</v>
      </c>
    </row>
    <row r="1704" spans="12:15" x14ac:dyDescent="0.2">
      <c r="L1704" s="4">
        <v>1698</v>
      </c>
      <c r="M1704" s="21">
        <v>24354.055116746662</v>
      </c>
      <c r="N1704" s="42">
        <v>47.138566818132432</v>
      </c>
      <c r="O1704" s="43">
        <v>18475.093162002173</v>
      </c>
    </row>
    <row r="1705" spans="12:15" x14ac:dyDescent="0.2">
      <c r="L1705" s="4">
        <v>1699</v>
      </c>
      <c r="M1705" s="21">
        <v>100320.97936976861</v>
      </c>
      <c r="N1705" s="42">
        <v>49.020682768455899</v>
      </c>
      <c r="O1705" s="43">
        <v>16651.491292502586</v>
      </c>
    </row>
    <row r="1706" spans="12:15" x14ac:dyDescent="0.2">
      <c r="L1706" s="4">
        <v>1700</v>
      </c>
      <c r="M1706" s="21">
        <v>-28570.480462384774</v>
      </c>
      <c r="N1706" s="42">
        <v>50.367686162233653</v>
      </c>
      <c r="O1706" s="43">
        <v>13253.197745566518</v>
      </c>
    </row>
    <row r="1707" spans="12:15" x14ac:dyDescent="0.2">
      <c r="L1707" s="4">
        <v>1701</v>
      </c>
      <c r="M1707" s="21">
        <v>36170.585528755706</v>
      </c>
      <c r="N1707" s="42">
        <v>47.867334110403498</v>
      </c>
      <c r="O1707" s="43">
        <v>17675.122750565395</v>
      </c>
    </row>
    <row r="1708" spans="12:15" x14ac:dyDescent="0.2">
      <c r="L1708" s="4">
        <v>1702</v>
      </c>
      <c r="M1708" s="21">
        <v>-11969.722418141726</v>
      </c>
      <c r="N1708" s="42">
        <v>48.557738668774682</v>
      </c>
      <c r="O1708" s="43">
        <v>16292.813155736803</v>
      </c>
    </row>
    <row r="1709" spans="12:15" x14ac:dyDescent="0.2">
      <c r="L1709" s="4">
        <v>1703</v>
      </c>
      <c r="M1709" s="21">
        <v>223381.82213582812</v>
      </c>
      <c r="N1709" s="42">
        <v>49.809650947276303</v>
      </c>
      <c r="O1709" s="43">
        <v>15707.185342837543</v>
      </c>
    </row>
    <row r="1710" spans="12:15" x14ac:dyDescent="0.2">
      <c r="L1710" s="4">
        <v>1704</v>
      </c>
      <c r="M1710" s="21">
        <v>-310695.53497358673</v>
      </c>
      <c r="N1710" s="42">
        <v>51.433399660390002</v>
      </c>
      <c r="O1710" s="43">
        <v>8917.1015268032425</v>
      </c>
    </row>
    <row r="1711" spans="12:15" x14ac:dyDescent="0.2">
      <c r="L1711" s="4">
        <v>1705</v>
      </c>
      <c r="M1711" s="21">
        <v>-58511.148063828805</v>
      </c>
      <c r="N1711" s="42">
        <v>49.830552852436476</v>
      </c>
      <c r="O1711" s="43">
        <v>13423.437614422488</v>
      </c>
    </row>
    <row r="1712" spans="12:15" x14ac:dyDescent="0.2">
      <c r="L1712" s="4">
        <v>1706</v>
      </c>
      <c r="M1712" s="21">
        <v>-105235.60921298408</v>
      </c>
      <c r="N1712" s="42">
        <v>48.036947799119844</v>
      </c>
      <c r="O1712" s="43">
        <v>14919.699453293768</v>
      </c>
    </row>
    <row r="1713" spans="12:15" x14ac:dyDescent="0.2">
      <c r="L1713" s="4">
        <v>1707</v>
      </c>
      <c r="M1713" s="21">
        <v>219574.94931976995</v>
      </c>
      <c r="N1713" s="42">
        <v>49.943445396875902</v>
      </c>
      <c r="O1713" s="43">
        <v>15428.0295004114</v>
      </c>
    </row>
    <row r="1714" spans="12:15" x14ac:dyDescent="0.2">
      <c r="L1714" s="4">
        <v>1708</v>
      </c>
      <c r="M1714" s="21">
        <v>-59313.74493204696</v>
      </c>
      <c r="N1714" s="42">
        <v>49.32687437084099</v>
      </c>
      <c r="O1714" s="43">
        <v>14182.056413079685</v>
      </c>
    </row>
    <row r="1715" spans="12:15" x14ac:dyDescent="0.2">
      <c r="L1715" s="4">
        <v>1709</v>
      </c>
      <c r="M1715" s="21">
        <v>-25064.526543662607</v>
      </c>
      <c r="N1715" s="42">
        <v>51.352852779764419</v>
      </c>
      <c r="O1715" s="43">
        <v>12888.154517374585</v>
      </c>
    </row>
    <row r="1716" spans="12:15" x14ac:dyDescent="0.2">
      <c r="L1716" s="4">
        <v>1710</v>
      </c>
      <c r="M1716" s="21">
        <v>144176.34032505061</v>
      </c>
      <c r="N1716" s="42">
        <v>48.548525975125415</v>
      </c>
      <c r="O1716" s="43">
        <v>15822.209877023033</v>
      </c>
    </row>
    <row r="1717" spans="12:15" x14ac:dyDescent="0.2">
      <c r="L1717" s="4">
        <v>1711</v>
      </c>
      <c r="M1717" s="21">
        <v>77874.299346848187</v>
      </c>
      <c r="N1717" s="42">
        <v>50.162373605113899</v>
      </c>
      <c r="O1717" s="43">
        <v>16860.600397814815</v>
      </c>
    </row>
    <row r="1718" spans="12:15" x14ac:dyDescent="0.2">
      <c r="L1718" s="4">
        <v>1712</v>
      </c>
      <c r="M1718" s="21">
        <v>-51777.743437057303</v>
      </c>
      <c r="N1718" s="42">
        <v>47.88940616879021</v>
      </c>
      <c r="O1718" s="43">
        <v>16606.341945425014</v>
      </c>
    </row>
    <row r="1719" spans="12:15" x14ac:dyDescent="0.2">
      <c r="L1719" s="4">
        <v>1713</v>
      </c>
      <c r="M1719" s="21">
        <v>-65476.452675300359</v>
      </c>
      <c r="N1719" s="42">
        <v>48.343440680110099</v>
      </c>
      <c r="O1719" s="43">
        <v>15450.889169534419</v>
      </c>
    </row>
    <row r="1720" spans="12:15" x14ac:dyDescent="0.2">
      <c r="L1720" s="4">
        <v>1714</v>
      </c>
      <c r="M1720" s="21">
        <v>-59245.890694517177</v>
      </c>
      <c r="N1720" s="42">
        <v>51.176872017167412</v>
      </c>
      <c r="O1720" s="43">
        <v>12636.790731615371</v>
      </c>
    </row>
    <row r="1721" spans="12:15" x14ac:dyDescent="0.2">
      <c r="L1721" s="4">
        <v>1715</v>
      </c>
      <c r="M1721" s="21">
        <v>-234470.20966744225</v>
      </c>
      <c r="N1721" s="42">
        <v>46.376159728214525</v>
      </c>
      <c r="O1721" s="43">
        <v>14494.126353891883</v>
      </c>
    </row>
    <row r="1722" spans="12:15" x14ac:dyDescent="0.2">
      <c r="L1722" s="4">
        <v>1716</v>
      </c>
      <c r="M1722" s="21">
        <v>-272356.25229773176</v>
      </c>
      <c r="N1722" s="42">
        <v>50.00380624175456</v>
      </c>
      <c r="O1722" s="43">
        <v>11280.228943051035</v>
      </c>
    </row>
    <row r="1723" spans="12:15" x14ac:dyDescent="0.2">
      <c r="L1723" s="4">
        <v>1717</v>
      </c>
      <c r="M1723" s="21">
        <v>-118551.24463279535</v>
      </c>
      <c r="N1723" s="42">
        <v>47.95732789273552</v>
      </c>
      <c r="O1723" s="43">
        <v>14693.987921077956</v>
      </c>
    </row>
    <row r="1724" spans="12:15" x14ac:dyDescent="0.2">
      <c r="L1724" s="4">
        <v>1718</v>
      </c>
      <c r="M1724" s="21">
        <v>78300.986545075139</v>
      </c>
      <c r="N1724" s="42">
        <v>51.402249275397885</v>
      </c>
      <c r="O1724" s="43">
        <v>12951.292260750246</v>
      </c>
    </row>
    <row r="1725" spans="12:15" x14ac:dyDescent="0.2">
      <c r="L1725" s="4">
        <v>1719</v>
      </c>
      <c r="M1725" s="21">
        <v>-83364.857761335632</v>
      </c>
      <c r="N1725" s="42">
        <v>50.848556898113884</v>
      </c>
      <c r="O1725" s="43">
        <v>13921.061425912309</v>
      </c>
    </row>
    <row r="1726" spans="12:15" x14ac:dyDescent="0.2">
      <c r="L1726" s="4">
        <v>1720</v>
      </c>
      <c r="M1726" s="21">
        <v>-140271.16924145498</v>
      </c>
      <c r="N1726" s="42">
        <v>49.209924092289981</v>
      </c>
      <c r="O1726" s="43">
        <v>13560.329278852512</v>
      </c>
    </row>
    <row r="1727" spans="12:15" x14ac:dyDescent="0.2">
      <c r="L1727" s="4">
        <v>1721</v>
      </c>
      <c r="M1727" s="21">
        <v>-16402.772797164231</v>
      </c>
      <c r="N1727" s="42">
        <v>48.249135591159444</v>
      </c>
      <c r="O1727" s="43">
        <v>16151.20887341963</v>
      </c>
    </row>
    <row r="1728" spans="12:15" x14ac:dyDescent="0.2">
      <c r="L1728" s="4">
        <v>1722</v>
      </c>
      <c r="M1728" s="21">
        <v>43283.346271234041</v>
      </c>
      <c r="N1728" s="42">
        <v>48.29399805101378</v>
      </c>
      <c r="O1728" s="43">
        <v>16510.36588762176</v>
      </c>
    </row>
    <row r="1729" spans="12:15" x14ac:dyDescent="0.2">
      <c r="L1729" s="4">
        <v>1723</v>
      </c>
      <c r="M1729" s="21">
        <v>68468.620907991746</v>
      </c>
      <c r="N1729" s="42">
        <v>46.277076491630901</v>
      </c>
      <c r="O1729" s="43">
        <v>18181.030198202679</v>
      </c>
    </row>
    <row r="1730" spans="12:15" x14ac:dyDescent="0.2">
      <c r="L1730" s="4">
        <v>1724</v>
      </c>
      <c r="M1730" s="21">
        <v>-166952.49751812243</v>
      </c>
      <c r="N1730" s="42">
        <v>51.473307519647136</v>
      </c>
      <c r="O1730" s="43">
        <v>11529.363079562778</v>
      </c>
    </row>
    <row r="1731" spans="12:15" x14ac:dyDescent="0.2">
      <c r="L1731" s="4">
        <v>1725</v>
      </c>
      <c r="M1731" s="21">
        <v>53576.472838332556</v>
      </c>
      <c r="N1731" s="42">
        <v>49.790144713533735</v>
      </c>
      <c r="O1731" s="43">
        <v>15026.705715680771</v>
      </c>
    </row>
    <row r="1732" spans="12:15" x14ac:dyDescent="0.2">
      <c r="L1732" s="4">
        <v>1726</v>
      </c>
      <c r="M1732" s="21">
        <v>51929.946632098872</v>
      </c>
      <c r="N1732" s="42">
        <v>48.657039125131298</v>
      </c>
      <c r="O1732" s="43">
        <v>16568.72651887505</v>
      </c>
    </row>
    <row r="1733" spans="12:15" x14ac:dyDescent="0.2">
      <c r="L1733" s="4">
        <v>1727</v>
      </c>
      <c r="M1733" s="21">
        <v>149923.26464406418</v>
      </c>
      <c r="N1733" s="42">
        <v>48.958123773906209</v>
      </c>
      <c r="O1733" s="43">
        <v>15971.5385036023</v>
      </c>
    </row>
    <row r="1734" spans="12:15" x14ac:dyDescent="0.2">
      <c r="L1734" s="4">
        <v>1728</v>
      </c>
      <c r="M1734" s="21">
        <v>163087.7654746169</v>
      </c>
      <c r="N1734" s="42">
        <v>49.631802200400443</v>
      </c>
      <c r="O1734" s="43">
        <v>15832.542911272225</v>
      </c>
    </row>
    <row r="1735" spans="12:15" x14ac:dyDescent="0.2">
      <c r="L1735" s="4">
        <v>1729</v>
      </c>
      <c r="M1735" s="21">
        <v>-147162.68303935661</v>
      </c>
      <c r="N1735" s="42">
        <v>47.871671911575817</v>
      </c>
      <c r="O1735" s="43">
        <v>14961.468082728885</v>
      </c>
    </row>
    <row r="1736" spans="12:15" x14ac:dyDescent="0.2">
      <c r="L1736" s="4">
        <v>1730</v>
      </c>
      <c r="M1736" s="21">
        <v>-81701.285237048345</v>
      </c>
      <c r="N1736" s="42">
        <v>50.491999206459695</v>
      </c>
      <c r="O1736" s="43">
        <v>14524.008510011176</v>
      </c>
    </row>
    <row r="1737" spans="12:15" x14ac:dyDescent="0.2">
      <c r="L1737" s="4">
        <v>1731</v>
      </c>
      <c r="M1737" s="21">
        <v>98111.903073032503</v>
      </c>
      <c r="N1737" s="42">
        <v>50.754305380700529</v>
      </c>
      <c r="O1737" s="43">
        <v>15124.233371857819</v>
      </c>
    </row>
    <row r="1738" spans="12:15" x14ac:dyDescent="0.2">
      <c r="L1738" s="4">
        <v>1732</v>
      </c>
      <c r="M1738" s="21">
        <v>82239.86285793173</v>
      </c>
      <c r="N1738" s="42">
        <v>49.211932239894423</v>
      </c>
      <c r="O1738" s="43">
        <v>16437.744360328918</v>
      </c>
    </row>
    <row r="1739" spans="12:15" x14ac:dyDescent="0.2">
      <c r="L1739" s="4">
        <v>1733</v>
      </c>
      <c r="M1739" s="21">
        <v>-63318.067921478665</v>
      </c>
      <c r="N1739" s="42">
        <v>46.595191841363309</v>
      </c>
      <c r="O1739" s="43">
        <v>18723.24441854145</v>
      </c>
    </row>
    <row r="1740" spans="12:15" x14ac:dyDescent="0.2">
      <c r="L1740" s="4">
        <v>1734</v>
      </c>
      <c r="M1740" s="21">
        <v>-124286.51623082337</v>
      </c>
      <c r="N1740" s="42">
        <v>50.906448100720418</v>
      </c>
      <c r="O1740" s="43">
        <v>12787.145397001856</v>
      </c>
    </row>
    <row r="1741" spans="12:15" x14ac:dyDescent="0.2">
      <c r="L1741" s="4">
        <v>1735</v>
      </c>
      <c r="M1741" s="21">
        <v>42185.683784614812</v>
      </c>
      <c r="N1741" s="42">
        <v>48.883286732821418</v>
      </c>
      <c r="O1741" s="43">
        <v>17229.393059581227</v>
      </c>
    </row>
    <row r="1742" spans="12:15" x14ac:dyDescent="0.2">
      <c r="L1742" s="4">
        <v>1736</v>
      </c>
      <c r="M1742" s="21">
        <v>28618.846746031923</v>
      </c>
      <c r="N1742" s="42">
        <v>50.439399128045658</v>
      </c>
      <c r="O1742" s="43">
        <v>14477.663414658231</v>
      </c>
    </row>
    <row r="1743" spans="12:15" x14ac:dyDescent="0.2">
      <c r="L1743" s="4">
        <v>1737</v>
      </c>
      <c r="M1743" s="21">
        <v>-67395.774681438066</v>
      </c>
      <c r="N1743" s="42">
        <v>49.423234535130348</v>
      </c>
      <c r="O1743" s="43">
        <v>14887.830226463429</v>
      </c>
    </row>
    <row r="1744" spans="12:15" x14ac:dyDescent="0.2">
      <c r="L1744" s="4">
        <v>1738</v>
      </c>
      <c r="M1744" s="21">
        <v>172387.64397338091</v>
      </c>
      <c r="N1744" s="42">
        <v>50.341246193348383</v>
      </c>
      <c r="O1744" s="43">
        <v>16057.12621811825</v>
      </c>
    </row>
    <row r="1745" spans="12:15" x14ac:dyDescent="0.2">
      <c r="L1745" s="4">
        <v>1739</v>
      </c>
      <c r="M1745" s="21">
        <v>49521.825099848211</v>
      </c>
      <c r="N1745" s="42">
        <v>51.331659875192265</v>
      </c>
      <c r="O1745" s="43">
        <v>13559.781457270234</v>
      </c>
    </row>
    <row r="1746" spans="12:15" x14ac:dyDescent="0.2">
      <c r="L1746" s="4">
        <v>1740</v>
      </c>
      <c r="M1746" s="21">
        <v>-18127.011533242694</v>
      </c>
      <c r="N1746" s="42">
        <v>48.670120791036545</v>
      </c>
      <c r="O1746" s="43">
        <v>15765.60368945236</v>
      </c>
    </row>
    <row r="1747" spans="12:15" x14ac:dyDescent="0.2">
      <c r="L1747" s="4">
        <v>1741</v>
      </c>
      <c r="M1747" s="21">
        <v>91468.913624370558</v>
      </c>
      <c r="N1747" s="42">
        <v>50.721392038380444</v>
      </c>
      <c r="O1747" s="43">
        <v>15855.599925059085</v>
      </c>
    </row>
    <row r="1748" spans="12:15" x14ac:dyDescent="0.2">
      <c r="L1748" s="4">
        <v>1742</v>
      </c>
      <c r="M1748" s="21">
        <v>43685.61181026444</v>
      </c>
      <c r="N1748" s="42">
        <v>51.278780796118916</v>
      </c>
      <c r="O1748" s="43">
        <v>14469.680861719475</v>
      </c>
    </row>
    <row r="1749" spans="12:15" x14ac:dyDescent="0.2">
      <c r="L1749" s="4">
        <v>1743</v>
      </c>
      <c r="M1749" s="21">
        <v>47614.561702187231</v>
      </c>
      <c r="N1749" s="42">
        <v>49.032304721850721</v>
      </c>
      <c r="O1749" s="43">
        <v>16501.867736593213</v>
      </c>
    </row>
    <row r="1750" spans="12:15" x14ac:dyDescent="0.2">
      <c r="L1750" s="4">
        <v>1744</v>
      </c>
      <c r="M1750" s="21">
        <v>-11672.977681797463</v>
      </c>
      <c r="N1750" s="42">
        <v>49.268782160112117</v>
      </c>
      <c r="O1750" s="43">
        <v>15506.657736142852</v>
      </c>
    </row>
    <row r="1751" spans="12:15" x14ac:dyDescent="0.2">
      <c r="L1751" s="4">
        <v>1745</v>
      </c>
      <c r="M1751" s="21">
        <v>-54643.451879043903</v>
      </c>
      <c r="N1751" s="42">
        <v>50.587314799961909</v>
      </c>
      <c r="O1751" s="43">
        <v>13209.530704690616</v>
      </c>
    </row>
    <row r="1752" spans="12:15" x14ac:dyDescent="0.2">
      <c r="L1752" s="4">
        <v>1746</v>
      </c>
      <c r="M1752" s="21">
        <v>176449.50449659495</v>
      </c>
      <c r="N1752" s="42">
        <v>48.636072629288428</v>
      </c>
      <c r="O1752" s="43">
        <v>17215.733496599842</v>
      </c>
    </row>
    <row r="1753" spans="12:15" x14ac:dyDescent="0.2">
      <c r="L1753" s="4">
        <v>1747</v>
      </c>
      <c r="M1753" s="21">
        <v>-163167.46101258593</v>
      </c>
      <c r="N1753" s="42">
        <v>47.480142827059822</v>
      </c>
      <c r="O1753" s="43">
        <v>14270.703236725058</v>
      </c>
    </row>
    <row r="1754" spans="12:15" x14ac:dyDescent="0.2">
      <c r="L1754" s="4">
        <v>1748</v>
      </c>
      <c r="M1754" s="21">
        <v>65050.445301572268</v>
      </c>
      <c r="N1754" s="42">
        <v>50.084529837145297</v>
      </c>
      <c r="O1754" s="43">
        <v>14916.691845709211</v>
      </c>
    </row>
    <row r="1755" spans="12:15" x14ac:dyDescent="0.2">
      <c r="L1755" s="4">
        <v>1749</v>
      </c>
      <c r="M1755" s="21">
        <v>93877.837368211098</v>
      </c>
      <c r="N1755" s="42">
        <v>51.599818048298907</v>
      </c>
      <c r="O1755" s="43">
        <v>14257.088492602761</v>
      </c>
    </row>
    <row r="1756" spans="12:15" x14ac:dyDescent="0.2">
      <c r="L1756" s="4">
        <v>1750</v>
      </c>
      <c r="M1756" s="21">
        <v>172472.66079156738</v>
      </c>
      <c r="N1756" s="42">
        <v>51.257733756336293</v>
      </c>
      <c r="O1756" s="43">
        <v>15355.217569459452</v>
      </c>
    </row>
    <row r="1757" spans="12:15" x14ac:dyDescent="0.2">
      <c r="L1757" s="4">
        <v>1751</v>
      </c>
      <c r="M1757" s="21">
        <v>-185862.07617538964</v>
      </c>
      <c r="N1757" s="42">
        <v>48.514256623580941</v>
      </c>
      <c r="O1757" s="43">
        <v>13823.741052268524</v>
      </c>
    </row>
    <row r="1758" spans="12:15" x14ac:dyDescent="0.2">
      <c r="L1758" s="4">
        <v>1752</v>
      </c>
      <c r="M1758" s="21">
        <v>67769.799044309999</v>
      </c>
      <c r="N1758" s="42">
        <v>49.725187868715352</v>
      </c>
      <c r="O1758" s="43">
        <v>16715.054578074094</v>
      </c>
    </row>
    <row r="1759" spans="12:15" x14ac:dyDescent="0.2">
      <c r="L1759" s="4">
        <v>1753</v>
      </c>
      <c r="M1759" s="21">
        <v>-36157.422054226627</v>
      </c>
      <c r="N1759" s="42">
        <v>47.500867706811285</v>
      </c>
      <c r="O1759" s="43">
        <v>15544.831950756519</v>
      </c>
    </row>
    <row r="1760" spans="12:15" x14ac:dyDescent="0.2">
      <c r="L1760" s="4">
        <v>1754</v>
      </c>
      <c r="M1760" s="21">
        <v>-53078.949117280397</v>
      </c>
      <c r="N1760" s="42">
        <v>50.999724277240816</v>
      </c>
      <c r="O1760" s="43">
        <v>13202.42059216593</v>
      </c>
    </row>
    <row r="1761" spans="12:15" x14ac:dyDescent="0.2">
      <c r="L1761" s="4">
        <v>1755</v>
      </c>
      <c r="M1761" s="21">
        <v>74538.534049562615</v>
      </c>
      <c r="N1761" s="42">
        <v>48.821270772510729</v>
      </c>
      <c r="O1761" s="43">
        <v>15935.71783258066</v>
      </c>
    </row>
    <row r="1762" spans="12:15" x14ac:dyDescent="0.2">
      <c r="L1762" s="4">
        <v>1756</v>
      </c>
      <c r="M1762" s="21">
        <v>-80564.569245790612</v>
      </c>
      <c r="N1762" s="42">
        <v>48.062808024346083</v>
      </c>
      <c r="O1762" s="43">
        <v>15905.129229790826</v>
      </c>
    </row>
    <row r="1763" spans="12:15" x14ac:dyDescent="0.2">
      <c r="L1763" s="4">
        <v>1757</v>
      </c>
      <c r="M1763" s="21">
        <v>-113321.68439213024</v>
      </c>
      <c r="N1763" s="42">
        <v>49.102734886237059</v>
      </c>
      <c r="O1763" s="43">
        <v>14936.499892235093</v>
      </c>
    </row>
    <row r="1764" spans="12:15" x14ac:dyDescent="0.2">
      <c r="L1764" s="4">
        <v>1758</v>
      </c>
      <c r="M1764" s="21">
        <v>35145.578594775259</v>
      </c>
      <c r="N1764" s="42">
        <v>48.003129321882078</v>
      </c>
      <c r="O1764" s="43">
        <v>14989.80472117615</v>
      </c>
    </row>
    <row r="1765" spans="12:15" x14ac:dyDescent="0.2">
      <c r="L1765" s="4">
        <v>1759</v>
      </c>
      <c r="M1765" s="21">
        <v>-1479.6907750449318</v>
      </c>
      <c r="N1765" s="42">
        <v>50.683276142889923</v>
      </c>
      <c r="O1765" s="43">
        <v>15436.228009852815</v>
      </c>
    </row>
    <row r="1766" spans="12:15" x14ac:dyDescent="0.2">
      <c r="L1766" s="4">
        <v>1760</v>
      </c>
      <c r="M1766" s="21">
        <v>137194.34096069037</v>
      </c>
      <c r="N1766" s="42">
        <v>50.495326457486705</v>
      </c>
      <c r="O1766" s="43">
        <v>15669.437024724224</v>
      </c>
    </row>
    <row r="1767" spans="12:15" x14ac:dyDescent="0.2">
      <c r="L1767" s="4">
        <v>1761</v>
      </c>
      <c r="M1767" s="21">
        <v>-3911.5830414097873</v>
      </c>
      <c r="N1767" s="42">
        <v>49.25995204803236</v>
      </c>
      <c r="O1767" s="43">
        <v>14440.375505308497</v>
      </c>
    </row>
    <row r="1768" spans="12:15" x14ac:dyDescent="0.2">
      <c r="L1768" s="4">
        <v>1762</v>
      </c>
      <c r="M1768" s="21">
        <v>-19702.639346494849</v>
      </c>
      <c r="N1768" s="42">
        <v>48.804719876985601</v>
      </c>
      <c r="O1768" s="43">
        <v>15063.574068505035</v>
      </c>
    </row>
    <row r="1769" spans="12:15" x14ac:dyDescent="0.2">
      <c r="L1769" s="4">
        <v>1763</v>
      </c>
      <c r="M1769" s="21">
        <v>137489.15172859575</v>
      </c>
      <c r="N1769" s="42">
        <v>51.017014357802523</v>
      </c>
      <c r="O1769" s="43">
        <v>16027.055783136486</v>
      </c>
    </row>
    <row r="1770" spans="12:15" x14ac:dyDescent="0.2">
      <c r="L1770" s="4">
        <v>1764</v>
      </c>
      <c r="M1770" s="21">
        <v>-59184.337397441734</v>
      </c>
      <c r="N1770" s="42">
        <v>48.027044566297491</v>
      </c>
      <c r="O1770" s="43">
        <v>14967.053388294293</v>
      </c>
    </row>
    <row r="1771" spans="12:15" x14ac:dyDescent="0.2">
      <c r="L1771" s="4">
        <v>1765</v>
      </c>
      <c r="M1771" s="21">
        <v>-75995.396916380647</v>
      </c>
      <c r="N1771" s="42">
        <v>50.143181025757563</v>
      </c>
      <c r="O1771" s="43">
        <v>13813.961610238075</v>
      </c>
    </row>
    <row r="1772" spans="12:15" x14ac:dyDescent="0.2">
      <c r="L1772" s="4">
        <v>1766</v>
      </c>
      <c r="M1772" s="21">
        <v>27857.214754281362</v>
      </c>
      <c r="N1772" s="42">
        <v>48.294986449853702</v>
      </c>
      <c r="O1772" s="43">
        <v>16276.457793560274</v>
      </c>
    </row>
    <row r="1773" spans="12:15" x14ac:dyDescent="0.2">
      <c r="L1773" s="4">
        <v>1767</v>
      </c>
      <c r="M1773" s="21">
        <v>-34768.254686774701</v>
      </c>
      <c r="N1773" s="42">
        <v>49.30992463757272</v>
      </c>
      <c r="O1773" s="43">
        <v>15037.73799724422</v>
      </c>
    </row>
    <row r="1774" spans="12:15" x14ac:dyDescent="0.2">
      <c r="L1774" s="4">
        <v>1768</v>
      </c>
      <c r="M1774" s="21">
        <v>-35895.883712807161</v>
      </c>
      <c r="N1774" s="42">
        <v>48.938330167935341</v>
      </c>
      <c r="O1774" s="43">
        <v>15454.291798585538</v>
      </c>
    </row>
    <row r="1775" spans="12:15" x14ac:dyDescent="0.2">
      <c r="L1775" s="4">
        <v>1769</v>
      </c>
      <c r="M1775" s="21">
        <v>-90939.249861811986</v>
      </c>
      <c r="N1775" s="42">
        <v>49.609256139311654</v>
      </c>
      <c r="O1775" s="43">
        <v>14208.729656732958</v>
      </c>
    </row>
    <row r="1776" spans="12:15" x14ac:dyDescent="0.2">
      <c r="L1776" s="4">
        <v>1770</v>
      </c>
      <c r="M1776" s="21">
        <v>11585.900452511123</v>
      </c>
      <c r="N1776" s="42">
        <v>50.442452491672562</v>
      </c>
      <c r="O1776" s="43">
        <v>14425.020271262618</v>
      </c>
    </row>
    <row r="1777" spans="12:15" x14ac:dyDescent="0.2">
      <c r="L1777" s="4">
        <v>1771</v>
      </c>
      <c r="M1777" s="21">
        <v>-133410.92829572404</v>
      </c>
      <c r="N1777" s="42">
        <v>49.260646682827961</v>
      </c>
      <c r="O1777" s="43">
        <v>14521.894781135963</v>
      </c>
    </row>
    <row r="1778" spans="12:15" x14ac:dyDescent="0.2">
      <c r="L1778" s="4">
        <v>1772</v>
      </c>
      <c r="M1778" s="21">
        <v>-89279.157794717961</v>
      </c>
      <c r="N1778" s="42">
        <v>49.517881067206659</v>
      </c>
      <c r="O1778" s="43">
        <v>13209.611177610901</v>
      </c>
    </row>
    <row r="1779" spans="12:15" x14ac:dyDescent="0.2">
      <c r="L1779" s="4">
        <v>1773</v>
      </c>
      <c r="M1779" s="21">
        <v>-93823.224643682857</v>
      </c>
      <c r="N1779" s="42">
        <v>49.180557720421717</v>
      </c>
      <c r="O1779" s="43">
        <v>14370.137481297621</v>
      </c>
    </row>
    <row r="1780" spans="12:15" x14ac:dyDescent="0.2">
      <c r="L1780" s="4">
        <v>1774</v>
      </c>
      <c r="M1780" s="21">
        <v>91948.074829757621</v>
      </c>
      <c r="N1780" s="42">
        <v>47.079329262550885</v>
      </c>
      <c r="O1780" s="43">
        <v>15374.759073712939</v>
      </c>
    </row>
    <row r="1781" spans="12:15" x14ac:dyDescent="0.2">
      <c r="L1781" s="4">
        <v>1775</v>
      </c>
      <c r="M1781" s="21">
        <v>26873.94142785843</v>
      </c>
      <c r="N1781" s="42">
        <v>49.401711754886819</v>
      </c>
      <c r="O1781" s="43">
        <v>14647.68679856195</v>
      </c>
    </row>
    <row r="1782" spans="12:15" x14ac:dyDescent="0.2">
      <c r="L1782" s="4">
        <v>1776</v>
      </c>
      <c r="M1782" s="21">
        <v>-102379.75862672878</v>
      </c>
      <c r="N1782" s="42">
        <v>47.724854972755743</v>
      </c>
      <c r="O1782" s="43">
        <v>14748.317704336236</v>
      </c>
    </row>
    <row r="1783" spans="12:15" x14ac:dyDescent="0.2">
      <c r="L1783" s="4">
        <v>1777</v>
      </c>
      <c r="M1783" s="21">
        <v>-175227.90587596377</v>
      </c>
      <c r="N1783" s="42">
        <v>50.430423908027912</v>
      </c>
      <c r="O1783" s="43">
        <v>12346.610900468166</v>
      </c>
    </row>
    <row r="1784" spans="12:15" x14ac:dyDescent="0.2">
      <c r="L1784" s="4">
        <v>1778</v>
      </c>
      <c r="M1784" s="21">
        <v>108401.61168700128</v>
      </c>
      <c r="N1784" s="42">
        <v>48.782129955610458</v>
      </c>
      <c r="O1784" s="43">
        <v>16030.019172592893</v>
      </c>
    </row>
    <row r="1785" spans="12:15" x14ac:dyDescent="0.2">
      <c r="L1785" s="4">
        <v>1779</v>
      </c>
      <c r="M1785" s="21">
        <v>-94077.612056323633</v>
      </c>
      <c r="N1785" s="42">
        <v>46.467059370580863</v>
      </c>
      <c r="O1785" s="43">
        <v>16263.255402414718</v>
      </c>
    </row>
    <row r="1786" spans="12:15" x14ac:dyDescent="0.2">
      <c r="L1786" s="4">
        <v>1780</v>
      </c>
      <c r="M1786" s="21">
        <v>-267913.85982526175</v>
      </c>
      <c r="N1786" s="42">
        <v>49.007995706388314</v>
      </c>
      <c r="O1786" s="43">
        <v>11687.33175446494</v>
      </c>
    </row>
    <row r="1787" spans="12:15" x14ac:dyDescent="0.2">
      <c r="L1787" s="4">
        <v>1781</v>
      </c>
      <c r="M1787" s="21">
        <v>-70666.328988310212</v>
      </c>
      <c r="N1787" s="42">
        <v>48.365149781521552</v>
      </c>
      <c r="O1787" s="43">
        <v>14447.394182503354</v>
      </c>
    </row>
    <row r="1788" spans="12:15" x14ac:dyDescent="0.2">
      <c r="L1788" s="4">
        <v>1782</v>
      </c>
      <c r="M1788" s="21">
        <v>-90650.027960083782</v>
      </c>
      <c r="N1788" s="42">
        <v>49.294722441532244</v>
      </c>
      <c r="O1788" s="43">
        <v>15742.266269176129</v>
      </c>
    </row>
    <row r="1789" spans="12:15" x14ac:dyDescent="0.2">
      <c r="L1789" s="4">
        <v>1783</v>
      </c>
      <c r="M1789" s="21">
        <v>24657.037835425377</v>
      </c>
      <c r="N1789" s="42">
        <v>50.628284579980885</v>
      </c>
      <c r="O1789" s="43">
        <v>13714.089526437872</v>
      </c>
    </row>
    <row r="1790" spans="12:15" x14ac:dyDescent="0.2">
      <c r="L1790" s="4">
        <v>1784</v>
      </c>
      <c r="M1790" s="21">
        <v>145246.11992482073</v>
      </c>
      <c r="N1790" s="42">
        <v>51.269774858366006</v>
      </c>
      <c r="O1790" s="43">
        <v>15901.764306420688</v>
      </c>
    </row>
    <row r="1791" spans="12:15" x14ac:dyDescent="0.2">
      <c r="L1791" s="4">
        <v>1785</v>
      </c>
      <c r="M1791" s="21">
        <v>7189.6704323950689</v>
      </c>
      <c r="N1791" s="42">
        <v>50.278762522314402</v>
      </c>
      <c r="O1791" s="43">
        <v>14936.041052202729</v>
      </c>
    </row>
    <row r="1792" spans="12:15" x14ac:dyDescent="0.2">
      <c r="L1792" s="4">
        <v>1786</v>
      </c>
      <c r="M1792" s="21">
        <v>55084.199866073934</v>
      </c>
      <c r="N1792" s="42">
        <v>49.896341443870881</v>
      </c>
      <c r="O1792" s="43">
        <v>14931.514447398849</v>
      </c>
    </row>
    <row r="1793" spans="12:15" x14ac:dyDescent="0.2">
      <c r="L1793" s="4">
        <v>1787</v>
      </c>
      <c r="M1793" s="21">
        <v>7526.9711742773943</v>
      </c>
      <c r="N1793" s="42">
        <v>50.134778475920605</v>
      </c>
      <c r="O1793" s="43">
        <v>15405.084173918163</v>
      </c>
    </row>
    <row r="1794" spans="12:15" x14ac:dyDescent="0.2">
      <c r="L1794" s="4">
        <v>1788</v>
      </c>
      <c r="M1794" s="21">
        <v>-68049.892704925282</v>
      </c>
      <c r="N1794" s="42">
        <v>47.441054057719079</v>
      </c>
      <c r="O1794" s="43">
        <v>15787.417447472377</v>
      </c>
    </row>
    <row r="1795" spans="12:15" x14ac:dyDescent="0.2">
      <c r="L1795" s="4">
        <v>1789</v>
      </c>
      <c r="M1795" s="21">
        <v>-4082.5336854493653</v>
      </c>
      <c r="N1795" s="42">
        <v>51.286779868546375</v>
      </c>
      <c r="O1795" s="43">
        <v>13668.207813770883</v>
      </c>
    </row>
    <row r="1796" spans="12:15" x14ac:dyDescent="0.2">
      <c r="L1796" s="4">
        <v>1790</v>
      </c>
      <c r="M1796" s="21">
        <v>87885.881323179376</v>
      </c>
      <c r="N1796" s="42">
        <v>51.276236106067074</v>
      </c>
      <c r="O1796" s="43">
        <v>14421.454336828338</v>
      </c>
    </row>
    <row r="1797" spans="12:15" x14ac:dyDescent="0.2">
      <c r="L1797" s="4">
        <v>1791</v>
      </c>
      <c r="M1797" s="21">
        <v>-148666.13694785</v>
      </c>
      <c r="N1797" s="42">
        <v>49.350133516671661</v>
      </c>
      <c r="O1797" s="43">
        <v>14091.6136277559</v>
      </c>
    </row>
    <row r="1798" spans="12:15" x14ac:dyDescent="0.2">
      <c r="L1798" s="4">
        <v>1792</v>
      </c>
      <c r="M1798" s="21">
        <v>58217.27087718164</v>
      </c>
      <c r="N1798" s="42">
        <v>50.255451030112667</v>
      </c>
      <c r="O1798" s="43">
        <v>14572.061036987987</v>
      </c>
    </row>
    <row r="1799" spans="12:15" x14ac:dyDescent="0.2">
      <c r="L1799" s="4">
        <v>1793</v>
      </c>
      <c r="M1799" s="21">
        <v>96209.769168442464</v>
      </c>
      <c r="N1799" s="42">
        <v>50.794712851612161</v>
      </c>
      <c r="O1799" s="43">
        <v>14527.508301932918</v>
      </c>
    </row>
    <row r="1800" spans="12:15" x14ac:dyDescent="0.2">
      <c r="L1800" s="4">
        <v>1794</v>
      </c>
      <c r="M1800" s="21">
        <v>79579.804486580222</v>
      </c>
      <c r="N1800" s="42">
        <v>49.958876419739497</v>
      </c>
      <c r="O1800" s="43">
        <v>15923.766202945615</v>
      </c>
    </row>
    <row r="1801" spans="12:15" x14ac:dyDescent="0.2">
      <c r="L1801" s="4">
        <v>1795</v>
      </c>
      <c r="M1801" s="21">
        <v>-91485.87226972534</v>
      </c>
      <c r="N1801" s="42">
        <v>47.732407788406668</v>
      </c>
      <c r="O1801" s="43">
        <v>15113.675606475759</v>
      </c>
    </row>
    <row r="1802" spans="12:15" x14ac:dyDescent="0.2">
      <c r="L1802" s="4">
        <v>1796</v>
      </c>
      <c r="M1802" s="21">
        <v>-140336.77152158151</v>
      </c>
      <c r="N1802" s="42">
        <v>48.842591519811748</v>
      </c>
      <c r="O1802" s="43">
        <v>15025.76150650152</v>
      </c>
    </row>
    <row r="1803" spans="12:15" x14ac:dyDescent="0.2">
      <c r="L1803" s="4">
        <v>1797</v>
      </c>
      <c r="M1803" s="21">
        <v>-32945.622937303109</v>
      </c>
      <c r="N1803" s="42">
        <v>48.367121048108245</v>
      </c>
      <c r="O1803" s="43">
        <v>14812.274421522327</v>
      </c>
    </row>
    <row r="1804" spans="12:15" x14ac:dyDescent="0.2">
      <c r="L1804" s="4">
        <v>1798</v>
      </c>
      <c r="M1804" s="21">
        <v>-48392.589885944675</v>
      </c>
      <c r="N1804" s="42">
        <v>50.346887283867716</v>
      </c>
      <c r="O1804" s="43">
        <v>14820.565878591695</v>
      </c>
    </row>
    <row r="1805" spans="12:15" x14ac:dyDescent="0.2">
      <c r="L1805" s="4">
        <v>1799</v>
      </c>
      <c r="M1805" s="21">
        <v>250746.97375436503</v>
      </c>
      <c r="N1805" s="42">
        <v>50.23506346988249</v>
      </c>
      <c r="O1805" s="43">
        <v>16761.552735173387</v>
      </c>
    </row>
    <row r="1806" spans="12:15" x14ac:dyDescent="0.2">
      <c r="L1806" s="4">
        <v>1800</v>
      </c>
      <c r="M1806" s="21">
        <v>32748.558468727831</v>
      </c>
      <c r="N1806" s="42">
        <v>49.950326556744876</v>
      </c>
      <c r="O1806" s="43">
        <v>14739.882914107846</v>
      </c>
    </row>
    <row r="1807" spans="12:15" x14ac:dyDescent="0.2">
      <c r="L1807" s="4">
        <v>1801</v>
      </c>
      <c r="M1807" s="21">
        <v>-144414.5163974294</v>
      </c>
      <c r="N1807" s="42">
        <v>46.135064198801771</v>
      </c>
      <c r="O1807" s="43">
        <v>18262.836400255233</v>
      </c>
    </row>
    <row r="1808" spans="12:15" x14ac:dyDescent="0.2">
      <c r="L1808" s="4">
        <v>1802</v>
      </c>
      <c r="M1808" s="21">
        <v>-62908.536076519973</v>
      </c>
      <c r="N1808" s="42">
        <v>48.665365716930744</v>
      </c>
      <c r="O1808" s="43">
        <v>14792.736261689844</v>
      </c>
    </row>
    <row r="1809" spans="12:15" x14ac:dyDescent="0.2">
      <c r="L1809" s="4">
        <v>1803</v>
      </c>
      <c r="M1809" s="21">
        <v>74192.522914761794</v>
      </c>
      <c r="N1809" s="42">
        <v>51.136002483853723</v>
      </c>
      <c r="O1809" s="43">
        <v>15950.318025020935</v>
      </c>
    </row>
    <row r="1810" spans="12:15" x14ac:dyDescent="0.2">
      <c r="L1810" s="4">
        <v>1804</v>
      </c>
      <c r="M1810" s="21">
        <v>-4671.388741519273</v>
      </c>
      <c r="N1810" s="42">
        <v>49.748788254551528</v>
      </c>
      <c r="O1810" s="43">
        <v>14239.546213132082</v>
      </c>
    </row>
    <row r="1811" spans="12:15" x14ac:dyDescent="0.2">
      <c r="L1811" s="4">
        <v>1805</v>
      </c>
      <c r="M1811" s="21">
        <v>-116749.62917867213</v>
      </c>
      <c r="N1811" s="42">
        <v>48.51730260309148</v>
      </c>
      <c r="O1811" s="43">
        <v>14137.811646831427</v>
      </c>
    </row>
    <row r="1812" spans="12:15" x14ac:dyDescent="0.2">
      <c r="L1812" s="4">
        <v>1806</v>
      </c>
      <c r="M1812" s="21">
        <v>133262.61680175803</v>
      </c>
      <c r="N1812" s="42">
        <v>50.331066066346445</v>
      </c>
      <c r="O1812" s="43">
        <v>14930.072500304586</v>
      </c>
    </row>
    <row r="1813" spans="12:15" x14ac:dyDescent="0.2">
      <c r="L1813" s="4">
        <v>1807</v>
      </c>
      <c r="M1813" s="21">
        <v>-185029.91906789003</v>
      </c>
      <c r="N1813" s="42">
        <v>49.220884414960473</v>
      </c>
      <c r="O1813" s="43">
        <v>13026.968292503087</v>
      </c>
    </row>
    <row r="1814" spans="12:15" x14ac:dyDescent="0.2">
      <c r="L1814" s="4">
        <v>1808</v>
      </c>
      <c r="M1814" s="21">
        <v>99401.733660538099</v>
      </c>
      <c r="N1814" s="42">
        <v>49.744527727749443</v>
      </c>
      <c r="O1814" s="43">
        <v>15840.190710715842</v>
      </c>
    </row>
    <row r="1815" spans="12:15" x14ac:dyDescent="0.2">
      <c r="L1815" s="4">
        <v>1809</v>
      </c>
      <c r="M1815" s="21">
        <v>-61152.306812882554</v>
      </c>
      <c r="N1815" s="42">
        <v>48.084493739014157</v>
      </c>
      <c r="O1815" s="43">
        <v>14619.562535393978</v>
      </c>
    </row>
    <row r="1816" spans="12:15" x14ac:dyDescent="0.2">
      <c r="L1816" s="4">
        <v>1810</v>
      </c>
      <c r="M1816" s="21">
        <v>-55565.48070620338</v>
      </c>
      <c r="N1816" s="42">
        <v>48.621330214937572</v>
      </c>
      <c r="O1816" s="43">
        <v>15577.538699001449</v>
      </c>
    </row>
    <row r="1817" spans="12:15" x14ac:dyDescent="0.2">
      <c r="L1817" s="4">
        <v>1811</v>
      </c>
      <c r="M1817" s="21">
        <v>128717.05732405031</v>
      </c>
      <c r="N1817" s="42">
        <v>50.476636869517293</v>
      </c>
      <c r="O1817" s="43">
        <v>16200.959553978817</v>
      </c>
    </row>
    <row r="1818" spans="12:15" x14ac:dyDescent="0.2">
      <c r="L1818" s="4">
        <v>1812</v>
      </c>
      <c r="M1818" s="21">
        <v>-135735.22688541503</v>
      </c>
      <c r="N1818" s="42">
        <v>47.512007187443999</v>
      </c>
      <c r="O1818" s="43">
        <v>14653.628044378265</v>
      </c>
    </row>
    <row r="1819" spans="12:15" x14ac:dyDescent="0.2">
      <c r="L1819" s="4">
        <v>1813</v>
      </c>
      <c r="M1819" s="21">
        <v>-30911.591822056987</v>
      </c>
      <c r="N1819" s="42">
        <v>48.689519945747264</v>
      </c>
      <c r="O1819" s="43">
        <v>14847.886069383452</v>
      </c>
    </row>
    <row r="1820" spans="12:15" x14ac:dyDescent="0.2">
      <c r="L1820" s="4">
        <v>1814</v>
      </c>
      <c r="M1820" s="21">
        <v>-130734.97508436946</v>
      </c>
      <c r="N1820" s="42">
        <v>47.552734107483786</v>
      </c>
      <c r="O1820" s="43">
        <v>13901.39526135692</v>
      </c>
    </row>
    <row r="1821" spans="12:15" x14ac:dyDescent="0.2">
      <c r="L1821" s="4">
        <v>1815</v>
      </c>
      <c r="M1821" s="21">
        <v>167690.36448421731</v>
      </c>
      <c r="N1821" s="42">
        <v>48.69378373959664</v>
      </c>
      <c r="O1821" s="43">
        <v>17839.549094334398</v>
      </c>
    </row>
    <row r="1822" spans="12:15" x14ac:dyDescent="0.2">
      <c r="L1822" s="4">
        <v>1816</v>
      </c>
      <c r="M1822" s="21">
        <v>-3287.9314093659632</v>
      </c>
      <c r="N1822" s="42">
        <v>47.259149830226441</v>
      </c>
      <c r="O1822" s="43">
        <v>15614.98264147191</v>
      </c>
    </row>
    <row r="1823" spans="12:15" x14ac:dyDescent="0.2">
      <c r="L1823" s="4">
        <v>1817</v>
      </c>
      <c r="M1823" s="21">
        <v>-127655.15583297248</v>
      </c>
      <c r="N1823" s="42">
        <v>47.520778452251683</v>
      </c>
      <c r="O1823" s="43">
        <v>14541.364423591787</v>
      </c>
    </row>
    <row r="1824" spans="12:15" x14ac:dyDescent="0.2">
      <c r="L1824" s="4">
        <v>1818</v>
      </c>
      <c r="M1824" s="21">
        <v>-80121.788358317179</v>
      </c>
      <c r="N1824" s="42">
        <v>48.382023156973816</v>
      </c>
      <c r="O1824" s="43">
        <v>15139.80141322107</v>
      </c>
    </row>
    <row r="1825" spans="12:15" x14ac:dyDescent="0.2">
      <c r="L1825" s="4">
        <v>1819</v>
      </c>
      <c r="M1825" s="21">
        <v>113724.66461485092</v>
      </c>
      <c r="N1825" s="42">
        <v>49.525344589057454</v>
      </c>
      <c r="O1825" s="43">
        <v>15552.58173782119</v>
      </c>
    </row>
    <row r="1826" spans="12:15" x14ac:dyDescent="0.2">
      <c r="L1826" s="4">
        <v>1820</v>
      </c>
      <c r="M1826" s="21">
        <v>-33631.151758662076</v>
      </c>
      <c r="N1826" s="42">
        <v>47.276313824135627</v>
      </c>
      <c r="O1826" s="43">
        <v>17188.346989484231</v>
      </c>
    </row>
    <row r="1827" spans="12:15" x14ac:dyDescent="0.2">
      <c r="L1827" s="4">
        <v>1821</v>
      </c>
      <c r="M1827" s="21">
        <v>43562.726193306007</v>
      </c>
      <c r="N1827" s="42">
        <v>50.34791147911357</v>
      </c>
      <c r="O1827" s="43">
        <v>14578.31822283033</v>
      </c>
    </row>
    <row r="1828" spans="12:15" x14ac:dyDescent="0.2">
      <c r="L1828" s="4">
        <v>1822</v>
      </c>
      <c r="M1828" s="21">
        <v>4377.1224124341679</v>
      </c>
      <c r="N1828" s="42">
        <v>48.478990759651644</v>
      </c>
      <c r="O1828" s="43">
        <v>17061.288384319199</v>
      </c>
    </row>
    <row r="1829" spans="12:15" x14ac:dyDescent="0.2">
      <c r="L1829" s="4">
        <v>1823</v>
      </c>
      <c r="M1829" s="21">
        <v>-3832.7122048832825</v>
      </c>
      <c r="N1829" s="42">
        <v>48.62036031661048</v>
      </c>
      <c r="O1829" s="43">
        <v>14483.924038407051</v>
      </c>
    </row>
    <row r="1830" spans="12:15" x14ac:dyDescent="0.2">
      <c r="L1830" s="4">
        <v>1824</v>
      </c>
      <c r="M1830" s="21">
        <v>151538.53292207362</v>
      </c>
      <c r="N1830" s="42">
        <v>50.162889958644612</v>
      </c>
      <c r="O1830" s="43">
        <v>15943.5270200005</v>
      </c>
    </row>
    <row r="1831" spans="12:15" x14ac:dyDescent="0.2">
      <c r="L1831" s="4">
        <v>1825</v>
      </c>
      <c r="M1831" s="21">
        <v>164703.02046967301</v>
      </c>
      <c r="N1831" s="42">
        <v>50.276617665191068</v>
      </c>
      <c r="O1831" s="43">
        <v>15821.289253138808</v>
      </c>
    </row>
    <row r="1832" spans="12:15" x14ac:dyDescent="0.2">
      <c r="L1832" s="4">
        <v>1826</v>
      </c>
      <c r="M1832" s="21">
        <v>-30791.339566036986</v>
      </c>
      <c r="N1832" s="42">
        <v>48.762063346856941</v>
      </c>
      <c r="O1832" s="43">
        <v>17180.249012919805</v>
      </c>
    </row>
    <row r="1833" spans="12:15" x14ac:dyDescent="0.2">
      <c r="L1833" s="4">
        <v>1827</v>
      </c>
      <c r="M1833" s="21">
        <v>36157.902104515291</v>
      </c>
      <c r="N1833" s="42">
        <v>48.572383447674468</v>
      </c>
      <c r="O1833" s="43">
        <v>15828.117813447241</v>
      </c>
    </row>
    <row r="1834" spans="12:15" x14ac:dyDescent="0.2">
      <c r="L1834" s="4">
        <v>1828</v>
      </c>
      <c r="M1834" s="21">
        <v>-7545.5371167455596</v>
      </c>
      <c r="N1834" s="42">
        <v>50.243211094817269</v>
      </c>
      <c r="O1834" s="43">
        <v>14170.555107007342</v>
      </c>
    </row>
    <row r="1835" spans="12:15" x14ac:dyDescent="0.2">
      <c r="L1835" s="4">
        <v>1829</v>
      </c>
      <c r="M1835" s="21">
        <v>-214091.53320917001</v>
      </c>
      <c r="N1835" s="42">
        <v>50.366348259865354</v>
      </c>
      <c r="O1835" s="43">
        <v>13035.347370883756</v>
      </c>
    </row>
    <row r="1836" spans="12:15" x14ac:dyDescent="0.2">
      <c r="L1836" s="4">
        <v>1830</v>
      </c>
      <c r="M1836" s="21">
        <v>134394.77142432079</v>
      </c>
      <c r="N1836" s="42">
        <v>48.741323990143215</v>
      </c>
      <c r="O1836" s="43">
        <v>16658.213773631705</v>
      </c>
    </row>
    <row r="1837" spans="12:15" x14ac:dyDescent="0.2">
      <c r="L1837" s="4">
        <v>1831</v>
      </c>
      <c r="M1837" s="21">
        <v>59875.623386509629</v>
      </c>
      <c r="N1837" s="42">
        <v>50.45064150771092</v>
      </c>
      <c r="O1837" s="43">
        <v>13665.570002458377</v>
      </c>
    </row>
    <row r="1838" spans="12:15" x14ac:dyDescent="0.2">
      <c r="L1838" s="4">
        <v>1832</v>
      </c>
      <c r="M1838" s="21">
        <v>35812.945099209552</v>
      </c>
      <c r="N1838" s="42">
        <v>50.776748248385729</v>
      </c>
      <c r="O1838" s="43">
        <v>13051.338644485917</v>
      </c>
    </row>
    <row r="1839" spans="12:15" x14ac:dyDescent="0.2">
      <c r="L1839" s="4">
        <v>1833</v>
      </c>
      <c r="M1839" s="21">
        <v>-195633.53689286049</v>
      </c>
      <c r="N1839" s="42">
        <v>50.973638819834584</v>
      </c>
      <c r="O1839" s="43">
        <v>12663.233117452484</v>
      </c>
    </row>
    <row r="1840" spans="12:15" x14ac:dyDescent="0.2">
      <c r="L1840" s="4">
        <v>1834</v>
      </c>
      <c r="M1840" s="21">
        <v>-42089.700209764822</v>
      </c>
      <c r="N1840" s="42">
        <v>50.536532339835418</v>
      </c>
      <c r="O1840" s="43">
        <v>14262.167758464251</v>
      </c>
    </row>
    <row r="1841" spans="12:15" x14ac:dyDescent="0.2">
      <c r="L1841" s="4">
        <v>1835</v>
      </c>
      <c r="M1841" s="21">
        <v>-75388.105703834022</v>
      </c>
      <c r="N1841" s="42">
        <v>50.227324377479263</v>
      </c>
      <c r="O1841" s="43">
        <v>12013.411343057442</v>
      </c>
    </row>
    <row r="1842" spans="12:15" x14ac:dyDescent="0.2">
      <c r="L1842" s="4">
        <v>1836</v>
      </c>
      <c r="M1842" s="21">
        <v>-71421.841786399003</v>
      </c>
      <c r="N1842" s="42">
        <v>47.182215088482899</v>
      </c>
      <c r="O1842" s="43">
        <v>15998.601011751594</v>
      </c>
    </row>
    <row r="1843" spans="12:15" x14ac:dyDescent="0.2">
      <c r="L1843" s="4">
        <v>1837</v>
      </c>
      <c r="M1843" s="21">
        <v>-5793.4513422085438</v>
      </c>
      <c r="N1843" s="42">
        <v>50.705579319080883</v>
      </c>
      <c r="O1843" s="43">
        <v>14866.06363633404</v>
      </c>
    </row>
    <row r="1844" spans="12:15" x14ac:dyDescent="0.2">
      <c r="L1844" s="4">
        <v>1838</v>
      </c>
      <c r="M1844" s="21">
        <v>-237706.59974992345</v>
      </c>
      <c r="N1844" s="42">
        <v>46.227217710057957</v>
      </c>
      <c r="O1844" s="43">
        <v>14645.760004943357</v>
      </c>
    </row>
    <row r="1845" spans="12:15" x14ac:dyDescent="0.2">
      <c r="L1845" s="4">
        <v>1839</v>
      </c>
      <c r="M1845" s="21">
        <v>42105.589503326511</v>
      </c>
      <c r="N1845" s="42">
        <v>51.173865182231637</v>
      </c>
      <c r="O1845" s="43">
        <v>14100.924057495464</v>
      </c>
    </row>
    <row r="1846" spans="12:15" x14ac:dyDescent="0.2">
      <c r="L1846" s="4">
        <v>1840</v>
      </c>
      <c r="M1846" s="21">
        <v>-60014.262103489906</v>
      </c>
      <c r="N1846" s="42">
        <v>48.46305662895638</v>
      </c>
      <c r="O1846" s="43">
        <v>15041.047966695536</v>
      </c>
    </row>
    <row r="1847" spans="12:15" x14ac:dyDescent="0.2">
      <c r="L1847" s="4">
        <v>1841</v>
      </c>
      <c r="M1847" s="21">
        <v>-37761.880798812097</v>
      </c>
      <c r="N1847" s="42">
        <v>49.877883673642486</v>
      </c>
      <c r="O1847" s="43">
        <v>15154.897903084888</v>
      </c>
    </row>
    <row r="1848" spans="12:15" x14ac:dyDescent="0.2">
      <c r="L1848" s="4">
        <v>1842</v>
      </c>
      <c r="M1848" s="21">
        <v>-98102.205755997464</v>
      </c>
      <c r="N1848" s="42">
        <v>49.650706832484659</v>
      </c>
      <c r="O1848" s="43">
        <v>12934.235670295786</v>
      </c>
    </row>
    <row r="1849" spans="12:15" x14ac:dyDescent="0.2">
      <c r="L1849" s="4">
        <v>1843</v>
      </c>
      <c r="M1849" s="21">
        <v>191262.67012933144</v>
      </c>
      <c r="N1849" s="42">
        <v>49.827262487985756</v>
      </c>
      <c r="O1849" s="43">
        <v>15882.058089765462</v>
      </c>
    </row>
    <row r="1850" spans="12:15" x14ac:dyDescent="0.2">
      <c r="L1850" s="4">
        <v>1844</v>
      </c>
      <c r="M1850" s="21">
        <v>-41325.668366632526</v>
      </c>
      <c r="N1850" s="42">
        <v>51.146029243174404</v>
      </c>
      <c r="O1850" s="43">
        <v>13587.59245638902</v>
      </c>
    </row>
    <row r="1851" spans="12:15" x14ac:dyDescent="0.2">
      <c r="L1851" s="4">
        <v>1845</v>
      </c>
      <c r="M1851" s="21">
        <v>-49094.864569511235</v>
      </c>
      <c r="N1851" s="42">
        <v>47.978158801841595</v>
      </c>
      <c r="O1851" s="43">
        <v>14330.447558175285</v>
      </c>
    </row>
    <row r="1852" spans="12:15" x14ac:dyDescent="0.2">
      <c r="L1852" s="4">
        <v>1846</v>
      </c>
      <c r="M1852" s="21">
        <v>30196.571702615765</v>
      </c>
      <c r="N1852" s="42">
        <v>47.404174878622442</v>
      </c>
      <c r="O1852" s="43">
        <v>17374.941381164717</v>
      </c>
    </row>
    <row r="1853" spans="12:15" x14ac:dyDescent="0.2">
      <c r="L1853" s="4">
        <v>1847</v>
      </c>
      <c r="M1853" s="21">
        <v>36171.860812569852</v>
      </c>
      <c r="N1853" s="42">
        <v>51.291980810929026</v>
      </c>
      <c r="O1853" s="43">
        <v>13766.825700564274</v>
      </c>
    </row>
    <row r="1854" spans="12:15" x14ac:dyDescent="0.2">
      <c r="L1854" s="4">
        <v>1848</v>
      </c>
      <c r="M1854" s="21">
        <v>8802.5476944679976</v>
      </c>
      <c r="N1854" s="42">
        <v>51.185741578079806</v>
      </c>
      <c r="O1854" s="43">
        <v>13805.738816184192</v>
      </c>
    </row>
    <row r="1855" spans="12:15" x14ac:dyDescent="0.2">
      <c r="L1855" s="4">
        <v>1849</v>
      </c>
      <c r="M1855" s="21">
        <v>-131767.4289468315</v>
      </c>
      <c r="N1855" s="42">
        <v>49.336769857946408</v>
      </c>
      <c r="O1855" s="43">
        <v>14224.673699113462</v>
      </c>
    </row>
    <row r="1856" spans="12:15" x14ac:dyDescent="0.2">
      <c r="L1856" s="4">
        <v>1850</v>
      </c>
      <c r="M1856" s="21">
        <v>-151324.01679960021</v>
      </c>
      <c r="N1856" s="42">
        <v>49.346276329468672</v>
      </c>
      <c r="O1856" s="43">
        <v>14598.800666226234</v>
      </c>
    </row>
    <row r="1857" spans="12:15" x14ac:dyDescent="0.2">
      <c r="L1857" s="4">
        <v>1851</v>
      </c>
      <c r="M1857" s="21">
        <v>-61073.188572454106</v>
      </c>
      <c r="N1857" s="42">
        <v>48.064493955086519</v>
      </c>
      <c r="O1857" s="43">
        <v>14717.907371475985</v>
      </c>
    </row>
    <row r="1858" spans="12:15" x14ac:dyDescent="0.2">
      <c r="L1858" s="4">
        <v>1852</v>
      </c>
      <c r="M1858" s="21">
        <v>-205139.88708459909</v>
      </c>
      <c r="N1858" s="42">
        <v>48.351108781403155</v>
      </c>
      <c r="O1858" s="43">
        <v>11999.294383825203</v>
      </c>
    </row>
    <row r="1859" spans="12:15" x14ac:dyDescent="0.2">
      <c r="L1859" s="4">
        <v>1853</v>
      </c>
      <c r="M1859" s="21">
        <v>-112467.42227404618</v>
      </c>
      <c r="N1859" s="42">
        <v>49.739089647104066</v>
      </c>
      <c r="O1859" s="43">
        <v>13255.708618431636</v>
      </c>
    </row>
    <row r="1860" spans="12:15" x14ac:dyDescent="0.2">
      <c r="L1860" s="4">
        <v>1854</v>
      </c>
      <c r="M1860" s="21">
        <v>-22389.754291544959</v>
      </c>
      <c r="N1860" s="42">
        <v>51.091810038871216</v>
      </c>
      <c r="O1860" s="43">
        <v>13501.123832124049</v>
      </c>
    </row>
    <row r="1861" spans="12:15" x14ac:dyDescent="0.2">
      <c r="L1861" s="4">
        <v>1855</v>
      </c>
      <c r="M1861" s="21">
        <v>5147.9233387275308</v>
      </c>
      <c r="N1861" s="42">
        <v>50.930991926740802</v>
      </c>
      <c r="O1861" s="43">
        <v>14287.338563390145</v>
      </c>
    </row>
    <row r="1862" spans="12:15" x14ac:dyDescent="0.2">
      <c r="L1862" s="4">
        <v>1856</v>
      </c>
      <c r="M1862" s="21">
        <v>126135.39596353014</v>
      </c>
      <c r="N1862" s="42">
        <v>49.871613940106862</v>
      </c>
      <c r="O1862" s="43">
        <v>15504.08669051725</v>
      </c>
    </row>
    <row r="1863" spans="12:15" x14ac:dyDescent="0.2">
      <c r="L1863" s="4">
        <v>1857</v>
      </c>
      <c r="M1863" s="21">
        <v>-119628.93336741407</v>
      </c>
      <c r="N1863" s="42">
        <v>49.575326389673457</v>
      </c>
      <c r="O1863" s="43">
        <v>13361.545709616468</v>
      </c>
    </row>
    <row r="1864" spans="12:15" x14ac:dyDescent="0.2">
      <c r="L1864" s="4">
        <v>1858</v>
      </c>
      <c r="M1864" s="21">
        <v>-92970.186228982478</v>
      </c>
      <c r="N1864" s="42">
        <v>51.615854175722738</v>
      </c>
      <c r="O1864" s="43">
        <v>12615.455900502096</v>
      </c>
    </row>
    <row r="1865" spans="12:15" x14ac:dyDescent="0.2">
      <c r="L1865" s="4">
        <v>1859</v>
      </c>
      <c r="M1865" s="21">
        <v>159331.63732505665</v>
      </c>
      <c r="N1865" s="42">
        <v>50.343605228995266</v>
      </c>
      <c r="O1865" s="43">
        <v>15301.685894214346</v>
      </c>
    </row>
    <row r="1866" spans="12:15" x14ac:dyDescent="0.2">
      <c r="L1866" s="4">
        <v>1860</v>
      </c>
      <c r="M1866" s="21">
        <v>14119.516313640517</v>
      </c>
      <c r="N1866" s="42">
        <v>50.829061812100285</v>
      </c>
      <c r="O1866" s="43">
        <v>14187.270302472529</v>
      </c>
    </row>
    <row r="1867" spans="12:15" x14ac:dyDescent="0.2">
      <c r="L1867" s="4">
        <v>1861</v>
      </c>
      <c r="M1867" s="21">
        <v>77169.243333321007</v>
      </c>
      <c r="N1867" s="42">
        <v>51.219054944047045</v>
      </c>
      <c r="O1867" s="43">
        <v>16138.486557402197</v>
      </c>
    </row>
    <row r="1868" spans="12:15" x14ac:dyDescent="0.2">
      <c r="L1868" s="4">
        <v>1862</v>
      </c>
      <c r="M1868" s="21">
        <v>-115364.94096859716</v>
      </c>
      <c r="N1868" s="42">
        <v>46.210062404967438</v>
      </c>
      <c r="O1868" s="43">
        <v>17616.791967023364</v>
      </c>
    </row>
    <row r="1869" spans="12:15" x14ac:dyDescent="0.2">
      <c r="L1869" s="4">
        <v>1863</v>
      </c>
      <c r="M1869" s="21">
        <v>-135135.58841341961</v>
      </c>
      <c r="N1869" s="42">
        <v>49.969148323058448</v>
      </c>
      <c r="O1869" s="43">
        <v>11570.521895207337</v>
      </c>
    </row>
    <row r="1870" spans="12:15" x14ac:dyDescent="0.2">
      <c r="L1870" s="4">
        <v>1864</v>
      </c>
      <c r="M1870" s="21">
        <v>2553.8058378338465</v>
      </c>
      <c r="N1870" s="42">
        <v>51.042920965809692</v>
      </c>
      <c r="O1870" s="43">
        <v>13129.224385972844</v>
      </c>
    </row>
    <row r="1871" spans="12:15" x14ac:dyDescent="0.2">
      <c r="L1871" s="4">
        <v>1865</v>
      </c>
      <c r="M1871" s="21">
        <v>-22052.012094784761</v>
      </c>
      <c r="N1871" s="42">
        <v>50.627651307260621</v>
      </c>
      <c r="O1871" s="43">
        <v>14883.817906077351</v>
      </c>
    </row>
    <row r="1872" spans="12:15" x14ac:dyDescent="0.2">
      <c r="L1872" s="4">
        <v>1866</v>
      </c>
      <c r="M1872" s="21">
        <v>-105486.59153613039</v>
      </c>
      <c r="N1872" s="42">
        <v>48.668167923816156</v>
      </c>
      <c r="O1872" s="43">
        <v>14915.703405123711</v>
      </c>
    </row>
    <row r="1873" spans="12:15" x14ac:dyDescent="0.2">
      <c r="L1873" s="4">
        <v>1867</v>
      </c>
      <c r="M1873" s="21">
        <v>-6870.1896416732052</v>
      </c>
      <c r="N1873" s="42">
        <v>49.606743511037273</v>
      </c>
      <c r="O1873" s="43">
        <v>15165.745925166924</v>
      </c>
    </row>
    <row r="1874" spans="12:15" x14ac:dyDescent="0.2">
      <c r="L1874" s="4">
        <v>1868</v>
      </c>
      <c r="M1874" s="21">
        <v>105657.80311801983</v>
      </c>
      <c r="N1874" s="42">
        <v>49.239302867083083</v>
      </c>
      <c r="O1874" s="43">
        <v>15991.471789927564</v>
      </c>
    </row>
    <row r="1875" spans="12:15" x14ac:dyDescent="0.2">
      <c r="L1875" s="4">
        <v>1869</v>
      </c>
      <c r="M1875" s="21">
        <v>-9982.7124036847817</v>
      </c>
      <c r="N1875" s="42">
        <v>50.490368593835115</v>
      </c>
      <c r="O1875" s="43">
        <v>14399.131451023539</v>
      </c>
    </row>
    <row r="1876" spans="12:15" x14ac:dyDescent="0.2">
      <c r="L1876" s="4">
        <v>1870</v>
      </c>
      <c r="M1876" s="21">
        <v>-234258.47019648607</v>
      </c>
      <c r="N1876" s="42">
        <v>48.097397048760122</v>
      </c>
      <c r="O1876" s="43">
        <v>15964.654772917269</v>
      </c>
    </row>
    <row r="1877" spans="12:15" x14ac:dyDescent="0.2">
      <c r="L1877" s="4">
        <v>1871</v>
      </c>
      <c r="M1877" s="21">
        <v>-13939.111521851708</v>
      </c>
      <c r="N1877" s="42">
        <v>49.649792644622778</v>
      </c>
      <c r="O1877" s="43">
        <v>14240.872259360112</v>
      </c>
    </row>
    <row r="1878" spans="12:15" x14ac:dyDescent="0.2">
      <c r="L1878" s="4">
        <v>1872</v>
      </c>
      <c r="M1878" s="21">
        <v>31394.472913939244</v>
      </c>
      <c r="N1878" s="42">
        <v>50.196730270305196</v>
      </c>
      <c r="O1878" s="43">
        <v>16402.381337768227</v>
      </c>
    </row>
    <row r="1879" spans="12:15" x14ac:dyDescent="0.2">
      <c r="L1879" s="4">
        <v>1873</v>
      </c>
      <c r="M1879" s="21">
        <v>-94679.537244376683</v>
      </c>
      <c r="N1879" s="42">
        <v>49.464116968361658</v>
      </c>
      <c r="O1879" s="43">
        <v>14391.581771501855</v>
      </c>
    </row>
    <row r="1880" spans="12:15" x14ac:dyDescent="0.2">
      <c r="L1880" s="4">
        <v>1874</v>
      </c>
      <c r="M1880" s="21">
        <v>29386.960054717551</v>
      </c>
      <c r="N1880" s="42">
        <v>51.297932004749647</v>
      </c>
      <c r="O1880" s="43">
        <v>14236.028695566756</v>
      </c>
    </row>
    <row r="1881" spans="12:15" x14ac:dyDescent="0.2">
      <c r="L1881" s="4">
        <v>1875</v>
      </c>
      <c r="M1881" s="21">
        <v>-89249.499711053271</v>
      </c>
      <c r="N1881" s="42">
        <v>51.148690427593628</v>
      </c>
      <c r="O1881" s="43">
        <v>13327.668934529062</v>
      </c>
    </row>
    <row r="1882" spans="12:15" x14ac:dyDescent="0.2">
      <c r="L1882" s="4">
        <v>1876</v>
      </c>
      <c r="M1882" s="21">
        <v>58877.698170989868</v>
      </c>
      <c r="N1882" s="42">
        <v>49.020591134455927</v>
      </c>
      <c r="O1882" s="43">
        <v>15226.234267551143</v>
      </c>
    </row>
    <row r="1883" spans="12:15" x14ac:dyDescent="0.2">
      <c r="L1883" s="4">
        <v>1877</v>
      </c>
      <c r="M1883" s="21">
        <v>-11610.842087547833</v>
      </c>
      <c r="N1883" s="42">
        <v>49.258747244187852</v>
      </c>
      <c r="O1883" s="43">
        <v>15225.534376404312</v>
      </c>
    </row>
    <row r="1884" spans="12:15" x14ac:dyDescent="0.2">
      <c r="L1884" s="4">
        <v>1878</v>
      </c>
      <c r="M1884" s="21">
        <v>-45826.939520255706</v>
      </c>
      <c r="N1884" s="42">
        <v>49.736721510179535</v>
      </c>
      <c r="O1884" s="43">
        <v>14505.18481642352</v>
      </c>
    </row>
    <row r="1885" spans="12:15" x14ac:dyDescent="0.2">
      <c r="L1885" s="4">
        <v>1879</v>
      </c>
      <c r="M1885" s="21">
        <v>-915.96630895254202</v>
      </c>
      <c r="N1885" s="42">
        <v>48.366296994152847</v>
      </c>
      <c r="O1885" s="43">
        <v>15898.35743036832</v>
      </c>
    </row>
    <row r="1886" spans="12:15" x14ac:dyDescent="0.2">
      <c r="L1886" s="4">
        <v>1880</v>
      </c>
      <c r="M1886" s="21">
        <v>-47211.623491361868</v>
      </c>
      <c r="N1886" s="42">
        <v>47.433967037702764</v>
      </c>
      <c r="O1886" s="43">
        <v>15270.77005815084</v>
      </c>
    </row>
    <row r="1887" spans="12:15" x14ac:dyDescent="0.2">
      <c r="L1887" s="4">
        <v>1881</v>
      </c>
      <c r="M1887" s="21">
        <v>-99658.725526131995</v>
      </c>
      <c r="N1887" s="42">
        <v>48.006607012392848</v>
      </c>
      <c r="O1887" s="43">
        <v>14507.883093815819</v>
      </c>
    </row>
    <row r="1888" spans="12:15" x14ac:dyDescent="0.2">
      <c r="L1888" s="4">
        <v>1882</v>
      </c>
      <c r="M1888" s="21">
        <v>28176.008979095408</v>
      </c>
      <c r="N1888" s="42">
        <v>50.01264547421313</v>
      </c>
      <c r="O1888" s="43">
        <v>15916.934661032135</v>
      </c>
    </row>
    <row r="1889" spans="12:15" x14ac:dyDescent="0.2">
      <c r="L1889" s="4">
        <v>1883</v>
      </c>
      <c r="M1889" s="21">
        <v>-47770.809801014693</v>
      </c>
      <c r="N1889" s="42">
        <v>48.316796189614664</v>
      </c>
      <c r="O1889" s="43">
        <v>17211.085688828014</v>
      </c>
    </row>
    <row r="1890" spans="12:15" x14ac:dyDescent="0.2">
      <c r="L1890" s="4">
        <v>1884</v>
      </c>
      <c r="M1890" s="21">
        <v>-51449.653574292752</v>
      </c>
      <c r="N1890" s="42">
        <v>49.804956177370826</v>
      </c>
      <c r="O1890" s="43">
        <v>14220.665362201707</v>
      </c>
    </row>
    <row r="1891" spans="12:15" x14ac:dyDescent="0.2">
      <c r="L1891" s="4">
        <v>1885</v>
      </c>
      <c r="M1891" s="21">
        <v>-21363.326242647483</v>
      </c>
      <c r="N1891" s="42">
        <v>48.17920966822043</v>
      </c>
      <c r="O1891" s="43">
        <v>15381.761086040937</v>
      </c>
    </row>
    <row r="1892" spans="12:15" x14ac:dyDescent="0.2">
      <c r="L1892" s="4">
        <v>1886</v>
      </c>
      <c r="M1892" s="21">
        <v>1172.8619117428898</v>
      </c>
      <c r="N1892" s="42">
        <v>50.852029418014652</v>
      </c>
      <c r="O1892" s="43">
        <v>14987.107950154865</v>
      </c>
    </row>
    <row r="1893" spans="12:15" x14ac:dyDescent="0.2">
      <c r="L1893" s="4">
        <v>1887</v>
      </c>
      <c r="M1893" s="21">
        <v>-235437.13240805926</v>
      </c>
      <c r="N1893" s="42">
        <v>51.088399552612273</v>
      </c>
      <c r="O1893" s="43">
        <v>11170.245219080038</v>
      </c>
    </row>
    <row r="1894" spans="12:15" x14ac:dyDescent="0.2">
      <c r="L1894" s="4">
        <v>1888</v>
      </c>
      <c r="M1894" s="21">
        <v>-15484.193273817262</v>
      </c>
      <c r="N1894" s="42">
        <v>50.064548245844598</v>
      </c>
      <c r="O1894" s="43">
        <v>13986.287277894493</v>
      </c>
    </row>
    <row r="1895" spans="12:15" x14ac:dyDescent="0.2">
      <c r="L1895" s="4">
        <v>1889</v>
      </c>
      <c r="M1895" s="21">
        <v>43357.369565622357</v>
      </c>
      <c r="N1895" s="42">
        <v>50.876663198068663</v>
      </c>
      <c r="O1895" s="43">
        <v>15894.528729812593</v>
      </c>
    </row>
    <row r="1896" spans="12:15" x14ac:dyDescent="0.2">
      <c r="L1896" s="4">
        <v>1890</v>
      </c>
      <c r="M1896" s="21">
        <v>-99160.929509324327</v>
      </c>
      <c r="N1896" s="42">
        <v>47.35117274453328</v>
      </c>
      <c r="O1896" s="43">
        <v>15238.989543100037</v>
      </c>
    </row>
    <row r="1897" spans="12:15" x14ac:dyDescent="0.2">
      <c r="L1897" s="4">
        <v>1891</v>
      </c>
      <c r="M1897" s="21">
        <v>25491.54813116361</v>
      </c>
      <c r="N1897" s="42">
        <v>49.377752465629015</v>
      </c>
      <c r="O1897" s="43">
        <v>15818.729801046069</v>
      </c>
    </row>
    <row r="1898" spans="12:15" x14ac:dyDescent="0.2">
      <c r="L1898" s="4">
        <v>1892</v>
      </c>
      <c r="M1898" s="21">
        <v>160606.551490857</v>
      </c>
      <c r="N1898" s="42">
        <v>50.433456907120771</v>
      </c>
      <c r="O1898" s="43">
        <v>16164.059383077412</v>
      </c>
    </row>
    <row r="1899" spans="12:15" x14ac:dyDescent="0.2">
      <c r="L1899" s="4">
        <v>1893</v>
      </c>
      <c r="M1899" s="21">
        <v>-46362.866086075082</v>
      </c>
      <c r="N1899" s="42">
        <v>50.537588658971927</v>
      </c>
      <c r="O1899" s="43">
        <v>13711.755933073033</v>
      </c>
    </row>
    <row r="1900" spans="12:15" x14ac:dyDescent="0.2">
      <c r="L1900" s="4">
        <v>1894</v>
      </c>
      <c r="M1900" s="21">
        <v>265961.58267225121</v>
      </c>
      <c r="N1900" s="42">
        <v>50.55413101869479</v>
      </c>
      <c r="O1900" s="43">
        <v>16504.685082321863</v>
      </c>
    </row>
    <row r="1901" spans="12:15" x14ac:dyDescent="0.2">
      <c r="L1901" s="4">
        <v>1895</v>
      </c>
      <c r="M1901" s="21">
        <v>28343.962964799925</v>
      </c>
      <c r="N1901" s="42">
        <v>48.088904193500539</v>
      </c>
      <c r="O1901" s="43">
        <v>15101.118443615429</v>
      </c>
    </row>
    <row r="1902" spans="12:15" x14ac:dyDescent="0.2">
      <c r="L1902" s="4">
        <v>1896</v>
      </c>
      <c r="M1902" s="21">
        <v>181629.53789161699</v>
      </c>
      <c r="N1902" s="42">
        <v>49.34564488901686</v>
      </c>
      <c r="O1902" s="43">
        <v>16041.899226111005</v>
      </c>
    </row>
    <row r="1903" spans="12:15" x14ac:dyDescent="0.2">
      <c r="L1903" s="4">
        <v>1897</v>
      </c>
      <c r="M1903" s="21">
        <v>-19721.315545493155</v>
      </c>
      <c r="N1903" s="42">
        <v>49.768423343553472</v>
      </c>
      <c r="O1903" s="43">
        <v>15682.026548648828</v>
      </c>
    </row>
    <row r="1904" spans="12:15" x14ac:dyDescent="0.2">
      <c r="L1904" s="4">
        <v>1898</v>
      </c>
      <c r="M1904" s="21">
        <v>-47626.044187131585</v>
      </c>
      <c r="N1904" s="42">
        <v>49.408470708968743</v>
      </c>
      <c r="O1904" s="43">
        <v>15816.915045767921</v>
      </c>
    </row>
    <row r="1905" spans="12:15" x14ac:dyDescent="0.2">
      <c r="L1905" s="4">
        <v>1899</v>
      </c>
      <c r="M1905" s="21">
        <v>95529.65101704243</v>
      </c>
      <c r="N1905" s="42">
        <v>51.219812300981275</v>
      </c>
      <c r="O1905" s="43">
        <v>14446.298095985549</v>
      </c>
    </row>
    <row r="1906" spans="12:15" x14ac:dyDescent="0.2">
      <c r="L1906" s="4">
        <v>1900</v>
      </c>
      <c r="M1906" s="21">
        <v>-236220.93701487826</v>
      </c>
      <c r="N1906" s="42">
        <v>50.015027117535347</v>
      </c>
      <c r="O1906" s="43">
        <v>12705.248776092596</v>
      </c>
    </row>
    <row r="1907" spans="12:15" x14ac:dyDescent="0.2">
      <c r="L1907" s="4">
        <v>1901</v>
      </c>
      <c r="M1907" s="21">
        <v>88479.400325811468</v>
      </c>
      <c r="N1907" s="42">
        <v>51.403520801501621</v>
      </c>
      <c r="O1907" s="43">
        <v>14615.751181012189</v>
      </c>
    </row>
    <row r="1908" spans="12:15" x14ac:dyDescent="0.2">
      <c r="L1908" s="4">
        <v>1902</v>
      </c>
      <c r="M1908" s="21">
        <v>356188.46610110626</v>
      </c>
      <c r="N1908" s="42">
        <v>50.457191587798114</v>
      </c>
      <c r="O1908" s="43">
        <v>17128.602712336025</v>
      </c>
    </row>
    <row r="1909" spans="12:15" x14ac:dyDescent="0.2">
      <c r="L1909" s="4">
        <v>1903</v>
      </c>
      <c r="M1909" s="21">
        <v>-106473.34487923082</v>
      </c>
      <c r="N1909" s="42">
        <v>46.572649811623975</v>
      </c>
      <c r="O1909" s="43">
        <v>14171.845038015013</v>
      </c>
    </row>
    <row r="1910" spans="12:15" x14ac:dyDescent="0.2">
      <c r="L1910" s="4">
        <v>1904</v>
      </c>
      <c r="M1910" s="21">
        <v>-57710.3821634083</v>
      </c>
      <c r="N1910" s="42">
        <v>51.423521101143976</v>
      </c>
      <c r="O1910" s="43">
        <v>12810.2624198044</v>
      </c>
    </row>
    <row r="1911" spans="12:15" x14ac:dyDescent="0.2">
      <c r="L1911" s="4">
        <v>1905</v>
      </c>
      <c r="M1911" s="21">
        <v>63510.928067876608</v>
      </c>
      <c r="N1911" s="42">
        <v>48.076556423110908</v>
      </c>
      <c r="O1911" s="43">
        <v>16264.88352001432</v>
      </c>
    </row>
    <row r="1912" spans="12:15" x14ac:dyDescent="0.2">
      <c r="L1912" s="4">
        <v>1906</v>
      </c>
      <c r="M1912" s="21">
        <v>3030.0683169378899</v>
      </c>
      <c r="N1912" s="42">
        <v>46.175629983698876</v>
      </c>
      <c r="O1912" s="43">
        <v>17156.05564145579</v>
      </c>
    </row>
    <row r="1913" spans="12:15" x14ac:dyDescent="0.2">
      <c r="L1913" s="4">
        <v>1907</v>
      </c>
      <c r="M1913" s="21">
        <v>-91068.332389630741</v>
      </c>
      <c r="N1913" s="42">
        <v>49.515050652911889</v>
      </c>
      <c r="O1913" s="43">
        <v>14423.59581586266</v>
      </c>
    </row>
    <row r="1914" spans="12:15" x14ac:dyDescent="0.2">
      <c r="L1914" s="4">
        <v>1908</v>
      </c>
      <c r="M1914" s="21">
        <v>-115703.21836601367</v>
      </c>
      <c r="N1914" s="42">
        <v>48.760279113522351</v>
      </c>
      <c r="O1914" s="43">
        <v>13490.470613361098</v>
      </c>
    </row>
    <row r="1915" spans="12:15" x14ac:dyDescent="0.2">
      <c r="L1915" s="4">
        <v>1909</v>
      </c>
      <c r="M1915" s="21">
        <v>15531.784477729321</v>
      </c>
      <c r="N1915" s="42">
        <v>50.434674048272555</v>
      </c>
      <c r="O1915" s="43">
        <v>13780.23635179039</v>
      </c>
    </row>
    <row r="1916" spans="12:15" x14ac:dyDescent="0.2">
      <c r="L1916" s="4">
        <v>1910</v>
      </c>
      <c r="M1916" s="21">
        <v>-87048.214326055575</v>
      </c>
      <c r="N1916" s="42">
        <v>48.136677593141719</v>
      </c>
      <c r="O1916" s="43">
        <v>15189.944688588155</v>
      </c>
    </row>
    <row r="1917" spans="12:15" x14ac:dyDescent="0.2">
      <c r="L1917" s="4">
        <v>1911</v>
      </c>
      <c r="M1917" s="21">
        <v>112626.40082142927</v>
      </c>
      <c r="N1917" s="42">
        <v>49.726178118215479</v>
      </c>
      <c r="O1917" s="43">
        <v>15994.206506558972</v>
      </c>
    </row>
    <row r="1918" spans="12:15" x14ac:dyDescent="0.2">
      <c r="L1918" s="4">
        <v>1912</v>
      </c>
      <c r="M1918" s="21">
        <v>92532.233826414071</v>
      </c>
      <c r="N1918" s="42">
        <v>48.746571604315477</v>
      </c>
      <c r="O1918" s="43">
        <v>15745.047728418907</v>
      </c>
    </row>
    <row r="1919" spans="12:15" x14ac:dyDescent="0.2">
      <c r="L1919" s="4">
        <v>1913</v>
      </c>
      <c r="M1919" s="21">
        <v>27140.512661059853</v>
      </c>
      <c r="N1919" s="42">
        <v>48.473307631411416</v>
      </c>
      <c r="O1919" s="43">
        <v>14305.725946610275</v>
      </c>
    </row>
    <row r="1920" spans="12:15" x14ac:dyDescent="0.2">
      <c r="L1920" s="4">
        <v>1914</v>
      </c>
      <c r="M1920" s="21">
        <v>-81517.56918247763</v>
      </c>
      <c r="N1920" s="42">
        <v>51.158560049622317</v>
      </c>
      <c r="O1920" s="43">
        <v>13381.514192432405</v>
      </c>
    </row>
    <row r="1921" spans="12:15" x14ac:dyDescent="0.2">
      <c r="L1921" s="4">
        <v>1915</v>
      </c>
      <c r="M1921" s="21">
        <v>425.82363635537331</v>
      </c>
      <c r="N1921" s="42">
        <v>49.529296292008283</v>
      </c>
      <c r="O1921" s="43">
        <v>14405.033328147951</v>
      </c>
    </row>
    <row r="1922" spans="12:15" x14ac:dyDescent="0.2">
      <c r="L1922" s="4">
        <v>1916</v>
      </c>
      <c r="M1922" s="21">
        <v>-84981.908864037614</v>
      </c>
      <c r="N1922" s="42">
        <v>50.895200683291591</v>
      </c>
      <c r="O1922" s="43">
        <v>14017.484187139295</v>
      </c>
    </row>
    <row r="1923" spans="12:15" x14ac:dyDescent="0.2">
      <c r="L1923" s="4">
        <v>1917</v>
      </c>
      <c r="M1923" s="21">
        <v>-127464.66926837541</v>
      </c>
      <c r="N1923" s="42">
        <v>50.072243786532155</v>
      </c>
      <c r="O1923" s="43">
        <v>13279.09088518373</v>
      </c>
    </row>
    <row r="1924" spans="12:15" x14ac:dyDescent="0.2">
      <c r="L1924" s="4">
        <v>1918</v>
      </c>
      <c r="M1924" s="21">
        <v>-76652.229838587227</v>
      </c>
      <c r="N1924" s="42">
        <v>51.149447602581347</v>
      </c>
      <c r="O1924" s="43">
        <v>12110.515976859082</v>
      </c>
    </row>
    <row r="1925" spans="12:15" x14ac:dyDescent="0.2">
      <c r="L1925" s="4">
        <v>1919</v>
      </c>
      <c r="M1925" s="21">
        <v>-28823.660588478786</v>
      </c>
      <c r="N1925" s="42">
        <v>50.711404417909137</v>
      </c>
      <c r="O1925" s="43">
        <v>15813.660529210345</v>
      </c>
    </row>
    <row r="1926" spans="12:15" x14ac:dyDescent="0.2">
      <c r="L1926" s="4">
        <v>1920</v>
      </c>
      <c r="M1926" s="21">
        <v>-154399.58049967082</v>
      </c>
      <c r="N1926" s="42">
        <v>51.58919636644633</v>
      </c>
      <c r="O1926" s="43">
        <v>12104.404944875014</v>
      </c>
    </row>
    <row r="1927" spans="12:15" x14ac:dyDescent="0.2">
      <c r="L1927" s="4">
        <v>1921</v>
      </c>
      <c r="M1927" s="21">
        <v>-73308.619163956551</v>
      </c>
      <c r="N1927" s="42">
        <v>50.24691872760534</v>
      </c>
      <c r="O1927" s="43">
        <v>14692.072246509908</v>
      </c>
    </row>
    <row r="1928" spans="12:15" x14ac:dyDescent="0.2">
      <c r="L1928" s="4">
        <v>1922</v>
      </c>
      <c r="M1928" s="21">
        <v>44479.183267536631</v>
      </c>
      <c r="N1928" s="42">
        <v>50.004296257150223</v>
      </c>
      <c r="O1928" s="43">
        <v>15385.391650613215</v>
      </c>
    </row>
    <row r="1929" spans="12:15" x14ac:dyDescent="0.2">
      <c r="L1929" s="4">
        <v>1923</v>
      </c>
      <c r="M1929" s="21">
        <v>30393.006090383191</v>
      </c>
      <c r="N1929" s="42">
        <v>47.634421965018547</v>
      </c>
      <c r="O1929" s="43">
        <v>17162.698672340252</v>
      </c>
    </row>
    <row r="1930" spans="12:15" x14ac:dyDescent="0.2">
      <c r="L1930" s="4">
        <v>1924</v>
      </c>
      <c r="M1930" s="21">
        <v>-250643.97325359934</v>
      </c>
      <c r="N1930" s="42">
        <v>45.620382266033168</v>
      </c>
      <c r="O1930" s="43">
        <v>18490.296912096597</v>
      </c>
    </row>
    <row r="1931" spans="12:15" x14ac:dyDescent="0.2">
      <c r="L1931" s="4">
        <v>1925</v>
      </c>
      <c r="M1931" s="21">
        <v>-331641.06254701421</v>
      </c>
      <c r="N1931" s="42">
        <v>49.929165668209386</v>
      </c>
      <c r="O1931" s="43">
        <v>11172.396219970411</v>
      </c>
    </row>
    <row r="1932" spans="12:15" x14ac:dyDescent="0.2">
      <c r="L1932" s="4">
        <v>1926</v>
      </c>
      <c r="M1932" s="21">
        <v>64626.567883530137</v>
      </c>
      <c r="N1932" s="42">
        <v>50.770421667193602</v>
      </c>
      <c r="O1932" s="43">
        <v>13594.773312077217</v>
      </c>
    </row>
    <row r="1933" spans="12:15" x14ac:dyDescent="0.2">
      <c r="L1933" s="4">
        <v>1927</v>
      </c>
      <c r="M1933" s="21">
        <v>-85012.726416931633</v>
      </c>
      <c r="N1933" s="42">
        <v>49.60621595045302</v>
      </c>
      <c r="O1933" s="43">
        <v>14667.465705716979</v>
      </c>
    </row>
    <row r="1934" spans="12:15" x14ac:dyDescent="0.2">
      <c r="L1934" s="4">
        <v>1928</v>
      </c>
      <c r="M1934" s="21">
        <v>100651.10742567349</v>
      </c>
      <c r="N1934" s="42">
        <v>50.447697298618138</v>
      </c>
      <c r="O1934" s="43">
        <v>15488.29074548849</v>
      </c>
    </row>
    <row r="1935" spans="12:15" x14ac:dyDescent="0.2">
      <c r="L1935" s="4">
        <v>1929</v>
      </c>
      <c r="M1935" s="21">
        <v>-4353.0170581533021</v>
      </c>
      <c r="N1935" s="42">
        <v>50.000964841411694</v>
      </c>
      <c r="O1935" s="43">
        <v>14119.254930997096</v>
      </c>
    </row>
    <row r="1936" spans="12:15" x14ac:dyDescent="0.2">
      <c r="L1936" s="4">
        <v>1930</v>
      </c>
      <c r="M1936" s="21">
        <v>-163973.41825718319</v>
      </c>
      <c r="N1936" s="42">
        <v>50.567240163521525</v>
      </c>
      <c r="O1936" s="43">
        <v>13118.819718220364</v>
      </c>
    </row>
    <row r="1937" spans="12:15" x14ac:dyDescent="0.2">
      <c r="L1937" s="4">
        <v>1931</v>
      </c>
      <c r="M1937" s="21">
        <v>139395.42184710383</v>
      </c>
      <c r="N1937" s="42">
        <v>49.814133599117653</v>
      </c>
      <c r="O1937" s="43">
        <v>15657.328641538616</v>
      </c>
    </row>
    <row r="1938" spans="12:15" x14ac:dyDescent="0.2">
      <c r="L1938" s="4">
        <v>1932</v>
      </c>
      <c r="M1938" s="21">
        <v>3403.3053457757924</v>
      </c>
      <c r="N1938" s="42">
        <v>49.786973373706736</v>
      </c>
      <c r="O1938" s="43">
        <v>14364.484964407289</v>
      </c>
    </row>
    <row r="1939" spans="12:15" x14ac:dyDescent="0.2">
      <c r="L1939" s="4">
        <v>1933</v>
      </c>
      <c r="M1939" s="21">
        <v>98729.902126905683</v>
      </c>
      <c r="N1939" s="42">
        <v>47.04183707213879</v>
      </c>
      <c r="O1939" s="43">
        <v>16348.580035841689</v>
      </c>
    </row>
    <row r="1940" spans="12:15" x14ac:dyDescent="0.2">
      <c r="L1940" s="4">
        <v>1934</v>
      </c>
      <c r="M1940" s="21">
        <v>53965.091259202454</v>
      </c>
      <c r="N1940" s="42">
        <v>51.607920152542384</v>
      </c>
      <c r="O1940" s="43">
        <v>13682.916036429169</v>
      </c>
    </row>
    <row r="1941" spans="12:15" x14ac:dyDescent="0.2">
      <c r="L1941" s="4">
        <v>1935</v>
      </c>
      <c r="M1941" s="21">
        <v>-149379.97439124752</v>
      </c>
      <c r="N1941" s="42">
        <v>47.6686653600919</v>
      </c>
      <c r="O1941" s="43">
        <v>13834.930452566437</v>
      </c>
    </row>
    <row r="1942" spans="12:15" x14ac:dyDescent="0.2">
      <c r="L1942" s="4">
        <v>1936</v>
      </c>
      <c r="M1942" s="21">
        <v>-160866.34013321425</v>
      </c>
      <c r="N1942" s="42">
        <v>49.763591133622405</v>
      </c>
      <c r="O1942" s="43">
        <v>12178.805082056373</v>
      </c>
    </row>
    <row r="1943" spans="12:15" x14ac:dyDescent="0.2">
      <c r="L1943" s="4">
        <v>1937</v>
      </c>
      <c r="M1943" s="21">
        <v>69739.497859579627</v>
      </c>
      <c r="N1943" s="42">
        <v>49.430313193969695</v>
      </c>
      <c r="O1943" s="43">
        <v>15648.113194348649</v>
      </c>
    </row>
    <row r="1944" spans="12:15" x14ac:dyDescent="0.2">
      <c r="L1944" s="4">
        <v>1938</v>
      </c>
      <c r="M1944" s="21">
        <v>-95676.130521460218</v>
      </c>
      <c r="N1944" s="42">
        <v>49.975788052947067</v>
      </c>
      <c r="O1944" s="43">
        <v>14171.549076230051</v>
      </c>
    </row>
    <row r="1945" spans="12:15" x14ac:dyDescent="0.2">
      <c r="L1945" s="4">
        <v>1939</v>
      </c>
      <c r="M1945" s="21">
        <v>-80594.784046055182</v>
      </c>
      <c r="N1945" s="42">
        <v>48.78096201273344</v>
      </c>
      <c r="O1945" s="43">
        <v>16670.234992959642</v>
      </c>
    </row>
    <row r="1946" spans="12:15" x14ac:dyDescent="0.2">
      <c r="L1946" s="4">
        <v>1940</v>
      </c>
      <c r="M1946" s="21">
        <v>330.97150091821095</v>
      </c>
      <c r="N1946" s="42">
        <v>49.090589121774883</v>
      </c>
      <c r="O1946" s="43">
        <v>15362.416583127828</v>
      </c>
    </row>
    <row r="1947" spans="12:15" x14ac:dyDescent="0.2">
      <c r="L1947" s="4">
        <v>1941</v>
      </c>
      <c r="M1947" s="21">
        <v>-51061.137562513846</v>
      </c>
      <c r="N1947" s="42">
        <v>50.402555602030588</v>
      </c>
      <c r="O1947" s="43">
        <v>14192.059057153589</v>
      </c>
    </row>
    <row r="1948" spans="12:15" x14ac:dyDescent="0.2">
      <c r="L1948" s="4">
        <v>1942</v>
      </c>
      <c r="M1948" s="21">
        <v>-67764.891821413679</v>
      </c>
      <c r="N1948" s="42">
        <v>50.711047368328124</v>
      </c>
      <c r="O1948" s="43">
        <v>13325.030633581235</v>
      </c>
    </row>
    <row r="1949" spans="12:15" x14ac:dyDescent="0.2">
      <c r="L1949" s="4">
        <v>1943</v>
      </c>
      <c r="M1949" s="21">
        <v>-84955.270668262907</v>
      </c>
      <c r="N1949" s="42">
        <v>47.662440516676753</v>
      </c>
      <c r="O1949" s="43">
        <v>15488.696361260339</v>
      </c>
    </row>
    <row r="1950" spans="12:15" x14ac:dyDescent="0.2">
      <c r="L1950" s="4">
        <v>1944</v>
      </c>
      <c r="M1950" s="21">
        <v>153688.00935512656</v>
      </c>
      <c r="N1950" s="42">
        <v>50.545320884170437</v>
      </c>
      <c r="O1950" s="43">
        <v>16011.01830261121</v>
      </c>
    </row>
    <row r="1951" spans="12:15" x14ac:dyDescent="0.2">
      <c r="L1951" s="4">
        <v>1945</v>
      </c>
      <c r="M1951" s="21">
        <v>-65433.184288796358</v>
      </c>
      <c r="N1951" s="42">
        <v>50.386557808245463</v>
      </c>
      <c r="O1951" s="43">
        <v>13662.627093089357</v>
      </c>
    </row>
    <row r="1952" spans="12:15" x14ac:dyDescent="0.2">
      <c r="L1952" s="4">
        <v>1946</v>
      </c>
      <c r="M1952" s="21">
        <v>-34215.198825605868</v>
      </c>
      <c r="N1952" s="42">
        <v>48.328720186570557</v>
      </c>
      <c r="O1952" s="43">
        <v>15980.7803712769</v>
      </c>
    </row>
    <row r="1953" spans="12:15" x14ac:dyDescent="0.2">
      <c r="L1953" s="4">
        <v>1947</v>
      </c>
      <c r="M1953" s="21">
        <v>38008.480191760114</v>
      </c>
      <c r="N1953" s="42">
        <v>47.936783330197777</v>
      </c>
      <c r="O1953" s="43">
        <v>15995.051497362521</v>
      </c>
    </row>
    <row r="1954" spans="12:15" x14ac:dyDescent="0.2">
      <c r="L1954" s="4">
        <v>1948</v>
      </c>
      <c r="M1954" s="21">
        <v>-93926.217366267025</v>
      </c>
      <c r="N1954" s="42">
        <v>51.376860285289858</v>
      </c>
      <c r="O1954" s="43">
        <v>12437.246067784759</v>
      </c>
    </row>
    <row r="1955" spans="12:15" x14ac:dyDescent="0.2">
      <c r="L1955" s="4">
        <v>1949</v>
      </c>
      <c r="M1955" s="21">
        <v>-48821.385560557203</v>
      </c>
      <c r="N1955" s="42">
        <v>49.419692581827661</v>
      </c>
      <c r="O1955" s="43">
        <v>14761.387444477927</v>
      </c>
    </row>
    <row r="1956" spans="12:15" x14ac:dyDescent="0.2">
      <c r="L1956" s="4">
        <v>1950</v>
      </c>
      <c r="M1956" s="21">
        <v>82297.601345482661</v>
      </c>
      <c r="N1956" s="42">
        <v>51.072254619852508</v>
      </c>
      <c r="O1956" s="43">
        <v>15648.181618662591</v>
      </c>
    </row>
    <row r="1957" spans="12:15" x14ac:dyDescent="0.2">
      <c r="L1957" s="4">
        <v>1951</v>
      </c>
      <c r="M1957" s="21">
        <v>4452.9464859704312</v>
      </c>
      <c r="N1957" s="42">
        <v>49.202032343439377</v>
      </c>
      <c r="O1957" s="43">
        <v>15537.600737337138</v>
      </c>
    </row>
    <row r="1958" spans="12:15" x14ac:dyDescent="0.2">
      <c r="L1958" s="4">
        <v>1952</v>
      </c>
      <c r="M1958" s="21">
        <v>-152542.95015791652</v>
      </c>
      <c r="N1958" s="42">
        <v>48.89365203506982</v>
      </c>
      <c r="O1958" s="43">
        <v>14756.174373652711</v>
      </c>
    </row>
    <row r="1959" spans="12:15" x14ac:dyDescent="0.2">
      <c r="L1959" s="4">
        <v>1953</v>
      </c>
      <c r="M1959" s="21">
        <v>117807.12709545731</v>
      </c>
      <c r="N1959" s="42">
        <v>47.254533282786788</v>
      </c>
      <c r="O1959" s="43">
        <v>16236.420396119112</v>
      </c>
    </row>
    <row r="1960" spans="12:15" x14ac:dyDescent="0.2">
      <c r="L1960" s="4">
        <v>1954</v>
      </c>
      <c r="M1960" s="21">
        <v>-98277.88522482611</v>
      </c>
      <c r="N1960" s="42">
        <v>48.343211971494753</v>
      </c>
      <c r="O1960" s="43">
        <v>14908.637398546931</v>
      </c>
    </row>
    <row r="1961" spans="12:15" x14ac:dyDescent="0.2">
      <c r="L1961" s="4">
        <v>1955</v>
      </c>
      <c r="M1961" s="21">
        <v>144061.68272588853</v>
      </c>
      <c r="N1961" s="42">
        <v>49.100777688607074</v>
      </c>
      <c r="O1961" s="43">
        <v>17406.868267527785</v>
      </c>
    </row>
    <row r="1962" spans="12:15" x14ac:dyDescent="0.2">
      <c r="L1962" s="4">
        <v>1956</v>
      </c>
      <c r="M1962" s="21">
        <v>-18443.049666117833</v>
      </c>
      <c r="N1962" s="42">
        <v>48.78928026024883</v>
      </c>
      <c r="O1962" s="43">
        <v>15756.564761212983</v>
      </c>
    </row>
    <row r="1963" spans="12:15" x14ac:dyDescent="0.2">
      <c r="L1963" s="4">
        <v>1957</v>
      </c>
      <c r="M1963" s="21">
        <v>-143989.97186872386</v>
      </c>
      <c r="N1963" s="42">
        <v>49.720323527075806</v>
      </c>
      <c r="O1963" s="43">
        <v>13388.985374288684</v>
      </c>
    </row>
    <row r="1964" spans="12:15" x14ac:dyDescent="0.2">
      <c r="L1964" s="4">
        <v>1958</v>
      </c>
      <c r="M1964" s="21">
        <v>32231.913715918636</v>
      </c>
      <c r="N1964" s="42">
        <v>47.905854051891779</v>
      </c>
      <c r="O1964" s="43">
        <v>17302.233914055669</v>
      </c>
    </row>
    <row r="1965" spans="12:15" x14ac:dyDescent="0.2">
      <c r="L1965" s="4">
        <v>1959</v>
      </c>
      <c r="M1965" s="21">
        <v>-11359.659559505162</v>
      </c>
      <c r="N1965" s="42">
        <v>47.637012043720681</v>
      </c>
      <c r="O1965" s="43">
        <v>17695.228421386764</v>
      </c>
    </row>
    <row r="1966" spans="12:15" x14ac:dyDescent="0.2">
      <c r="L1966" s="4">
        <v>1960</v>
      </c>
      <c r="M1966" s="21">
        <v>82829.383546260098</v>
      </c>
      <c r="N1966" s="42">
        <v>50.8015534440393</v>
      </c>
      <c r="O1966" s="43">
        <v>15712.069907090274</v>
      </c>
    </row>
    <row r="1967" spans="12:15" x14ac:dyDescent="0.2">
      <c r="L1967" s="4">
        <v>1961</v>
      </c>
      <c r="M1967" s="21">
        <v>-23998.872357488202</v>
      </c>
      <c r="N1967" s="42">
        <v>49.832996143006739</v>
      </c>
      <c r="O1967" s="43">
        <v>14398.717248244426</v>
      </c>
    </row>
    <row r="1968" spans="12:15" x14ac:dyDescent="0.2">
      <c r="L1968" s="4">
        <v>1962</v>
      </c>
      <c r="M1968" s="21">
        <v>-101677.20669072286</v>
      </c>
      <c r="N1968" s="42">
        <v>48.364384190065479</v>
      </c>
      <c r="O1968" s="43">
        <v>16010.004694945754</v>
      </c>
    </row>
    <row r="1969" spans="12:15" x14ac:dyDescent="0.2">
      <c r="L1969" s="4">
        <v>1963</v>
      </c>
      <c r="M1969" s="21">
        <v>49315.711554700654</v>
      </c>
      <c r="N1969" s="42">
        <v>50.387352719950343</v>
      </c>
      <c r="O1969" s="43">
        <v>15193.965859212762</v>
      </c>
    </row>
    <row r="1970" spans="12:15" x14ac:dyDescent="0.2">
      <c r="L1970" s="4">
        <v>1964</v>
      </c>
      <c r="M1970" s="21">
        <v>-315293.0983612347</v>
      </c>
      <c r="N1970" s="42">
        <v>48.001911868345857</v>
      </c>
      <c r="O1970" s="43">
        <v>12700.070993406602</v>
      </c>
    </row>
    <row r="1971" spans="12:15" x14ac:dyDescent="0.2">
      <c r="L1971" s="4">
        <v>1965</v>
      </c>
      <c r="M1971" s="21">
        <v>-166841.81512983944</v>
      </c>
      <c r="N1971" s="42">
        <v>51.538856032515845</v>
      </c>
      <c r="O1971" s="43">
        <v>11576.69383424304</v>
      </c>
    </row>
    <row r="1972" spans="12:15" x14ac:dyDescent="0.2">
      <c r="L1972" s="4">
        <v>1966</v>
      </c>
      <c r="M1972" s="21">
        <v>-121404.84654963312</v>
      </c>
      <c r="N1972" s="42">
        <v>50.740623590591589</v>
      </c>
      <c r="O1972" s="43">
        <v>13073.52949008882</v>
      </c>
    </row>
    <row r="1973" spans="12:15" x14ac:dyDescent="0.2">
      <c r="L1973" s="4">
        <v>1967</v>
      </c>
      <c r="M1973" s="21">
        <v>-60609.389866805024</v>
      </c>
      <c r="N1973" s="42">
        <v>51.38026068397307</v>
      </c>
      <c r="O1973" s="43">
        <v>14130.774760664957</v>
      </c>
    </row>
    <row r="1974" spans="12:15" x14ac:dyDescent="0.2">
      <c r="L1974" s="4">
        <v>1968</v>
      </c>
      <c r="M1974" s="21">
        <v>-223912.57796523458</v>
      </c>
      <c r="N1974" s="42">
        <v>46.528488795011192</v>
      </c>
      <c r="O1974" s="43">
        <v>16498.314771516089</v>
      </c>
    </row>
    <row r="1975" spans="12:15" x14ac:dyDescent="0.2">
      <c r="L1975" s="4">
        <v>1969</v>
      </c>
      <c r="M1975" s="21">
        <v>160174.24196447709</v>
      </c>
      <c r="N1975" s="42">
        <v>50.30844323911213</v>
      </c>
      <c r="O1975" s="43">
        <v>15712.415974054424</v>
      </c>
    </row>
    <row r="1976" spans="12:15" x14ac:dyDescent="0.2">
      <c r="L1976" s="4">
        <v>1970</v>
      </c>
      <c r="M1976" s="21">
        <v>-45371.359407442826</v>
      </c>
      <c r="N1976" s="42">
        <v>51.289537649364142</v>
      </c>
      <c r="O1976" s="43">
        <v>13036.936004679827</v>
      </c>
    </row>
    <row r="1977" spans="12:15" x14ac:dyDescent="0.2">
      <c r="L1977" s="4">
        <v>1971</v>
      </c>
      <c r="M1977" s="21">
        <v>109521.06695426983</v>
      </c>
      <c r="N1977" s="42">
        <v>48.50720231237112</v>
      </c>
      <c r="O1977" s="43">
        <v>17666.661490859431</v>
      </c>
    </row>
    <row r="1978" spans="12:15" x14ac:dyDescent="0.2">
      <c r="L1978" s="4">
        <v>1972</v>
      </c>
      <c r="M1978" s="21">
        <v>-46896.191511657409</v>
      </c>
      <c r="N1978" s="42">
        <v>49.562211074262834</v>
      </c>
      <c r="O1978" s="43">
        <v>15327.156522283312</v>
      </c>
    </row>
    <row r="1979" spans="12:15" x14ac:dyDescent="0.2">
      <c r="L1979" s="4">
        <v>1973</v>
      </c>
      <c r="M1979" s="21">
        <v>141688.57956727763</v>
      </c>
      <c r="N1979" s="42">
        <v>50.923048268070197</v>
      </c>
      <c r="O1979" s="43">
        <v>15845.587121344548</v>
      </c>
    </row>
    <row r="1980" spans="12:15" x14ac:dyDescent="0.2">
      <c r="L1980" s="4">
        <v>1974</v>
      </c>
      <c r="M1980" s="21">
        <v>122603.73593375832</v>
      </c>
      <c r="N1980" s="42">
        <v>49.841571644218206</v>
      </c>
      <c r="O1980" s="43">
        <v>17709.528007574088</v>
      </c>
    </row>
    <row r="1981" spans="12:15" x14ac:dyDescent="0.2">
      <c r="L1981" s="4">
        <v>1975</v>
      </c>
      <c r="M1981" s="21">
        <v>154716.50972771368</v>
      </c>
      <c r="N1981" s="42">
        <v>50.492015351654608</v>
      </c>
      <c r="O1981" s="43">
        <v>16780.548519449265</v>
      </c>
    </row>
    <row r="1982" spans="12:15" x14ac:dyDescent="0.2">
      <c r="L1982" s="4">
        <v>1976</v>
      </c>
      <c r="M1982" s="21">
        <v>159673.00741909406</v>
      </c>
      <c r="N1982" s="42">
        <v>48.894259225281907</v>
      </c>
      <c r="O1982" s="43">
        <v>17965.51394460705</v>
      </c>
    </row>
    <row r="1983" spans="12:15" x14ac:dyDescent="0.2">
      <c r="L1983" s="4">
        <v>1977</v>
      </c>
      <c r="M1983" s="21">
        <v>-86656.169125618952</v>
      </c>
      <c r="N1983" s="42">
        <v>51.776067729742586</v>
      </c>
      <c r="O1983" s="43">
        <v>12407.981922582247</v>
      </c>
    </row>
    <row r="1984" spans="12:15" x14ac:dyDescent="0.2">
      <c r="L1984" s="4">
        <v>1978</v>
      </c>
      <c r="M1984" s="21">
        <v>175881.70580887265</v>
      </c>
      <c r="N1984" s="42">
        <v>51.419376576466874</v>
      </c>
      <c r="O1984" s="43">
        <v>15906.856862249331</v>
      </c>
    </row>
    <row r="1985" spans="12:15" x14ac:dyDescent="0.2">
      <c r="L1985" s="4">
        <v>1979</v>
      </c>
      <c r="M1985" s="21">
        <v>-47747.311563777694</v>
      </c>
      <c r="N1985" s="42">
        <v>51.486046342793415</v>
      </c>
      <c r="O1985" s="43">
        <v>13931.399855560476</v>
      </c>
    </row>
    <row r="1986" spans="12:15" x14ac:dyDescent="0.2">
      <c r="L1986" s="4">
        <v>1980</v>
      </c>
      <c r="M1986" s="21">
        <v>63994.497194742842</v>
      </c>
      <c r="N1986" s="42">
        <v>49.701935196455857</v>
      </c>
      <c r="O1986" s="43">
        <v>15879.08493891221</v>
      </c>
    </row>
    <row r="1987" spans="12:15" x14ac:dyDescent="0.2">
      <c r="L1987" s="4">
        <v>1981</v>
      </c>
      <c r="M1987" s="21">
        <v>10606.203622939967</v>
      </c>
      <c r="N1987" s="42">
        <v>50.385962725976469</v>
      </c>
      <c r="O1987" s="43">
        <v>13675.074228533045</v>
      </c>
    </row>
    <row r="1988" spans="12:15" x14ac:dyDescent="0.2">
      <c r="L1988" s="4">
        <v>1982</v>
      </c>
      <c r="M1988" s="21">
        <v>-175129.95001316175</v>
      </c>
      <c r="N1988" s="42">
        <v>50.342680282683169</v>
      </c>
      <c r="O1988" s="43">
        <v>11531.729462315965</v>
      </c>
    </row>
    <row r="1989" spans="12:15" x14ac:dyDescent="0.2">
      <c r="L1989" s="4">
        <v>1983</v>
      </c>
      <c r="M1989" s="21">
        <v>131440.7768713462</v>
      </c>
      <c r="N1989" s="42">
        <v>51.105638935680041</v>
      </c>
      <c r="O1989" s="43">
        <v>14128.875782147245</v>
      </c>
    </row>
    <row r="1990" spans="12:15" x14ac:dyDescent="0.2">
      <c r="L1990" s="4">
        <v>1984</v>
      </c>
      <c r="M1990" s="21">
        <v>-104180.81047205302</v>
      </c>
      <c r="N1990" s="42">
        <v>48.572445836549086</v>
      </c>
      <c r="O1990" s="43">
        <v>15319.67072618432</v>
      </c>
    </row>
    <row r="1991" spans="12:15" x14ac:dyDescent="0.2">
      <c r="L1991" s="4">
        <v>1985</v>
      </c>
      <c r="M1991" s="21">
        <v>-15197.768086037613</v>
      </c>
      <c r="N1991" s="42">
        <v>50.547695843154294</v>
      </c>
      <c r="O1991" s="43">
        <v>13969.438069463959</v>
      </c>
    </row>
    <row r="1992" spans="12:15" x14ac:dyDescent="0.2">
      <c r="L1992" s="4">
        <v>1986</v>
      </c>
      <c r="M1992" s="21">
        <v>-146119.19872178425</v>
      </c>
      <c r="N1992" s="42">
        <v>48.957025925823778</v>
      </c>
      <c r="O1992" s="43">
        <v>13885.508645643049</v>
      </c>
    </row>
    <row r="1993" spans="12:15" x14ac:dyDescent="0.2">
      <c r="L1993" s="4">
        <v>1987</v>
      </c>
      <c r="M1993" s="21">
        <v>14678.36157318388</v>
      </c>
      <c r="N1993" s="42">
        <v>48.425252160039207</v>
      </c>
      <c r="O1993" s="43">
        <v>15498.694971807688</v>
      </c>
    </row>
    <row r="1994" spans="12:15" x14ac:dyDescent="0.2">
      <c r="L1994" s="4">
        <v>1988</v>
      </c>
      <c r="M1994" s="21">
        <v>-6333.1713500238839</v>
      </c>
      <c r="N1994" s="42">
        <v>51.80102109818467</v>
      </c>
      <c r="O1994" s="43">
        <v>13740.329483998137</v>
      </c>
    </row>
    <row r="1995" spans="12:15" x14ac:dyDescent="0.2">
      <c r="L1995" s="4">
        <v>1989</v>
      </c>
      <c r="M1995" s="21">
        <v>41372.268330101302</v>
      </c>
      <c r="N1995" s="42">
        <v>49.062168371426417</v>
      </c>
      <c r="O1995" s="43">
        <v>14997.133798151881</v>
      </c>
    </row>
    <row r="1996" spans="12:15" x14ac:dyDescent="0.2">
      <c r="L1996" s="4">
        <v>1990</v>
      </c>
      <c r="M1996" s="21">
        <v>-30964.298727126778</v>
      </c>
      <c r="N1996" s="42">
        <v>50.285612847511473</v>
      </c>
      <c r="O1996" s="43">
        <v>13999.607301126332</v>
      </c>
    </row>
    <row r="1997" spans="12:15" x14ac:dyDescent="0.2">
      <c r="L1997" s="4">
        <v>1991</v>
      </c>
      <c r="M1997" s="21">
        <v>-221850.12956215831</v>
      </c>
      <c r="N1997" s="42">
        <v>47.900927962868714</v>
      </c>
      <c r="O1997" s="43">
        <v>14483.672927142401</v>
      </c>
    </row>
    <row r="1998" spans="12:15" x14ac:dyDescent="0.2">
      <c r="L1998" s="4">
        <v>1992</v>
      </c>
      <c r="M1998" s="21">
        <v>67373.016315774265</v>
      </c>
      <c r="N1998" s="42">
        <v>49.709939185570697</v>
      </c>
      <c r="O1998" s="43">
        <v>15032.037187013622</v>
      </c>
    </row>
    <row r="1999" spans="12:15" x14ac:dyDescent="0.2">
      <c r="L1999" s="4">
        <v>1993</v>
      </c>
      <c r="M1999" s="21">
        <v>-240364.8625790925</v>
      </c>
      <c r="N1999" s="42">
        <v>49.592397106881286</v>
      </c>
      <c r="O1999" s="43">
        <v>11868.065405703263</v>
      </c>
    </row>
    <row r="2000" spans="12:15" x14ac:dyDescent="0.2">
      <c r="L2000" s="4">
        <v>1994</v>
      </c>
      <c r="M2000" s="21">
        <v>-20781.694488967172</v>
      </c>
      <c r="N2000" s="42">
        <v>50.359883088459199</v>
      </c>
      <c r="O2000" s="43">
        <v>14362.973816887306</v>
      </c>
    </row>
    <row r="2001" spans="12:15" x14ac:dyDescent="0.2">
      <c r="L2001" s="4">
        <v>1995</v>
      </c>
      <c r="M2001" s="21">
        <v>34436.898136017262</v>
      </c>
      <c r="N2001" s="42">
        <v>49.942120741742002</v>
      </c>
      <c r="O2001" s="43">
        <v>15928.774320867758</v>
      </c>
    </row>
    <row r="2002" spans="12:15" x14ac:dyDescent="0.2">
      <c r="L2002" s="4">
        <v>1996</v>
      </c>
      <c r="M2002" s="21">
        <v>39787.408093425649</v>
      </c>
      <c r="N2002" s="42">
        <v>46.747711524946453</v>
      </c>
      <c r="O2002" s="43">
        <v>17145.883405886165</v>
      </c>
    </row>
    <row r="2003" spans="12:15" x14ac:dyDescent="0.2">
      <c r="L2003" s="4">
        <v>1997</v>
      </c>
      <c r="M2003" s="21">
        <v>242340.80554627869</v>
      </c>
      <c r="N2003" s="42">
        <v>51.255989805881057</v>
      </c>
      <c r="O2003" s="43">
        <v>17316.25571536897</v>
      </c>
    </row>
    <row r="2004" spans="12:15" x14ac:dyDescent="0.2">
      <c r="L2004" s="4">
        <v>1998</v>
      </c>
      <c r="M2004" s="21">
        <v>-72762.005473449593</v>
      </c>
      <c r="N2004" s="42">
        <v>47.398273806731133</v>
      </c>
      <c r="O2004" s="43">
        <v>14594.191039185029</v>
      </c>
    </row>
    <row r="2005" spans="12:15" x14ac:dyDescent="0.2">
      <c r="L2005" s="4">
        <v>1999</v>
      </c>
      <c r="M2005" s="21">
        <v>-3866.6697974529088</v>
      </c>
      <c r="N2005" s="42">
        <v>49.945959238930101</v>
      </c>
      <c r="O2005" s="43">
        <v>14717.84561055112</v>
      </c>
    </row>
    <row r="2006" spans="12:15" x14ac:dyDescent="0.2">
      <c r="L2006" s="4">
        <v>2000</v>
      </c>
      <c r="M2006" s="21">
        <v>-30293.161246195988</v>
      </c>
      <c r="N2006" s="42">
        <v>47.426016931384446</v>
      </c>
      <c r="O2006" s="43">
        <v>15074.008055558999</v>
      </c>
    </row>
    <row r="2007" spans="12:15" x14ac:dyDescent="0.2">
      <c r="L2007" s="4">
        <v>2001</v>
      </c>
      <c r="M2007" s="21">
        <v>-106839.81612096546</v>
      </c>
      <c r="N2007" s="42">
        <v>45.962409187719494</v>
      </c>
      <c r="O2007" s="43">
        <v>17715.905104513717</v>
      </c>
    </row>
    <row r="2008" spans="12:15" x14ac:dyDescent="0.2">
      <c r="L2008" s="4">
        <v>2002</v>
      </c>
      <c r="M2008" s="21">
        <v>99685.307570776582</v>
      </c>
      <c r="N2008" s="42">
        <v>51.558528156038932</v>
      </c>
      <c r="O2008" s="43">
        <v>15996.654650853388</v>
      </c>
    </row>
    <row r="2009" spans="12:15" x14ac:dyDescent="0.2">
      <c r="L2009" s="4">
        <v>2003</v>
      </c>
      <c r="M2009" s="21">
        <v>159207.99134535223</v>
      </c>
      <c r="N2009" s="42">
        <v>48.651845696531026</v>
      </c>
      <c r="O2009" s="43">
        <v>17373.088736591701</v>
      </c>
    </row>
    <row r="2010" spans="12:15" x14ac:dyDescent="0.2">
      <c r="L2010" s="4">
        <v>2004</v>
      </c>
      <c r="M2010" s="21">
        <v>182207.31308142692</v>
      </c>
      <c r="N2010" s="42">
        <v>50.66962058505905</v>
      </c>
      <c r="O2010" s="43">
        <v>16075.65044167463</v>
      </c>
    </row>
    <row r="2011" spans="12:15" x14ac:dyDescent="0.2">
      <c r="L2011" s="4">
        <v>2005</v>
      </c>
      <c r="M2011" s="21">
        <v>145679.21650122679</v>
      </c>
      <c r="N2011" s="42">
        <v>51.315113531838158</v>
      </c>
      <c r="O2011" s="43">
        <v>13560.595494122326</v>
      </c>
    </row>
    <row r="2012" spans="12:15" x14ac:dyDescent="0.2">
      <c r="L2012" s="4">
        <v>2006</v>
      </c>
      <c r="M2012" s="21">
        <v>55134.63028392769</v>
      </c>
      <c r="N2012" s="42">
        <v>48.734285323155888</v>
      </c>
      <c r="O2012" s="43">
        <v>16110.513348577062</v>
      </c>
    </row>
    <row r="2013" spans="12:15" x14ac:dyDescent="0.2">
      <c r="L2013" s="4">
        <v>2007</v>
      </c>
      <c r="M2013" s="21">
        <v>-234122.67632264082</v>
      </c>
      <c r="N2013" s="42">
        <v>45.116353395074604</v>
      </c>
      <c r="O2013" s="43">
        <v>15527.222504889589</v>
      </c>
    </row>
    <row r="2014" spans="12:15" x14ac:dyDescent="0.2">
      <c r="L2014" s="4">
        <v>2008</v>
      </c>
      <c r="M2014" s="21">
        <v>111305.18194164481</v>
      </c>
      <c r="N2014" s="42">
        <v>50.855083144739083</v>
      </c>
      <c r="O2014" s="43">
        <v>15321.738932066488</v>
      </c>
    </row>
    <row r="2015" spans="12:15" x14ac:dyDescent="0.2">
      <c r="L2015" s="4">
        <v>2009</v>
      </c>
      <c r="M2015" s="21">
        <v>-167224.34947474737</v>
      </c>
      <c r="N2015" s="42">
        <v>51.741520724469957</v>
      </c>
      <c r="O2015" s="43">
        <v>11752.727001854464</v>
      </c>
    </row>
    <row r="2016" spans="12:15" x14ac:dyDescent="0.2">
      <c r="L2016" s="4">
        <v>2010</v>
      </c>
      <c r="M2016" s="21">
        <v>-56827.440554480418</v>
      </c>
      <c r="N2016" s="42">
        <v>47.029432887955849</v>
      </c>
      <c r="O2016" s="43">
        <v>16285.191168314337</v>
      </c>
    </row>
    <row r="2017" spans="12:15" x14ac:dyDescent="0.2">
      <c r="L2017" s="4">
        <v>2011</v>
      </c>
      <c r="M2017" s="21">
        <v>158660.27551026503</v>
      </c>
      <c r="N2017" s="42">
        <v>50.106179822734454</v>
      </c>
      <c r="O2017" s="43">
        <v>16115.554123912463</v>
      </c>
    </row>
    <row r="2018" spans="12:15" x14ac:dyDescent="0.2">
      <c r="L2018" s="4">
        <v>2012</v>
      </c>
      <c r="M2018" s="21">
        <v>-65714.570079131387</v>
      </c>
      <c r="N2018" s="42">
        <v>47.496903063463812</v>
      </c>
      <c r="O2018" s="43">
        <v>17208.870214165381</v>
      </c>
    </row>
    <row r="2019" spans="12:15" x14ac:dyDescent="0.2">
      <c r="L2019" s="4">
        <v>2013</v>
      </c>
      <c r="M2019" s="21">
        <v>118461.38236465643</v>
      </c>
      <c r="N2019" s="42">
        <v>50.544575835066333</v>
      </c>
      <c r="O2019" s="43">
        <v>15516.039503367107</v>
      </c>
    </row>
    <row r="2020" spans="12:15" x14ac:dyDescent="0.2">
      <c r="L2020" s="4">
        <v>2014</v>
      </c>
      <c r="M2020" s="21">
        <v>-48927.633358479608</v>
      </c>
      <c r="N2020" s="42">
        <v>47.804235594912512</v>
      </c>
      <c r="O2020" s="43">
        <v>14935.143527358619</v>
      </c>
    </row>
    <row r="2021" spans="12:15" x14ac:dyDescent="0.2">
      <c r="L2021" s="4">
        <v>2015</v>
      </c>
      <c r="M2021" s="21">
        <v>-35841.865841672043</v>
      </c>
      <c r="N2021" s="42">
        <v>50.157048835606837</v>
      </c>
      <c r="O2021" s="43">
        <v>14564.562797400889</v>
      </c>
    </row>
    <row r="2022" spans="12:15" x14ac:dyDescent="0.2">
      <c r="L2022" s="4">
        <v>2016</v>
      </c>
      <c r="M2022" s="21">
        <v>-236526.48329249423</v>
      </c>
      <c r="N2022" s="42">
        <v>46.44277685269406</v>
      </c>
      <c r="O2022" s="43">
        <v>13160.525901548957</v>
      </c>
    </row>
    <row r="2023" spans="12:15" x14ac:dyDescent="0.2">
      <c r="L2023" s="4">
        <v>2017</v>
      </c>
      <c r="M2023" s="21">
        <v>-46886.890841366127</v>
      </c>
      <c r="N2023" s="42">
        <v>50.917751046042582</v>
      </c>
      <c r="O2023" s="43">
        <v>12914.567410350048</v>
      </c>
    </row>
    <row r="2024" spans="12:15" x14ac:dyDescent="0.2">
      <c r="L2024" s="4">
        <v>2018</v>
      </c>
      <c r="M2024" s="21">
        <v>26370.300240530894</v>
      </c>
      <c r="N2024" s="42">
        <v>50.109399467049798</v>
      </c>
      <c r="O2024" s="43">
        <v>16361.080275995417</v>
      </c>
    </row>
    <row r="2025" spans="12:15" x14ac:dyDescent="0.2">
      <c r="L2025" s="4">
        <v>2019</v>
      </c>
      <c r="M2025" s="21">
        <v>145294.06390841849</v>
      </c>
      <c r="N2025" s="42">
        <v>49.749122550566184</v>
      </c>
      <c r="O2025" s="43">
        <v>16757.295322818925</v>
      </c>
    </row>
    <row r="2026" spans="12:15" x14ac:dyDescent="0.2">
      <c r="L2026" s="4">
        <v>2020</v>
      </c>
      <c r="M2026" s="21">
        <v>-51243.838881700169</v>
      </c>
      <c r="N2026" s="42">
        <v>49.410086057955041</v>
      </c>
      <c r="O2026" s="43">
        <v>15900.028594705147</v>
      </c>
    </row>
    <row r="2027" spans="12:15" x14ac:dyDescent="0.2">
      <c r="L2027" s="4">
        <v>2021</v>
      </c>
      <c r="M2027" s="21">
        <v>-112782.76187404292</v>
      </c>
      <c r="N2027" s="42">
        <v>50.848220044647007</v>
      </c>
      <c r="O2027" s="43">
        <v>14042.290803215805</v>
      </c>
    </row>
    <row r="2028" spans="12:15" x14ac:dyDescent="0.2">
      <c r="L2028" s="4">
        <v>2022</v>
      </c>
      <c r="M2028" s="21">
        <v>-34675.661633998039</v>
      </c>
      <c r="N2028" s="42">
        <v>49.852649420748648</v>
      </c>
      <c r="O2028" s="43">
        <v>14094.35526085785</v>
      </c>
    </row>
    <row r="2029" spans="12:15" x14ac:dyDescent="0.2">
      <c r="L2029" s="4">
        <v>2023</v>
      </c>
      <c r="M2029" s="21">
        <v>-154812.81056353202</v>
      </c>
      <c r="N2029" s="42">
        <v>47.805013973964215</v>
      </c>
      <c r="O2029" s="43">
        <v>14590.940451976332</v>
      </c>
    </row>
    <row r="2030" spans="12:15" x14ac:dyDescent="0.2">
      <c r="L2030" s="4">
        <v>2024</v>
      </c>
      <c r="M2030" s="21">
        <v>-62943.14472259242</v>
      </c>
      <c r="N2030" s="42">
        <v>50.085867980006356</v>
      </c>
      <c r="O2030" s="43">
        <v>13108.969174229282</v>
      </c>
    </row>
    <row r="2031" spans="12:15" x14ac:dyDescent="0.2">
      <c r="L2031" s="4">
        <v>2025</v>
      </c>
      <c r="M2031" s="21">
        <v>-92399.886311676368</v>
      </c>
      <c r="N2031" s="42">
        <v>49.826490446531217</v>
      </c>
      <c r="O2031" s="43">
        <v>14224.347499107558</v>
      </c>
    </row>
    <row r="2032" spans="12:15" x14ac:dyDescent="0.2">
      <c r="L2032" s="4">
        <v>2026</v>
      </c>
      <c r="M2032" s="21">
        <v>151614.38731830087</v>
      </c>
      <c r="N2032" s="42">
        <v>51.454164429462871</v>
      </c>
      <c r="O2032" s="43">
        <v>13992.117464559911</v>
      </c>
    </row>
    <row r="2033" spans="12:15" x14ac:dyDescent="0.2">
      <c r="L2033" s="4">
        <v>2027</v>
      </c>
      <c r="M2033" s="21">
        <v>-114980.23301406991</v>
      </c>
      <c r="N2033" s="42">
        <v>48.532625291599061</v>
      </c>
      <c r="O2033" s="43">
        <v>13725.315433299062</v>
      </c>
    </row>
    <row r="2034" spans="12:15" x14ac:dyDescent="0.2">
      <c r="L2034" s="4">
        <v>2028</v>
      </c>
      <c r="M2034" s="21">
        <v>256526.64206231927</v>
      </c>
      <c r="N2034" s="42">
        <v>48.091496959140251</v>
      </c>
      <c r="O2034" s="43">
        <v>17110.499816124182</v>
      </c>
    </row>
    <row r="2035" spans="12:15" x14ac:dyDescent="0.2">
      <c r="L2035" s="4">
        <v>2029</v>
      </c>
      <c r="M2035" s="21">
        <v>-179058.32039448322</v>
      </c>
      <c r="N2035" s="42">
        <v>46.727067278139593</v>
      </c>
      <c r="O2035" s="43">
        <v>18251.172841517877</v>
      </c>
    </row>
    <row r="2036" spans="12:15" x14ac:dyDescent="0.2">
      <c r="L2036" s="4">
        <v>2030</v>
      </c>
      <c r="M2036" s="21">
        <v>3341.2521416649106</v>
      </c>
      <c r="N2036" s="42">
        <v>49.186987399860875</v>
      </c>
      <c r="O2036" s="43">
        <v>14176.701893444653</v>
      </c>
    </row>
    <row r="2037" spans="12:15" x14ac:dyDescent="0.2">
      <c r="L2037" s="4">
        <v>2031</v>
      </c>
      <c r="M2037" s="21">
        <v>150059.12095375234</v>
      </c>
      <c r="N2037" s="42">
        <v>50.167175801639686</v>
      </c>
      <c r="O2037" s="43">
        <v>15244.421601817952</v>
      </c>
    </row>
    <row r="2038" spans="12:15" x14ac:dyDescent="0.2">
      <c r="L2038" s="4">
        <v>2032</v>
      </c>
      <c r="M2038" s="21">
        <v>-31346.879289181466</v>
      </c>
      <c r="N2038" s="42">
        <v>47.303225980132126</v>
      </c>
      <c r="O2038" s="43">
        <v>15944.185123989826</v>
      </c>
    </row>
    <row r="2039" spans="12:15" x14ac:dyDescent="0.2">
      <c r="L2039" s="4">
        <v>2033</v>
      </c>
      <c r="M2039" s="21">
        <v>-28215.656304631746</v>
      </c>
      <c r="N2039" s="42">
        <v>51.259056062117565</v>
      </c>
      <c r="O2039" s="43">
        <v>12815.628955354394</v>
      </c>
    </row>
    <row r="2040" spans="12:15" x14ac:dyDescent="0.2">
      <c r="L2040" s="4">
        <v>2034</v>
      </c>
      <c r="M2040" s="21">
        <v>-59355.334286727608</v>
      </c>
      <c r="N2040" s="42">
        <v>48.901945306212689</v>
      </c>
      <c r="O2040" s="43">
        <v>15904.101180795209</v>
      </c>
    </row>
    <row r="2041" spans="12:15" x14ac:dyDescent="0.2">
      <c r="L2041" s="4">
        <v>2035</v>
      </c>
      <c r="M2041" s="21">
        <v>-107111.68111361095</v>
      </c>
      <c r="N2041" s="42">
        <v>49.34298399770114</v>
      </c>
      <c r="O2041" s="43">
        <v>14202.379695469932</v>
      </c>
    </row>
    <row r="2042" spans="12:15" x14ac:dyDescent="0.2">
      <c r="L2042" s="4">
        <v>2036</v>
      </c>
      <c r="M2042" s="21">
        <v>-162578.93303245027</v>
      </c>
      <c r="N2042" s="42">
        <v>50.52815099690585</v>
      </c>
      <c r="O2042" s="43">
        <v>13273.457302838318</v>
      </c>
    </row>
    <row r="2043" spans="12:15" x14ac:dyDescent="0.2">
      <c r="L2043" s="4">
        <v>2037</v>
      </c>
      <c r="M2043" s="21">
        <v>96773.547504202696</v>
      </c>
      <c r="N2043" s="42">
        <v>48.24087332696417</v>
      </c>
      <c r="O2043" s="43">
        <v>17036.705732123919</v>
      </c>
    </row>
    <row r="2044" spans="12:15" x14ac:dyDescent="0.2">
      <c r="L2044" s="4">
        <v>2038</v>
      </c>
      <c r="M2044" s="21">
        <v>-5517.4031225519429</v>
      </c>
      <c r="N2044" s="42">
        <v>47.929863893431417</v>
      </c>
      <c r="O2044" s="43">
        <v>15701.070675975103</v>
      </c>
    </row>
    <row r="2045" spans="12:15" x14ac:dyDescent="0.2">
      <c r="L2045" s="4">
        <v>2039</v>
      </c>
      <c r="M2045" s="21">
        <v>79670.883620584966</v>
      </c>
      <c r="N2045" s="42">
        <v>48.123458701252908</v>
      </c>
      <c r="O2045" s="43">
        <v>16293.481324842414</v>
      </c>
    </row>
    <row r="2046" spans="12:15" x14ac:dyDescent="0.2">
      <c r="L2046" s="4">
        <v>2040</v>
      </c>
      <c r="M2046" s="21">
        <v>123856.93299251774</v>
      </c>
      <c r="N2046" s="42">
        <v>48.028178707434151</v>
      </c>
      <c r="O2046" s="43">
        <v>16236.767126039891</v>
      </c>
    </row>
    <row r="2047" spans="12:15" x14ac:dyDescent="0.2">
      <c r="L2047" s="4">
        <v>2041</v>
      </c>
      <c r="M2047" s="21">
        <v>158994.67825592958</v>
      </c>
      <c r="N2047" s="42">
        <v>49.432298783945967</v>
      </c>
      <c r="O2047" s="43">
        <v>16695.475168126406</v>
      </c>
    </row>
    <row r="2048" spans="12:15" x14ac:dyDescent="0.2">
      <c r="L2048" s="4">
        <v>2042</v>
      </c>
      <c r="M2048" s="21">
        <v>70616.268142779241</v>
      </c>
      <c r="N2048" s="42">
        <v>48.236296741121642</v>
      </c>
      <c r="O2048" s="43">
        <v>17374.793959238901</v>
      </c>
    </row>
    <row r="2049" spans="12:15" x14ac:dyDescent="0.2">
      <c r="L2049" s="4">
        <v>2043</v>
      </c>
      <c r="M2049" s="21">
        <v>103814.68799259883</v>
      </c>
      <c r="N2049" s="42">
        <v>49.834740462968909</v>
      </c>
      <c r="O2049" s="43">
        <v>16321.028708441094</v>
      </c>
    </row>
    <row r="2050" spans="12:15" x14ac:dyDescent="0.2">
      <c r="L2050" s="4">
        <v>2044</v>
      </c>
      <c r="M2050" s="21">
        <v>-175759.80831204518</v>
      </c>
      <c r="N2050" s="42">
        <v>48.240018796831748</v>
      </c>
      <c r="O2050" s="43">
        <v>15121.155338659584</v>
      </c>
    </row>
    <row r="2051" spans="12:15" x14ac:dyDescent="0.2">
      <c r="L2051" s="4">
        <v>2045</v>
      </c>
      <c r="M2051" s="21">
        <v>29284.46220904481</v>
      </c>
      <c r="N2051" s="42">
        <v>49.656856013264232</v>
      </c>
      <c r="O2051" s="43">
        <v>15641.216539385907</v>
      </c>
    </row>
    <row r="2052" spans="12:15" x14ac:dyDescent="0.2">
      <c r="L2052" s="4">
        <v>2046</v>
      </c>
      <c r="M2052" s="21">
        <v>40735.729396266659</v>
      </c>
      <c r="N2052" s="42">
        <v>48.920094454432956</v>
      </c>
      <c r="O2052" s="43">
        <v>16043.748315189463</v>
      </c>
    </row>
    <row r="2053" spans="12:15" x14ac:dyDescent="0.2">
      <c r="L2053" s="4">
        <v>2047</v>
      </c>
      <c r="M2053" s="21">
        <v>-10811.851904545867</v>
      </c>
      <c r="N2053" s="42">
        <v>51.572899784553321</v>
      </c>
      <c r="O2053" s="43">
        <v>12619.904796311263</v>
      </c>
    </row>
    <row r="2054" spans="12:15" x14ac:dyDescent="0.2">
      <c r="L2054" s="4">
        <v>2048</v>
      </c>
      <c r="M2054" s="21">
        <v>10262.177398864325</v>
      </c>
      <c r="N2054" s="42">
        <v>50.677064188656601</v>
      </c>
      <c r="O2054" s="43">
        <v>15609.794363403267</v>
      </c>
    </row>
    <row r="2055" spans="12:15" x14ac:dyDescent="0.2">
      <c r="L2055" s="4">
        <v>2049</v>
      </c>
      <c r="M2055" s="21">
        <v>-28495.59203746423</v>
      </c>
      <c r="N2055" s="42">
        <v>49.136620005957511</v>
      </c>
      <c r="O2055" s="43">
        <v>14934.393426063067</v>
      </c>
    </row>
    <row r="2056" spans="12:15" x14ac:dyDescent="0.2">
      <c r="L2056" s="4">
        <v>2050</v>
      </c>
      <c r="M2056" s="21">
        <v>112578.12536631542</v>
      </c>
      <c r="N2056" s="42">
        <v>50.553520459377083</v>
      </c>
      <c r="O2056" s="43">
        <v>15596.192081606632</v>
      </c>
    </row>
    <row r="2057" spans="12:15" x14ac:dyDescent="0.2">
      <c r="L2057" s="4">
        <v>2051</v>
      </c>
      <c r="M2057" s="21">
        <v>-75473.649462870118</v>
      </c>
      <c r="N2057" s="42">
        <v>49.714292900623953</v>
      </c>
      <c r="O2057" s="43">
        <v>14372.631519228247</v>
      </c>
    </row>
    <row r="2058" spans="12:15" x14ac:dyDescent="0.2">
      <c r="L2058" s="4">
        <v>2052</v>
      </c>
      <c r="M2058" s="21">
        <v>-232480.40341281355</v>
      </c>
      <c r="N2058" s="42">
        <v>47.869441729388441</v>
      </c>
      <c r="O2058" s="43">
        <v>13147.924449100705</v>
      </c>
    </row>
    <row r="2059" spans="12:15" x14ac:dyDescent="0.2">
      <c r="L2059" s="4">
        <v>2053</v>
      </c>
      <c r="M2059" s="21">
        <v>-104826.57600467042</v>
      </c>
      <c r="N2059" s="42">
        <v>46.486554789895692</v>
      </c>
      <c r="O2059" s="43">
        <v>18064.72609768017</v>
      </c>
    </row>
    <row r="2060" spans="12:15" x14ac:dyDescent="0.2">
      <c r="L2060" s="4">
        <v>2054</v>
      </c>
      <c r="M2060" s="21">
        <v>77120.503731783538</v>
      </c>
      <c r="N2060" s="42">
        <v>50.766950060099504</v>
      </c>
      <c r="O2060" s="43">
        <v>15484.970647013353</v>
      </c>
    </row>
    <row r="2061" spans="12:15" x14ac:dyDescent="0.2">
      <c r="L2061" s="4">
        <v>2055</v>
      </c>
      <c r="M2061" s="21">
        <v>126284.85449412081</v>
      </c>
      <c r="N2061" s="42">
        <v>47.349647960513593</v>
      </c>
      <c r="O2061" s="43">
        <v>18243.679733303019</v>
      </c>
    </row>
    <row r="2062" spans="12:15" x14ac:dyDescent="0.2">
      <c r="L2062" s="4">
        <v>2056</v>
      </c>
      <c r="M2062" s="21">
        <v>77137.557004666713</v>
      </c>
      <c r="N2062" s="42">
        <v>46.758387095416097</v>
      </c>
      <c r="O2062" s="43">
        <v>16500.158753677628</v>
      </c>
    </row>
    <row r="2063" spans="12:15" x14ac:dyDescent="0.2">
      <c r="L2063" s="4">
        <v>2057</v>
      </c>
      <c r="M2063" s="21">
        <v>-200337.02976647124</v>
      </c>
      <c r="N2063" s="42">
        <v>49.363763726062977</v>
      </c>
      <c r="O2063" s="43">
        <v>12813.299352086695</v>
      </c>
    </row>
    <row r="2064" spans="12:15" x14ac:dyDescent="0.2">
      <c r="L2064" s="4">
        <v>2058</v>
      </c>
      <c r="M2064" s="21">
        <v>-209383.06330513657</v>
      </c>
      <c r="N2064" s="42">
        <v>49.876868104472749</v>
      </c>
      <c r="O2064" s="43">
        <v>13916.796562536856</v>
      </c>
    </row>
    <row r="2065" spans="12:15" x14ac:dyDescent="0.2">
      <c r="L2065" s="4">
        <v>2059</v>
      </c>
      <c r="M2065" s="21">
        <v>-192645.77566948882</v>
      </c>
      <c r="N2065" s="42">
        <v>46.557538619252632</v>
      </c>
      <c r="O2065" s="43">
        <v>16117.764261994645</v>
      </c>
    </row>
    <row r="2066" spans="12:15" x14ac:dyDescent="0.2">
      <c r="L2066" s="4">
        <v>2060</v>
      </c>
      <c r="M2066" s="21">
        <v>86205.575264575775</v>
      </c>
      <c r="N2066" s="42">
        <v>48.324294109381654</v>
      </c>
      <c r="O2066" s="43">
        <v>15176.698984105713</v>
      </c>
    </row>
    <row r="2067" spans="12:15" x14ac:dyDescent="0.2">
      <c r="L2067" s="4">
        <v>2061</v>
      </c>
      <c r="M2067" s="21">
        <v>-116060.87732992918</v>
      </c>
      <c r="N2067" s="42">
        <v>47.865403039764097</v>
      </c>
      <c r="O2067" s="43">
        <v>14198.022879261942</v>
      </c>
    </row>
    <row r="2068" spans="12:15" x14ac:dyDescent="0.2">
      <c r="L2068" s="4">
        <v>2062</v>
      </c>
      <c r="M2068" s="21">
        <v>30411.750850999117</v>
      </c>
      <c r="N2068" s="42">
        <v>51.400345933160203</v>
      </c>
      <c r="O2068" s="43">
        <v>13987.90803316028</v>
      </c>
    </row>
    <row r="2069" spans="12:15" x14ac:dyDescent="0.2">
      <c r="L2069" s="4">
        <v>2063</v>
      </c>
      <c r="M2069" s="21">
        <v>-179256.84005526794</v>
      </c>
      <c r="N2069" s="42">
        <v>48.970273073528936</v>
      </c>
      <c r="O2069" s="43">
        <v>12750.115747941858</v>
      </c>
    </row>
    <row r="2070" spans="12:15" x14ac:dyDescent="0.2">
      <c r="L2070" s="4">
        <v>2064</v>
      </c>
      <c r="M2070" s="21">
        <v>-180629.98589423686</v>
      </c>
      <c r="N2070" s="42">
        <v>49.753008315128113</v>
      </c>
      <c r="O2070" s="43">
        <v>14184.939040373709</v>
      </c>
    </row>
    <row r="2071" spans="12:15" x14ac:dyDescent="0.2">
      <c r="L2071" s="4">
        <v>2065</v>
      </c>
      <c r="M2071" s="21">
        <v>-140187.70498368982</v>
      </c>
      <c r="N2071" s="42">
        <v>45.576766094646572</v>
      </c>
      <c r="O2071" s="43">
        <v>15649.789425071502</v>
      </c>
    </row>
    <row r="2072" spans="12:15" x14ac:dyDescent="0.2">
      <c r="L2072" s="4">
        <v>2066</v>
      </c>
      <c r="M2072" s="21">
        <v>179717.09144369961</v>
      </c>
      <c r="N2072" s="42">
        <v>48.078062185221491</v>
      </c>
      <c r="O2072" s="43">
        <v>17889.419389888008</v>
      </c>
    </row>
    <row r="2073" spans="12:15" x14ac:dyDescent="0.2">
      <c r="L2073" s="4">
        <v>2067</v>
      </c>
      <c r="M2073" s="21">
        <v>-35209.441323025167</v>
      </c>
      <c r="N2073" s="42">
        <v>49.977113268091138</v>
      </c>
      <c r="O2073" s="43">
        <v>14270.361760770485</v>
      </c>
    </row>
    <row r="2074" spans="12:15" x14ac:dyDescent="0.2">
      <c r="L2074" s="4">
        <v>2068</v>
      </c>
      <c r="M2074" s="21">
        <v>178643.03800912749</v>
      </c>
      <c r="N2074" s="42">
        <v>51.737673235446849</v>
      </c>
      <c r="O2074" s="43">
        <v>14136.250571988996</v>
      </c>
    </row>
    <row r="2075" spans="12:15" x14ac:dyDescent="0.2">
      <c r="L2075" s="4">
        <v>2069</v>
      </c>
      <c r="M2075" s="21">
        <v>-124153.40129734986</v>
      </c>
      <c r="N2075" s="42">
        <v>49.89945747508299</v>
      </c>
      <c r="O2075" s="43">
        <v>13002.895544318601</v>
      </c>
    </row>
    <row r="2076" spans="12:15" x14ac:dyDescent="0.2">
      <c r="L2076" s="4">
        <v>2070</v>
      </c>
      <c r="M2076" s="21">
        <v>-9248.3096904230188</v>
      </c>
      <c r="N2076" s="42">
        <v>49.114736848134193</v>
      </c>
      <c r="O2076" s="43">
        <v>15354.063364675592</v>
      </c>
    </row>
    <row r="2077" spans="12:15" x14ac:dyDescent="0.2">
      <c r="L2077" s="4">
        <v>2071</v>
      </c>
      <c r="M2077" s="21">
        <v>81134.880350132356</v>
      </c>
      <c r="N2077" s="42">
        <v>46.625905385201428</v>
      </c>
      <c r="O2077" s="43">
        <v>17481.529224006947</v>
      </c>
    </row>
    <row r="2078" spans="12:15" x14ac:dyDescent="0.2">
      <c r="L2078" s="4">
        <v>2072</v>
      </c>
      <c r="M2078" s="21">
        <v>145754.62935312302</v>
      </c>
      <c r="N2078" s="42">
        <v>48.345547952749051</v>
      </c>
      <c r="O2078" s="43">
        <v>15576.155821191711</v>
      </c>
    </row>
    <row r="2079" spans="12:15" x14ac:dyDescent="0.2">
      <c r="L2079" s="4">
        <v>2073</v>
      </c>
      <c r="M2079" s="21">
        <v>-357071.7920084623</v>
      </c>
      <c r="N2079" s="42">
        <v>46.270528941988736</v>
      </c>
      <c r="O2079" s="43">
        <v>13746.720263743702</v>
      </c>
    </row>
    <row r="2080" spans="12:15" x14ac:dyDescent="0.2">
      <c r="L2080" s="4">
        <v>2074</v>
      </c>
      <c r="M2080" s="21">
        <v>105974.13527264504</v>
      </c>
      <c r="N2080" s="42">
        <v>50.447051120985073</v>
      </c>
      <c r="O2080" s="43">
        <v>14391.913804500353</v>
      </c>
    </row>
    <row r="2081" spans="12:15" x14ac:dyDescent="0.2">
      <c r="L2081" s="4">
        <v>2075</v>
      </c>
      <c r="M2081" s="21">
        <v>206479.87826718041</v>
      </c>
      <c r="N2081" s="42">
        <v>49.479476051489058</v>
      </c>
      <c r="O2081" s="43">
        <v>17416.343225092172</v>
      </c>
    </row>
    <row r="2082" spans="12:15" x14ac:dyDescent="0.2">
      <c r="L2082" s="4">
        <v>2076</v>
      </c>
      <c r="M2082" s="21">
        <v>45109.633483776503</v>
      </c>
      <c r="N2082" s="42">
        <v>47.185944109713013</v>
      </c>
      <c r="O2082" s="43">
        <v>16309.021948048736</v>
      </c>
    </row>
    <row r="2083" spans="12:15" x14ac:dyDescent="0.2">
      <c r="L2083" s="4">
        <v>2077</v>
      </c>
      <c r="M2083" s="21">
        <v>-15596.128353935477</v>
      </c>
      <c r="N2083" s="42">
        <v>50.775059348538235</v>
      </c>
      <c r="O2083" s="43">
        <v>13633.053420703854</v>
      </c>
    </row>
    <row r="2084" spans="12:15" x14ac:dyDescent="0.2">
      <c r="L2084" s="4">
        <v>2078</v>
      </c>
      <c r="M2084" s="21">
        <v>-49189.853806784755</v>
      </c>
      <c r="N2084" s="42">
        <v>49.932308587888386</v>
      </c>
      <c r="O2084" s="43">
        <v>13396.942139259825</v>
      </c>
    </row>
    <row r="2085" spans="12:15" x14ac:dyDescent="0.2">
      <c r="L2085" s="4">
        <v>2079</v>
      </c>
      <c r="M2085" s="21">
        <v>-191591.98086879263</v>
      </c>
      <c r="N2085" s="42">
        <v>48.253362226966146</v>
      </c>
      <c r="O2085" s="43">
        <v>14450.72844626418</v>
      </c>
    </row>
    <row r="2086" spans="12:15" x14ac:dyDescent="0.2">
      <c r="L2086" s="4">
        <v>2080</v>
      </c>
      <c r="M2086" s="21">
        <v>-49834.317072695078</v>
      </c>
      <c r="N2086" s="42">
        <v>48.967767042323686</v>
      </c>
      <c r="O2086" s="43">
        <v>14996.816416605363</v>
      </c>
    </row>
    <row r="2087" spans="12:15" x14ac:dyDescent="0.2">
      <c r="L2087" s="4">
        <v>2081</v>
      </c>
      <c r="M2087" s="21">
        <v>-48413.625951024442</v>
      </c>
      <c r="N2087" s="42">
        <v>50.951543760516095</v>
      </c>
      <c r="O2087" s="43">
        <v>13982.362417124636</v>
      </c>
    </row>
    <row r="2088" spans="12:15" x14ac:dyDescent="0.2">
      <c r="L2088" s="4">
        <v>2082</v>
      </c>
      <c r="M2088" s="21">
        <v>-119926.34247292309</v>
      </c>
      <c r="N2088" s="42">
        <v>50.330222229956171</v>
      </c>
      <c r="O2088" s="43">
        <v>14610.312950723785</v>
      </c>
    </row>
    <row r="2089" spans="12:15" x14ac:dyDescent="0.2">
      <c r="L2089" s="4">
        <v>2083</v>
      </c>
      <c r="M2089" s="21">
        <v>-24416.726963026798</v>
      </c>
      <c r="N2089" s="42">
        <v>50.990931495757152</v>
      </c>
      <c r="O2089" s="43">
        <v>12916.265348818541</v>
      </c>
    </row>
    <row r="2090" spans="12:15" x14ac:dyDescent="0.2">
      <c r="L2090" s="4">
        <v>2084</v>
      </c>
      <c r="M2090" s="21">
        <v>-72147.247314004722</v>
      </c>
      <c r="N2090" s="42">
        <v>49.686719598938915</v>
      </c>
      <c r="O2090" s="43">
        <v>14021.51467761487</v>
      </c>
    </row>
    <row r="2091" spans="12:15" x14ac:dyDescent="0.2">
      <c r="L2091" s="4">
        <v>2085</v>
      </c>
      <c r="M2091" s="21">
        <v>-157799.09951510961</v>
      </c>
      <c r="N2091" s="42">
        <v>48.189234269120874</v>
      </c>
      <c r="O2091" s="43">
        <v>14741.886873952182</v>
      </c>
    </row>
    <row r="2092" spans="12:15" x14ac:dyDescent="0.2">
      <c r="L2092" s="4">
        <v>2086</v>
      </c>
      <c r="M2092" s="21">
        <v>6695.9720163245802</v>
      </c>
      <c r="N2092" s="42">
        <v>49.051155466664177</v>
      </c>
      <c r="O2092" s="43">
        <v>15636.368376092731</v>
      </c>
    </row>
    <row r="2093" spans="12:15" x14ac:dyDescent="0.2">
      <c r="L2093" s="4">
        <v>2087</v>
      </c>
      <c r="M2093" s="21">
        <v>-80401.104309426475</v>
      </c>
      <c r="N2093" s="42">
        <v>51.507168287224744</v>
      </c>
      <c r="O2093" s="43">
        <v>13322.651298790011</v>
      </c>
    </row>
    <row r="2094" spans="12:15" x14ac:dyDescent="0.2">
      <c r="L2094" s="4">
        <v>2088</v>
      </c>
      <c r="M2094" s="21">
        <v>81211.597368610179</v>
      </c>
      <c r="N2094" s="42">
        <v>50.465990256628999</v>
      </c>
      <c r="O2094" s="43">
        <v>15276.590931730776</v>
      </c>
    </row>
    <row r="2095" spans="12:15" x14ac:dyDescent="0.2">
      <c r="L2095" s="4">
        <v>2089</v>
      </c>
      <c r="M2095" s="21">
        <v>-130489.8801433503</v>
      </c>
      <c r="N2095" s="42">
        <v>47.783219273488463</v>
      </c>
      <c r="O2095" s="43">
        <v>13561.992128107142</v>
      </c>
    </row>
    <row r="2096" spans="12:15" x14ac:dyDescent="0.2">
      <c r="L2096" s="4">
        <v>2090</v>
      </c>
      <c r="M2096" s="21">
        <v>-150788.0113533035</v>
      </c>
      <c r="N2096" s="42">
        <v>50.035752155550846</v>
      </c>
      <c r="O2096" s="43">
        <v>12076.481800195856</v>
      </c>
    </row>
    <row r="2097" spans="12:15" x14ac:dyDescent="0.2">
      <c r="L2097" s="4">
        <v>2091</v>
      </c>
      <c r="M2097" s="21">
        <v>201518.56106751115</v>
      </c>
      <c r="N2097" s="42">
        <v>50.417661075592477</v>
      </c>
      <c r="O2097" s="43">
        <v>15744.604470333006</v>
      </c>
    </row>
    <row r="2098" spans="12:15" x14ac:dyDescent="0.2">
      <c r="L2098" s="4">
        <v>2092</v>
      </c>
      <c r="M2098" s="21">
        <v>-47671.400265260003</v>
      </c>
      <c r="N2098" s="42">
        <v>48.376496186156807</v>
      </c>
      <c r="O2098" s="43">
        <v>13618.727225512699</v>
      </c>
    </row>
    <row r="2099" spans="12:15" x14ac:dyDescent="0.2">
      <c r="L2099" s="4">
        <v>2093</v>
      </c>
      <c r="M2099" s="21">
        <v>-10636.405825325885</v>
      </c>
      <c r="N2099" s="42">
        <v>50.674132894804544</v>
      </c>
      <c r="O2099" s="43">
        <v>15067.820894241631</v>
      </c>
    </row>
    <row r="2100" spans="12:15" x14ac:dyDescent="0.2">
      <c r="L2100" s="4">
        <v>2094</v>
      </c>
      <c r="M2100" s="21">
        <v>189156.33062115559</v>
      </c>
      <c r="N2100" s="42">
        <v>49.397852001563223</v>
      </c>
      <c r="O2100" s="43">
        <v>18665.020285850158</v>
      </c>
    </row>
    <row r="2101" spans="12:15" x14ac:dyDescent="0.2">
      <c r="L2101" s="4">
        <v>2095</v>
      </c>
      <c r="M2101" s="21">
        <v>10950.186325103918</v>
      </c>
      <c r="N2101" s="42">
        <v>50.878129882460428</v>
      </c>
      <c r="O2101" s="43">
        <v>14635.937109138882</v>
      </c>
    </row>
    <row r="2102" spans="12:15" x14ac:dyDescent="0.2">
      <c r="L2102" s="4">
        <v>2096</v>
      </c>
      <c r="M2102" s="21">
        <v>127894.9214915238</v>
      </c>
      <c r="N2102" s="42">
        <v>50.696406947562011</v>
      </c>
      <c r="O2102" s="43">
        <v>15006.99236402062</v>
      </c>
    </row>
    <row r="2103" spans="12:15" x14ac:dyDescent="0.2">
      <c r="L2103" s="4">
        <v>2097</v>
      </c>
      <c r="M2103" s="21">
        <v>123198.54210969276</v>
      </c>
      <c r="N2103" s="42">
        <v>50.156196404135976</v>
      </c>
      <c r="O2103" s="43">
        <v>15700.258644437763</v>
      </c>
    </row>
    <row r="2104" spans="12:15" x14ac:dyDescent="0.2">
      <c r="L2104" s="4">
        <v>2098</v>
      </c>
      <c r="M2104" s="21">
        <v>-30413.285616388559</v>
      </c>
      <c r="N2104" s="42">
        <v>49.607654391766879</v>
      </c>
      <c r="O2104" s="43">
        <v>15092.804113926184</v>
      </c>
    </row>
    <row r="2105" spans="12:15" x14ac:dyDescent="0.2">
      <c r="L2105" s="4">
        <v>2099</v>
      </c>
      <c r="M2105" s="21">
        <v>148253.16831597826</v>
      </c>
      <c r="N2105" s="42">
        <v>48.539205248640592</v>
      </c>
      <c r="O2105" s="43">
        <v>16279.456811564776</v>
      </c>
    </row>
    <row r="2106" spans="12:15" x14ac:dyDescent="0.2">
      <c r="L2106" s="4">
        <v>2100</v>
      </c>
      <c r="M2106" s="21">
        <v>-102739.81188689404</v>
      </c>
      <c r="N2106" s="42">
        <v>46.369366071684027</v>
      </c>
      <c r="O2106" s="43">
        <v>15605.4451007977</v>
      </c>
    </row>
    <row r="2107" spans="12:15" x14ac:dyDescent="0.2">
      <c r="L2107" s="4">
        <v>2101</v>
      </c>
      <c r="M2107" s="21">
        <v>-48727.871478512403</v>
      </c>
      <c r="N2107" s="42">
        <v>50.811957913468675</v>
      </c>
      <c r="O2107" s="43">
        <v>13526.537325025056</v>
      </c>
    </row>
    <row r="2108" spans="12:15" x14ac:dyDescent="0.2">
      <c r="L2108" s="4">
        <v>2102</v>
      </c>
      <c r="M2108" s="21">
        <v>-101009.82683764384</v>
      </c>
      <c r="N2108" s="42">
        <v>50.955579590913359</v>
      </c>
      <c r="O2108" s="43">
        <v>12921.191021467865</v>
      </c>
    </row>
    <row r="2109" spans="12:15" x14ac:dyDescent="0.2">
      <c r="L2109" s="4">
        <v>2103</v>
      </c>
      <c r="M2109" s="21">
        <v>182586.90550087855</v>
      </c>
      <c r="N2109" s="42">
        <v>49.458898271485914</v>
      </c>
      <c r="O2109" s="43">
        <v>16435.213630095004</v>
      </c>
    </row>
    <row r="2110" spans="12:15" x14ac:dyDescent="0.2">
      <c r="L2110" s="4">
        <v>2104</v>
      </c>
      <c r="M2110" s="21">
        <v>-47201.958225502764</v>
      </c>
      <c r="N2110" s="42">
        <v>50.694384220043098</v>
      </c>
      <c r="O2110" s="43">
        <v>13672.419851817884</v>
      </c>
    </row>
    <row r="2111" spans="12:15" x14ac:dyDescent="0.2">
      <c r="L2111" s="4">
        <v>2105</v>
      </c>
      <c r="M2111" s="21">
        <v>-18142.407723841243</v>
      </c>
      <c r="N2111" s="42">
        <v>50.876175806868055</v>
      </c>
      <c r="O2111" s="43">
        <v>13805.383759058894</v>
      </c>
    </row>
    <row r="2112" spans="12:15" x14ac:dyDescent="0.2">
      <c r="L2112" s="4">
        <v>2106</v>
      </c>
      <c r="M2112" s="21">
        <v>-127261.36429123225</v>
      </c>
      <c r="N2112" s="42">
        <v>49.767053381943192</v>
      </c>
      <c r="O2112" s="43">
        <v>13963.37066026844</v>
      </c>
    </row>
    <row r="2113" spans="12:15" x14ac:dyDescent="0.2">
      <c r="L2113" s="4">
        <v>2107</v>
      </c>
      <c r="M2113" s="21">
        <v>14043.009570462222</v>
      </c>
      <c r="N2113" s="42">
        <v>48.536516181601428</v>
      </c>
      <c r="O2113" s="43">
        <v>14392.674966849645</v>
      </c>
    </row>
    <row r="2114" spans="12:15" x14ac:dyDescent="0.2">
      <c r="L2114" s="4">
        <v>2108</v>
      </c>
      <c r="M2114" s="21">
        <v>-174418.65282414202</v>
      </c>
      <c r="N2114" s="42">
        <v>47.98493695586366</v>
      </c>
      <c r="O2114" s="43">
        <v>14481.372446546173</v>
      </c>
    </row>
    <row r="2115" spans="12:15" x14ac:dyDescent="0.2">
      <c r="L2115" s="4">
        <v>2109</v>
      </c>
      <c r="M2115" s="21">
        <v>132321.50694291524</v>
      </c>
      <c r="N2115" s="42">
        <v>50.703262285719227</v>
      </c>
      <c r="O2115" s="43">
        <v>15443.669800471447</v>
      </c>
    </row>
    <row r="2116" spans="12:15" x14ac:dyDescent="0.2">
      <c r="L2116" s="4">
        <v>2110</v>
      </c>
      <c r="M2116" s="21">
        <v>160859.18133643753</v>
      </c>
      <c r="N2116" s="42">
        <v>50.299202740942519</v>
      </c>
      <c r="O2116" s="43">
        <v>14542.177713064284</v>
      </c>
    </row>
    <row r="2117" spans="12:15" x14ac:dyDescent="0.2">
      <c r="L2117" s="4">
        <v>2111</v>
      </c>
      <c r="M2117" s="21">
        <v>39606.064271618467</v>
      </c>
      <c r="N2117" s="42">
        <v>50.766443510146416</v>
      </c>
      <c r="O2117" s="43">
        <v>13651.419582756072</v>
      </c>
    </row>
    <row r="2118" spans="12:15" x14ac:dyDescent="0.2">
      <c r="L2118" s="4">
        <v>2112</v>
      </c>
      <c r="M2118" s="21">
        <v>-188735.45411763783</v>
      </c>
      <c r="N2118" s="42">
        <v>46.684350345386605</v>
      </c>
      <c r="O2118" s="43">
        <v>15040.708849225506</v>
      </c>
    </row>
    <row r="2119" spans="12:15" x14ac:dyDescent="0.2">
      <c r="L2119" s="4">
        <v>2113</v>
      </c>
      <c r="M2119" s="21">
        <v>-36254.486727984535</v>
      </c>
      <c r="N2119" s="42">
        <v>49.614017524779847</v>
      </c>
      <c r="O2119" s="43">
        <v>14541.528337963628</v>
      </c>
    </row>
    <row r="2120" spans="12:15" x14ac:dyDescent="0.2">
      <c r="L2120" s="4">
        <v>2114</v>
      </c>
      <c r="M2120" s="21">
        <v>-75261.172232674318</v>
      </c>
      <c r="N2120" s="42">
        <v>49.040092325358493</v>
      </c>
      <c r="O2120" s="43">
        <v>15707.732390346235</v>
      </c>
    </row>
    <row r="2121" spans="12:15" x14ac:dyDescent="0.2">
      <c r="L2121" s="4">
        <v>2115</v>
      </c>
      <c r="M2121" s="21">
        <v>79973.914508204296</v>
      </c>
      <c r="N2121" s="42">
        <v>51.07488003114311</v>
      </c>
      <c r="O2121" s="43">
        <v>15694.316335017815</v>
      </c>
    </row>
    <row r="2122" spans="12:15" x14ac:dyDescent="0.2">
      <c r="L2122" s="4">
        <v>2116</v>
      </c>
      <c r="M2122" s="21">
        <v>-11641.515010079558</v>
      </c>
      <c r="N2122" s="42">
        <v>51.725990991730114</v>
      </c>
      <c r="O2122" s="43">
        <v>14940.256081339759</v>
      </c>
    </row>
    <row r="2123" spans="12:15" x14ac:dyDescent="0.2">
      <c r="L2123" s="4">
        <v>2117</v>
      </c>
      <c r="M2123" s="21">
        <v>-257620.98468412715</v>
      </c>
      <c r="N2123" s="42">
        <v>50.483093116748734</v>
      </c>
      <c r="O2123" s="43">
        <v>12332.605982026933</v>
      </c>
    </row>
    <row r="2124" spans="12:15" x14ac:dyDescent="0.2">
      <c r="L2124" s="4">
        <v>2118</v>
      </c>
      <c r="M2124" s="21">
        <v>-105717.32870722951</v>
      </c>
      <c r="N2124" s="42">
        <v>47.43668042063473</v>
      </c>
      <c r="O2124" s="43">
        <v>16470.571393839709</v>
      </c>
    </row>
    <row r="2125" spans="12:15" x14ac:dyDescent="0.2">
      <c r="L2125" s="4">
        <v>2119</v>
      </c>
      <c r="M2125" s="21">
        <v>-185913.17001756196</v>
      </c>
      <c r="N2125" s="42">
        <v>49.103236319103665</v>
      </c>
      <c r="O2125" s="43">
        <v>14519.162836340709</v>
      </c>
    </row>
    <row r="2126" spans="12:15" x14ac:dyDescent="0.2">
      <c r="L2126" s="4">
        <v>2120</v>
      </c>
      <c r="M2126" s="21">
        <v>-24579.252755957525</v>
      </c>
      <c r="N2126" s="42">
        <v>50.729496334799776</v>
      </c>
      <c r="O2126" s="43">
        <v>13729.333640845063</v>
      </c>
    </row>
    <row r="2127" spans="12:15" x14ac:dyDescent="0.2">
      <c r="L2127" s="4">
        <v>2121</v>
      </c>
      <c r="M2127" s="21">
        <v>25556.508578434092</v>
      </c>
      <c r="N2127" s="42">
        <v>47.860824255047589</v>
      </c>
      <c r="O2127" s="43">
        <v>15565.550994624635</v>
      </c>
    </row>
    <row r="2128" spans="12:15" x14ac:dyDescent="0.2">
      <c r="L2128" s="4">
        <v>2122</v>
      </c>
      <c r="M2128" s="21">
        <v>104994.44011390879</v>
      </c>
      <c r="N2128" s="42">
        <v>51.387256252304631</v>
      </c>
      <c r="O2128" s="43">
        <v>13985.386586153836</v>
      </c>
    </row>
    <row r="2129" spans="12:15" x14ac:dyDescent="0.2">
      <c r="L2129" s="4">
        <v>2123</v>
      </c>
      <c r="M2129" s="21">
        <v>172533.0291010683</v>
      </c>
      <c r="N2129" s="42">
        <v>51.398787099836127</v>
      </c>
      <c r="O2129" s="43">
        <v>13937.591257911887</v>
      </c>
    </row>
    <row r="2130" spans="12:15" x14ac:dyDescent="0.2">
      <c r="L2130" s="4">
        <v>2124</v>
      </c>
      <c r="M2130" s="21">
        <v>193383.37190838179</v>
      </c>
      <c r="N2130" s="42">
        <v>51.364031472028273</v>
      </c>
      <c r="O2130" s="43">
        <v>16600.7906869281</v>
      </c>
    </row>
    <row r="2131" spans="12:15" x14ac:dyDescent="0.2">
      <c r="L2131" s="4">
        <v>2125</v>
      </c>
      <c r="M2131" s="21">
        <v>-75206.67804227391</v>
      </c>
      <c r="N2131" s="42">
        <v>47.362870501164963</v>
      </c>
      <c r="O2131" s="43">
        <v>15912.150180737528</v>
      </c>
    </row>
    <row r="2132" spans="12:15" x14ac:dyDescent="0.2">
      <c r="L2132" s="4">
        <v>2126</v>
      </c>
      <c r="M2132" s="21">
        <v>-46560.547842846412</v>
      </c>
      <c r="N2132" s="42">
        <v>47.753073306489327</v>
      </c>
      <c r="O2132" s="43">
        <v>17666.055682312261</v>
      </c>
    </row>
    <row r="2133" spans="12:15" x14ac:dyDescent="0.2">
      <c r="L2133" s="4">
        <v>2127</v>
      </c>
      <c r="M2133" s="21">
        <v>-119412.82379368268</v>
      </c>
      <c r="N2133" s="42">
        <v>49.706658888781881</v>
      </c>
      <c r="O2133" s="43">
        <v>14053.226636842817</v>
      </c>
    </row>
    <row r="2134" spans="12:15" x14ac:dyDescent="0.2">
      <c r="L2134" s="4">
        <v>2128</v>
      </c>
      <c r="M2134" s="21">
        <v>-3902.9933555243333</v>
      </c>
      <c r="N2134" s="42">
        <v>51.311367427126477</v>
      </c>
      <c r="O2134" s="43">
        <v>13522.409017733675</v>
      </c>
    </row>
    <row r="2135" spans="12:15" x14ac:dyDescent="0.2">
      <c r="L2135" s="4">
        <v>2129</v>
      </c>
      <c r="M2135" s="21">
        <v>-42648.807887351169</v>
      </c>
      <c r="N2135" s="42">
        <v>48.730626271502352</v>
      </c>
      <c r="O2135" s="43">
        <v>14438.21508924203</v>
      </c>
    </row>
    <row r="2136" spans="12:15" x14ac:dyDescent="0.2">
      <c r="L2136" s="4">
        <v>2130</v>
      </c>
      <c r="M2136" s="21">
        <v>111846.36024478963</v>
      </c>
      <c r="N2136" s="42">
        <v>49.732263989750507</v>
      </c>
      <c r="O2136" s="43">
        <v>15256.760089475743</v>
      </c>
    </row>
    <row r="2137" spans="12:15" x14ac:dyDescent="0.2">
      <c r="L2137" s="4">
        <v>2131</v>
      </c>
      <c r="M2137" s="21">
        <v>151381.84531256586</v>
      </c>
      <c r="N2137" s="42">
        <v>49.278595837438523</v>
      </c>
      <c r="O2137" s="43">
        <v>16405.721291495349</v>
      </c>
    </row>
    <row r="2138" spans="12:15" x14ac:dyDescent="0.2">
      <c r="L2138" s="4">
        <v>2132</v>
      </c>
      <c r="M2138" s="21">
        <v>72374.181761721498</v>
      </c>
      <c r="N2138" s="42">
        <v>49.020738111821132</v>
      </c>
      <c r="O2138" s="43">
        <v>15707.163247000592</v>
      </c>
    </row>
    <row r="2139" spans="12:15" x14ac:dyDescent="0.2">
      <c r="L2139" s="4">
        <v>2133</v>
      </c>
      <c r="M2139" s="21">
        <v>-178265.40281215607</v>
      </c>
      <c r="N2139" s="42">
        <v>50.359385168314908</v>
      </c>
      <c r="O2139" s="43">
        <v>13546.891090012483</v>
      </c>
    </row>
    <row r="2140" spans="12:15" x14ac:dyDescent="0.2">
      <c r="L2140" s="4">
        <v>2134</v>
      </c>
      <c r="M2140" s="21">
        <v>76484.226200735313</v>
      </c>
      <c r="N2140" s="42">
        <v>50.038356733241457</v>
      </c>
      <c r="O2140" s="43">
        <v>16300.934416146265</v>
      </c>
    </row>
    <row r="2141" spans="12:15" x14ac:dyDescent="0.2">
      <c r="L2141" s="4">
        <v>2135</v>
      </c>
      <c r="M2141" s="21">
        <v>148681.57448794055</v>
      </c>
      <c r="N2141" s="42">
        <v>50.384126448489312</v>
      </c>
      <c r="O2141" s="43">
        <v>15840.166603310285</v>
      </c>
    </row>
    <row r="2142" spans="12:15" x14ac:dyDescent="0.2">
      <c r="L2142" s="4">
        <v>2136</v>
      </c>
      <c r="M2142" s="21">
        <v>148251.62223239022</v>
      </c>
      <c r="N2142" s="42">
        <v>50.349322641621875</v>
      </c>
      <c r="O2142" s="43">
        <v>16072.499860291249</v>
      </c>
    </row>
    <row r="2143" spans="12:15" x14ac:dyDescent="0.2">
      <c r="L2143" s="4">
        <v>2137</v>
      </c>
      <c r="M2143" s="21">
        <v>-10574.642586670292</v>
      </c>
      <c r="N2143" s="42">
        <v>47.924570389019514</v>
      </c>
      <c r="O2143" s="43">
        <v>16594.884034204748</v>
      </c>
    </row>
    <row r="2144" spans="12:15" x14ac:dyDescent="0.2">
      <c r="L2144" s="4">
        <v>2138</v>
      </c>
      <c r="M2144" s="21">
        <v>64410.178603276203</v>
      </c>
      <c r="N2144" s="42">
        <v>51.18976843620505</v>
      </c>
      <c r="O2144" s="43">
        <v>15147.706457367485</v>
      </c>
    </row>
    <row r="2145" spans="12:15" x14ac:dyDescent="0.2">
      <c r="L2145" s="4">
        <v>2139</v>
      </c>
      <c r="M2145" s="21">
        <v>-40612.124801809958</v>
      </c>
      <c r="N2145" s="42">
        <v>48.882345367877342</v>
      </c>
      <c r="O2145" s="43">
        <v>15055.14574813185</v>
      </c>
    </row>
    <row r="2146" spans="12:15" x14ac:dyDescent="0.2">
      <c r="L2146" s="4">
        <v>2140</v>
      </c>
      <c r="M2146" s="21">
        <v>-43037.347864529016</v>
      </c>
      <c r="N2146" s="42">
        <v>51.280028529935024</v>
      </c>
      <c r="O2146" s="43">
        <v>14051.923039610914</v>
      </c>
    </row>
    <row r="2147" spans="12:15" x14ac:dyDescent="0.2">
      <c r="L2147" s="4">
        <v>2141</v>
      </c>
      <c r="M2147" s="21">
        <v>114629.18367697095</v>
      </c>
      <c r="N2147" s="42">
        <v>51.207764461951214</v>
      </c>
      <c r="O2147" s="43">
        <v>14929.660198381076</v>
      </c>
    </row>
    <row r="2148" spans="12:15" x14ac:dyDescent="0.2">
      <c r="L2148" s="4">
        <v>2142</v>
      </c>
      <c r="M2148" s="21">
        <v>36414.443800212408</v>
      </c>
      <c r="N2148" s="42">
        <v>50.458177397218385</v>
      </c>
      <c r="O2148" s="43">
        <v>13400.664717491934</v>
      </c>
    </row>
    <row r="2149" spans="12:15" x14ac:dyDescent="0.2">
      <c r="L2149" s="4">
        <v>2143</v>
      </c>
      <c r="M2149" s="21">
        <v>-175802.62211143516</v>
      </c>
      <c r="N2149" s="42">
        <v>50.223235357315673</v>
      </c>
      <c r="O2149" s="43">
        <v>13306.730315667963</v>
      </c>
    </row>
    <row r="2150" spans="12:15" x14ac:dyDescent="0.2">
      <c r="L2150" s="4">
        <v>2144</v>
      </c>
      <c r="M2150" s="21">
        <v>191143.48878590067</v>
      </c>
      <c r="N2150" s="42">
        <v>50.775870737255616</v>
      </c>
      <c r="O2150" s="43">
        <v>15603.86145406693</v>
      </c>
    </row>
    <row r="2151" spans="12:15" x14ac:dyDescent="0.2">
      <c r="L2151" s="4">
        <v>2145</v>
      </c>
      <c r="M2151" s="21">
        <v>-156747.22505426849</v>
      </c>
      <c r="N2151" s="42">
        <v>49.163572625532652</v>
      </c>
      <c r="O2151" s="43">
        <v>14368.63842366045</v>
      </c>
    </row>
    <row r="2152" spans="12:15" x14ac:dyDescent="0.2">
      <c r="L2152" s="4">
        <v>2146</v>
      </c>
      <c r="M2152" s="21">
        <v>-66265.900606308773</v>
      </c>
      <c r="N2152" s="42">
        <v>50.068742247885034</v>
      </c>
      <c r="O2152" s="43">
        <v>13313.447187036019</v>
      </c>
    </row>
    <row r="2153" spans="12:15" x14ac:dyDescent="0.2">
      <c r="L2153" s="4">
        <v>2147</v>
      </c>
      <c r="M2153" s="21">
        <v>-3450.2685223242297</v>
      </c>
      <c r="N2153" s="42">
        <v>48.398124180912163</v>
      </c>
      <c r="O2153" s="43">
        <v>15120.870831369748</v>
      </c>
    </row>
    <row r="2154" spans="12:15" x14ac:dyDescent="0.2">
      <c r="L2154" s="4">
        <v>2148</v>
      </c>
      <c r="M2154" s="21">
        <v>19236.372825177503</v>
      </c>
      <c r="N2154" s="42">
        <v>49.88953075870436</v>
      </c>
      <c r="O2154" s="43">
        <v>13507.020183944307</v>
      </c>
    </row>
    <row r="2155" spans="12:15" x14ac:dyDescent="0.2">
      <c r="L2155" s="4">
        <v>2149</v>
      </c>
      <c r="M2155" s="21">
        <v>-149113.69623129291</v>
      </c>
      <c r="N2155" s="42">
        <v>48.521398513287295</v>
      </c>
      <c r="O2155" s="43">
        <v>13761.830440487503</v>
      </c>
    </row>
    <row r="2156" spans="12:15" x14ac:dyDescent="0.2">
      <c r="L2156" s="4">
        <v>2150</v>
      </c>
      <c r="M2156" s="21">
        <v>-72144.283609780425</v>
      </c>
      <c r="N2156" s="42">
        <v>47.725186493233927</v>
      </c>
      <c r="O2156" s="43">
        <v>15837.793977136447</v>
      </c>
    </row>
    <row r="2157" spans="12:15" x14ac:dyDescent="0.2">
      <c r="L2157" s="4">
        <v>2151</v>
      </c>
      <c r="M2157" s="21">
        <v>-128768.31428147023</v>
      </c>
      <c r="N2157" s="42">
        <v>49.909413014642418</v>
      </c>
      <c r="O2157" s="43">
        <v>13179.421166918804</v>
      </c>
    </row>
    <row r="2158" spans="12:15" x14ac:dyDescent="0.2">
      <c r="L2158" s="4">
        <v>2152</v>
      </c>
      <c r="M2158" s="21">
        <v>147893.78841388063</v>
      </c>
      <c r="N2158" s="42">
        <v>49.290893959646567</v>
      </c>
      <c r="O2158" s="43">
        <v>17099.547198998014</v>
      </c>
    </row>
    <row r="2159" spans="12:15" x14ac:dyDescent="0.2">
      <c r="L2159" s="4">
        <v>2153</v>
      </c>
      <c r="M2159" s="21">
        <v>58700.248236356332</v>
      </c>
      <c r="N2159" s="42">
        <v>50.653060851370768</v>
      </c>
      <c r="O2159" s="43">
        <v>15626.616090325146</v>
      </c>
    </row>
    <row r="2160" spans="12:15" x14ac:dyDescent="0.2">
      <c r="L2160" s="4">
        <v>2154</v>
      </c>
      <c r="M2160" s="21">
        <v>-172249.45580867189</v>
      </c>
      <c r="N2160" s="42">
        <v>47.718341626228295</v>
      </c>
      <c r="O2160" s="43">
        <v>14006.595218753166</v>
      </c>
    </row>
    <row r="2161" spans="12:15" x14ac:dyDescent="0.2">
      <c r="L2161" s="4">
        <v>2155</v>
      </c>
      <c r="M2161" s="21">
        <v>216006.52828648276</v>
      </c>
      <c r="N2161" s="42">
        <v>47.69197285072913</v>
      </c>
      <c r="O2161" s="43">
        <v>16048.096382475054</v>
      </c>
    </row>
    <row r="2162" spans="12:15" x14ac:dyDescent="0.2">
      <c r="L2162" s="4">
        <v>2156</v>
      </c>
      <c r="M2162" s="21">
        <v>-106514.65258761161</v>
      </c>
      <c r="N2162" s="42">
        <v>46.073071742564963</v>
      </c>
      <c r="O2162" s="43">
        <v>16813.853325367691</v>
      </c>
    </row>
    <row r="2163" spans="12:15" x14ac:dyDescent="0.2">
      <c r="L2163" s="4">
        <v>2157</v>
      </c>
      <c r="M2163" s="21">
        <v>-50646.213269394837</v>
      </c>
      <c r="N2163" s="42">
        <v>48.67882256493715</v>
      </c>
      <c r="O2163" s="43">
        <v>14021.770412350903</v>
      </c>
    </row>
    <row r="2164" spans="12:15" x14ac:dyDescent="0.2">
      <c r="L2164" s="4">
        <v>2158</v>
      </c>
      <c r="M2164" s="21">
        <v>304204.06516772334</v>
      </c>
      <c r="N2164" s="42">
        <v>50.328644385292293</v>
      </c>
      <c r="O2164" s="43">
        <v>17818.204314461564</v>
      </c>
    </row>
    <row r="2165" spans="12:15" x14ac:dyDescent="0.2">
      <c r="L2165" s="4">
        <v>2159</v>
      </c>
      <c r="M2165" s="21">
        <v>68303.741463514598</v>
      </c>
      <c r="N2165" s="42">
        <v>48.511100140676298</v>
      </c>
      <c r="O2165" s="43">
        <v>16468.93627650573</v>
      </c>
    </row>
    <row r="2166" spans="12:15" x14ac:dyDescent="0.2">
      <c r="L2166" s="4">
        <v>2160</v>
      </c>
      <c r="M2166" s="21">
        <v>9291.2552276425413</v>
      </c>
      <c r="N2166" s="42">
        <v>49.241151679351645</v>
      </c>
      <c r="O2166" s="43">
        <v>14653.503756680204</v>
      </c>
    </row>
    <row r="2167" spans="12:15" x14ac:dyDescent="0.2">
      <c r="L2167" s="4">
        <v>2161</v>
      </c>
      <c r="M2167" s="21">
        <v>-7053.2702667908889</v>
      </c>
      <c r="N2167" s="42">
        <v>48.162206881299007</v>
      </c>
      <c r="O2167" s="43">
        <v>16377.851457434521</v>
      </c>
    </row>
    <row r="2168" spans="12:15" x14ac:dyDescent="0.2">
      <c r="L2168" s="4">
        <v>2162</v>
      </c>
      <c r="M2168" s="21">
        <v>-227877.72369949106</v>
      </c>
      <c r="N2168" s="42">
        <v>49.51308475160328</v>
      </c>
      <c r="O2168" s="43">
        <v>12828.308439890805</v>
      </c>
    </row>
    <row r="2169" spans="12:15" x14ac:dyDescent="0.2">
      <c r="L2169" s="4">
        <v>2163</v>
      </c>
      <c r="M2169" s="21">
        <v>201922.43623577032</v>
      </c>
      <c r="N2169" s="42">
        <v>51.823323782875782</v>
      </c>
      <c r="O2169" s="43">
        <v>14557.862014409584</v>
      </c>
    </row>
    <row r="2170" spans="12:15" x14ac:dyDescent="0.2">
      <c r="L2170" s="4">
        <v>2164</v>
      </c>
      <c r="M2170" s="21">
        <v>-58817.033729560135</v>
      </c>
      <c r="N2170" s="42">
        <v>46.72542723091567</v>
      </c>
      <c r="O2170" s="43">
        <v>14551.887205433739</v>
      </c>
    </row>
    <row r="2171" spans="12:15" x14ac:dyDescent="0.2">
      <c r="L2171" s="4">
        <v>2165</v>
      </c>
      <c r="M2171" s="21">
        <v>-216215.33461471624</v>
      </c>
      <c r="N2171" s="42">
        <v>48.480815202937258</v>
      </c>
      <c r="O2171" s="43">
        <v>11970.085696666742</v>
      </c>
    </row>
    <row r="2172" spans="12:15" x14ac:dyDescent="0.2">
      <c r="L2172" s="4">
        <v>2166</v>
      </c>
      <c r="M2172" s="21">
        <v>-72938.695082348626</v>
      </c>
      <c r="N2172" s="42">
        <v>45.896585609696139</v>
      </c>
      <c r="O2172" s="43">
        <v>16250.334056619506</v>
      </c>
    </row>
    <row r="2173" spans="12:15" x14ac:dyDescent="0.2">
      <c r="L2173" s="4">
        <v>2167</v>
      </c>
      <c r="M2173" s="21">
        <v>89428.148246238823</v>
      </c>
      <c r="N2173" s="42">
        <v>49.400344731737192</v>
      </c>
      <c r="O2173" s="43">
        <v>15823.38864507604</v>
      </c>
    </row>
    <row r="2174" spans="12:15" x14ac:dyDescent="0.2">
      <c r="L2174" s="4">
        <v>2168</v>
      </c>
      <c r="M2174" s="21">
        <v>45326.940487841959</v>
      </c>
      <c r="N2174" s="42">
        <v>49.208959226351631</v>
      </c>
      <c r="O2174" s="43">
        <v>14765.786164352428</v>
      </c>
    </row>
    <row r="2175" spans="12:15" x14ac:dyDescent="0.2">
      <c r="L2175" s="4">
        <v>2169</v>
      </c>
      <c r="M2175" s="21">
        <v>33021.89393493277</v>
      </c>
      <c r="N2175" s="42">
        <v>48.551244508071164</v>
      </c>
      <c r="O2175" s="43">
        <v>17172.034443358152</v>
      </c>
    </row>
    <row r="2176" spans="12:15" x14ac:dyDescent="0.2">
      <c r="L2176" s="4">
        <v>2170</v>
      </c>
      <c r="M2176" s="21">
        <v>53276.668231506657</v>
      </c>
      <c r="N2176" s="42">
        <v>51.053293247314798</v>
      </c>
      <c r="O2176" s="43">
        <v>13593.849942034069</v>
      </c>
    </row>
    <row r="2177" spans="12:15" x14ac:dyDescent="0.2">
      <c r="L2177" s="4">
        <v>2171</v>
      </c>
      <c r="M2177" s="21">
        <v>188317.36720602834</v>
      </c>
      <c r="N2177" s="42">
        <v>50.921410753692413</v>
      </c>
      <c r="O2177" s="43">
        <v>15252.444506770951</v>
      </c>
    </row>
    <row r="2178" spans="12:15" x14ac:dyDescent="0.2">
      <c r="L2178" s="4">
        <v>2172</v>
      </c>
      <c r="M2178" s="21">
        <v>19445.858770374063</v>
      </c>
      <c r="N2178" s="42">
        <v>50.965222377377366</v>
      </c>
      <c r="O2178" s="43">
        <v>13860.41517154545</v>
      </c>
    </row>
    <row r="2179" spans="12:15" x14ac:dyDescent="0.2">
      <c r="L2179" s="4">
        <v>2173</v>
      </c>
      <c r="M2179" s="21">
        <v>-144983.38471391954</v>
      </c>
      <c r="N2179" s="42">
        <v>51.387541590989862</v>
      </c>
      <c r="O2179" s="43">
        <v>12212.113219567316</v>
      </c>
    </row>
    <row r="2180" spans="12:15" x14ac:dyDescent="0.2">
      <c r="L2180" s="4">
        <v>2174</v>
      </c>
      <c r="M2180" s="21">
        <v>-314092.081105561</v>
      </c>
      <c r="N2180" s="42">
        <v>45.923689939847527</v>
      </c>
      <c r="O2180" s="43">
        <v>14425.747758883466</v>
      </c>
    </row>
    <row r="2181" spans="12:15" x14ac:dyDescent="0.2">
      <c r="L2181" s="4">
        <v>2175</v>
      </c>
      <c r="M2181" s="21">
        <v>23270.734812816401</v>
      </c>
      <c r="N2181" s="42">
        <v>49.647351508093195</v>
      </c>
      <c r="O2181" s="43">
        <v>15182.348747099812</v>
      </c>
    </row>
    <row r="2182" spans="12:15" x14ac:dyDescent="0.2">
      <c r="L2182" s="4">
        <v>2176</v>
      </c>
      <c r="M2182" s="21">
        <v>13342.756344158639</v>
      </c>
      <c r="N2182" s="42">
        <v>51.591737083309717</v>
      </c>
      <c r="O2182" s="43">
        <v>14264.030668408517</v>
      </c>
    </row>
    <row r="2183" spans="12:15" x14ac:dyDescent="0.2">
      <c r="L2183" s="4">
        <v>2177</v>
      </c>
      <c r="M2183" s="21">
        <v>16370.333573526412</v>
      </c>
      <c r="N2183" s="42">
        <v>51.163083286420161</v>
      </c>
      <c r="O2183" s="43">
        <v>13575.891648753404</v>
      </c>
    </row>
    <row r="2184" spans="12:15" x14ac:dyDescent="0.2">
      <c r="L2184" s="4">
        <v>2178</v>
      </c>
      <c r="M2184" s="21">
        <v>-31688.996439569819</v>
      </c>
      <c r="N2184" s="42">
        <v>48.128317326264188</v>
      </c>
      <c r="O2184" s="43">
        <v>15461.414495105224</v>
      </c>
    </row>
    <row r="2185" spans="12:15" x14ac:dyDescent="0.2">
      <c r="L2185" s="4">
        <v>2179</v>
      </c>
      <c r="M2185" s="21">
        <v>-47982.799176499291</v>
      </c>
      <c r="N2185" s="42">
        <v>48.928905751618068</v>
      </c>
      <c r="O2185" s="43">
        <v>15131.01709648255</v>
      </c>
    </row>
    <row r="2186" spans="12:15" x14ac:dyDescent="0.2">
      <c r="L2186" s="4">
        <v>2180</v>
      </c>
      <c r="M2186" s="21">
        <v>104044.26169380438</v>
      </c>
      <c r="N2186" s="42">
        <v>50.840717651002272</v>
      </c>
      <c r="O2186" s="43">
        <v>15616.006429124312</v>
      </c>
    </row>
    <row r="2187" spans="12:15" x14ac:dyDescent="0.2">
      <c r="L2187" s="4">
        <v>2181</v>
      </c>
      <c r="M2187" s="21">
        <v>83748.711831363005</v>
      </c>
      <c r="N2187" s="42">
        <v>49.736040748688843</v>
      </c>
      <c r="O2187" s="43">
        <v>16091.204833488331</v>
      </c>
    </row>
    <row r="2188" spans="12:15" x14ac:dyDescent="0.2">
      <c r="L2188" s="4">
        <v>2182</v>
      </c>
      <c r="M2188" s="21">
        <v>-32921.679934426007</v>
      </c>
      <c r="N2188" s="42">
        <v>48.332664793003921</v>
      </c>
      <c r="O2188" s="43">
        <v>16726.426782124698</v>
      </c>
    </row>
    <row r="2189" spans="12:15" x14ac:dyDescent="0.2">
      <c r="L2189" s="4">
        <v>2183</v>
      </c>
      <c r="M2189" s="21">
        <v>90838.526483480469</v>
      </c>
      <c r="N2189" s="42">
        <v>50.639193403753822</v>
      </c>
      <c r="O2189" s="43">
        <v>14899.322030146612</v>
      </c>
    </row>
    <row r="2190" spans="12:15" x14ac:dyDescent="0.2">
      <c r="L2190" s="4">
        <v>2184</v>
      </c>
      <c r="M2190" s="21">
        <v>-164453.8310606968</v>
      </c>
      <c r="N2190" s="42">
        <v>49.081926816572704</v>
      </c>
      <c r="O2190" s="43">
        <v>14397.114833726766</v>
      </c>
    </row>
    <row r="2191" spans="12:15" x14ac:dyDescent="0.2">
      <c r="L2191" s="4">
        <v>2185</v>
      </c>
      <c r="M2191" s="21">
        <v>-89598.565482767648</v>
      </c>
      <c r="N2191" s="42">
        <v>50.421659730063773</v>
      </c>
      <c r="O2191" s="43">
        <v>12394.72444462061</v>
      </c>
    </row>
    <row r="2192" spans="12:15" x14ac:dyDescent="0.2">
      <c r="L2192" s="4">
        <v>2186</v>
      </c>
      <c r="M2192" s="21">
        <v>-174612.09487976183</v>
      </c>
      <c r="N2192" s="42">
        <v>47.053068455971989</v>
      </c>
      <c r="O2192" s="43">
        <v>14407.258580930576</v>
      </c>
    </row>
    <row r="2193" spans="12:15" x14ac:dyDescent="0.2">
      <c r="L2193" s="4">
        <v>2187</v>
      </c>
      <c r="M2193" s="21">
        <v>-70786.686569799844</v>
      </c>
      <c r="N2193" s="42">
        <v>48.023561097791614</v>
      </c>
      <c r="O2193" s="43">
        <v>14594.170353238482</v>
      </c>
    </row>
    <row r="2194" spans="12:15" x14ac:dyDescent="0.2">
      <c r="L2194" s="4">
        <v>2188</v>
      </c>
      <c r="M2194" s="21">
        <v>-171956.19761929239</v>
      </c>
      <c r="N2194" s="42">
        <v>47.652286684591971</v>
      </c>
      <c r="O2194" s="43">
        <v>13946.579260884775</v>
      </c>
    </row>
    <row r="2195" spans="12:15" x14ac:dyDescent="0.2">
      <c r="L2195" s="4">
        <v>2189</v>
      </c>
      <c r="M2195" s="21">
        <v>136724.45467962534</v>
      </c>
      <c r="N2195" s="42">
        <v>49.885098010768331</v>
      </c>
      <c r="O2195" s="43">
        <v>16607.580043483871</v>
      </c>
    </row>
    <row r="2196" spans="12:15" x14ac:dyDescent="0.2">
      <c r="L2196" s="4">
        <v>2190</v>
      </c>
      <c r="M2196" s="21">
        <v>225648.17058096852</v>
      </c>
      <c r="N2196" s="42">
        <v>49.379138794785732</v>
      </c>
      <c r="O2196" s="43">
        <v>17063.196883609693</v>
      </c>
    </row>
    <row r="2197" spans="12:15" x14ac:dyDescent="0.2">
      <c r="L2197" s="4">
        <v>2191</v>
      </c>
      <c r="M2197" s="21">
        <v>-92395.178614010802</v>
      </c>
      <c r="N2197" s="42">
        <v>50.471480020421069</v>
      </c>
      <c r="O2197" s="43">
        <v>13050.969500707914</v>
      </c>
    </row>
    <row r="2198" spans="12:15" x14ac:dyDescent="0.2">
      <c r="L2198" s="4">
        <v>2192</v>
      </c>
      <c r="M2198" s="21">
        <v>224193.29411431449</v>
      </c>
      <c r="N2198" s="42">
        <v>51.499658495473476</v>
      </c>
      <c r="O2198" s="43">
        <v>16462.728665249906</v>
      </c>
    </row>
    <row r="2199" spans="12:15" x14ac:dyDescent="0.2">
      <c r="L2199" s="4">
        <v>2193</v>
      </c>
      <c r="M2199" s="21">
        <v>173231.66604208408</v>
      </c>
      <c r="N2199" s="42">
        <v>49.799875438956569</v>
      </c>
      <c r="O2199" s="43">
        <v>15619.912552876754</v>
      </c>
    </row>
    <row r="2200" spans="12:15" x14ac:dyDescent="0.2">
      <c r="L2200" s="4">
        <v>2194</v>
      </c>
      <c r="M2200" s="21">
        <v>-133194.04571942202</v>
      </c>
      <c r="N2200" s="42">
        <v>47.529509878963715</v>
      </c>
      <c r="O2200" s="43">
        <v>14980.594169137548</v>
      </c>
    </row>
    <row r="2201" spans="12:15" x14ac:dyDescent="0.2">
      <c r="L2201" s="4">
        <v>2195</v>
      </c>
      <c r="M2201" s="21">
        <v>-41972.592997428786</v>
      </c>
      <c r="N2201" s="42">
        <v>50.942063873655769</v>
      </c>
      <c r="O2201" s="43">
        <v>13757.977807281883</v>
      </c>
    </row>
    <row r="2202" spans="12:15" x14ac:dyDescent="0.2">
      <c r="L2202" s="4">
        <v>2196</v>
      </c>
      <c r="M2202" s="21">
        <v>-276061.61034540343</v>
      </c>
      <c r="N2202" s="42">
        <v>50.862782874274671</v>
      </c>
      <c r="O2202" s="43">
        <v>10912.693742192194</v>
      </c>
    </row>
    <row r="2203" spans="12:15" x14ac:dyDescent="0.2">
      <c r="L2203" s="4">
        <v>2197</v>
      </c>
      <c r="M2203" s="21">
        <v>-30136.942148031172</v>
      </c>
      <c r="N2203" s="42">
        <v>49.389332886997209</v>
      </c>
      <c r="O2203" s="43">
        <v>14316.582956759776</v>
      </c>
    </row>
    <row r="2204" spans="12:15" x14ac:dyDescent="0.2">
      <c r="L2204" s="4">
        <v>2198</v>
      </c>
      <c r="M2204" s="21">
        <v>-155056.8353231654</v>
      </c>
      <c r="N2204" s="42">
        <v>49.482223588689315</v>
      </c>
      <c r="O2204" s="43">
        <v>14096.311469323209</v>
      </c>
    </row>
    <row r="2205" spans="12:15" x14ac:dyDescent="0.2">
      <c r="L2205" s="4">
        <v>2199</v>
      </c>
      <c r="M2205" s="21">
        <v>96980.540025518683</v>
      </c>
      <c r="N2205" s="42">
        <v>51.204141076025316</v>
      </c>
      <c r="O2205" s="43">
        <v>14283.066982137116</v>
      </c>
    </row>
    <row r="2206" spans="12:15" x14ac:dyDescent="0.2">
      <c r="L2206" s="4">
        <v>2200</v>
      </c>
      <c r="M2206" s="21">
        <v>72471.11970857688</v>
      </c>
      <c r="N2206" s="42">
        <v>49.436552787283347</v>
      </c>
      <c r="O2206" s="43">
        <v>15714.442136162474</v>
      </c>
    </row>
    <row r="2207" spans="12:15" x14ac:dyDescent="0.2">
      <c r="L2207" s="4">
        <v>2201</v>
      </c>
      <c r="M2207" s="21">
        <v>-197194.60250526399</v>
      </c>
      <c r="N2207" s="42">
        <v>45.008442759973555</v>
      </c>
      <c r="O2207" s="43">
        <v>14496.765742715457</v>
      </c>
    </row>
    <row r="2208" spans="12:15" x14ac:dyDescent="0.2">
      <c r="L2208" s="4">
        <v>2202</v>
      </c>
      <c r="M2208" s="21">
        <v>-130893.40237140379</v>
      </c>
      <c r="N2208" s="42">
        <v>51.457703967319716</v>
      </c>
      <c r="O2208" s="43">
        <v>12229.69749245089</v>
      </c>
    </row>
    <row r="2209" spans="12:15" x14ac:dyDescent="0.2">
      <c r="L2209" s="4">
        <v>2203</v>
      </c>
      <c r="M2209" s="21">
        <v>123954.54765893423</v>
      </c>
      <c r="N2209" s="42">
        <v>50.892363792426657</v>
      </c>
      <c r="O2209" s="43">
        <v>14328.824416083449</v>
      </c>
    </row>
    <row r="2210" spans="12:15" x14ac:dyDescent="0.2">
      <c r="L2210" s="4">
        <v>2204</v>
      </c>
      <c r="M2210" s="21">
        <v>-183207.86369425891</v>
      </c>
      <c r="N2210" s="42">
        <v>50.241642090446454</v>
      </c>
      <c r="O2210" s="43">
        <v>12357.710725327026</v>
      </c>
    </row>
    <row r="2211" spans="12:15" x14ac:dyDescent="0.2">
      <c r="L2211" s="4">
        <v>2205</v>
      </c>
      <c r="M2211" s="21">
        <v>-27303.224333636768</v>
      </c>
      <c r="N2211" s="42">
        <v>51.416193620719625</v>
      </c>
      <c r="O2211" s="43">
        <v>12844.700253801986</v>
      </c>
    </row>
    <row r="2212" spans="12:15" x14ac:dyDescent="0.2">
      <c r="L2212" s="4">
        <v>2206</v>
      </c>
      <c r="M2212" s="21">
        <v>-26677.486403289702</v>
      </c>
      <c r="N2212" s="42">
        <v>50.186992580866885</v>
      </c>
      <c r="O2212" s="43">
        <v>14116.3008144946</v>
      </c>
    </row>
    <row r="2213" spans="12:15" x14ac:dyDescent="0.2">
      <c r="L2213" s="4">
        <v>2207</v>
      </c>
      <c r="M2213" s="21">
        <v>-39641.146419847821</v>
      </c>
      <c r="N2213" s="42">
        <v>49.002773390992616</v>
      </c>
      <c r="O2213" s="43">
        <v>15650.85636893769</v>
      </c>
    </row>
    <row r="2214" spans="12:15" x14ac:dyDescent="0.2">
      <c r="L2214" s="4">
        <v>2208</v>
      </c>
      <c r="M2214" s="21">
        <v>-199818.17583045212</v>
      </c>
      <c r="N2214" s="42">
        <v>48.811205856717947</v>
      </c>
      <c r="O2214" s="43">
        <v>13265.417015868114</v>
      </c>
    </row>
    <row r="2215" spans="12:15" x14ac:dyDescent="0.2">
      <c r="L2215" s="4">
        <v>2209</v>
      </c>
      <c r="M2215" s="21">
        <v>-65791.050372874495</v>
      </c>
      <c r="N2215" s="42">
        <v>47.747467397246645</v>
      </c>
      <c r="O2215" s="43">
        <v>17632.441466151155</v>
      </c>
    </row>
    <row r="2216" spans="12:15" x14ac:dyDescent="0.2">
      <c r="L2216" s="4">
        <v>2210</v>
      </c>
      <c r="M2216" s="21">
        <v>19962.920281950384</v>
      </c>
      <c r="N2216" s="42">
        <v>48.232396677055853</v>
      </c>
      <c r="O2216" s="43">
        <v>16800.056948224479</v>
      </c>
    </row>
    <row r="2217" spans="12:15" x14ac:dyDescent="0.2">
      <c r="L2217" s="4">
        <v>2211</v>
      </c>
      <c r="M2217" s="21">
        <v>26654.730680447479</v>
      </c>
      <c r="N2217" s="42">
        <v>48.947528716177573</v>
      </c>
      <c r="O2217" s="43">
        <v>15053.719103062394</v>
      </c>
    </row>
    <row r="2218" spans="12:15" x14ac:dyDescent="0.2">
      <c r="L2218" s="4">
        <v>2212</v>
      </c>
      <c r="M2218" s="21">
        <v>61812.93595389105</v>
      </c>
      <c r="N2218" s="42">
        <v>47.567078202640545</v>
      </c>
      <c r="O2218" s="43">
        <v>17026.321564113699</v>
      </c>
    </row>
    <row r="2219" spans="12:15" x14ac:dyDescent="0.2">
      <c r="L2219" s="4">
        <v>2213</v>
      </c>
      <c r="M2219" s="21">
        <v>26026.19786644532</v>
      </c>
      <c r="N2219" s="42">
        <v>46.581115125840796</v>
      </c>
      <c r="O2219" s="43">
        <v>16010.1555770994</v>
      </c>
    </row>
    <row r="2220" spans="12:15" x14ac:dyDescent="0.2">
      <c r="L2220" s="4">
        <v>2214</v>
      </c>
      <c r="M2220" s="21">
        <v>-61260.076898312371</v>
      </c>
      <c r="N2220" s="42">
        <v>50.467907785201007</v>
      </c>
      <c r="O2220" s="43">
        <v>15278.555503842033</v>
      </c>
    </row>
    <row r="2221" spans="12:15" x14ac:dyDescent="0.2">
      <c r="L2221" s="4">
        <v>2215</v>
      </c>
      <c r="M2221" s="21">
        <v>-70621.685751117402</v>
      </c>
      <c r="N2221" s="42">
        <v>50.192846928773058</v>
      </c>
      <c r="O2221" s="43">
        <v>15267.729977020279</v>
      </c>
    </row>
    <row r="2222" spans="12:15" x14ac:dyDescent="0.2">
      <c r="L2222" s="4">
        <v>2216</v>
      </c>
      <c r="M2222" s="21">
        <v>173758.13686491663</v>
      </c>
      <c r="N2222" s="42">
        <v>50.434585992746769</v>
      </c>
      <c r="O2222" s="43">
        <v>15165.964316025729</v>
      </c>
    </row>
    <row r="2223" spans="12:15" x14ac:dyDescent="0.2">
      <c r="L2223" s="4">
        <v>2217</v>
      </c>
      <c r="M2223" s="21">
        <v>33520.368942928704</v>
      </c>
      <c r="N2223" s="42">
        <v>51.050444685228982</v>
      </c>
      <c r="O2223" s="43">
        <v>16030.126147633644</v>
      </c>
    </row>
    <row r="2224" spans="12:15" x14ac:dyDescent="0.2">
      <c r="L2224" s="4">
        <v>2218</v>
      </c>
      <c r="M2224" s="21">
        <v>14373.877353732008</v>
      </c>
      <c r="N2224" s="42">
        <v>50.447795488614965</v>
      </c>
      <c r="O2224" s="43">
        <v>14621.243971586833</v>
      </c>
    </row>
    <row r="2225" spans="12:15" x14ac:dyDescent="0.2">
      <c r="L2225" s="4">
        <v>2219</v>
      </c>
      <c r="M2225" s="21">
        <v>-129010.14345573055</v>
      </c>
      <c r="N2225" s="42">
        <v>48.161452904172258</v>
      </c>
      <c r="O2225" s="43">
        <v>13187.753911883357</v>
      </c>
    </row>
    <row r="2226" spans="12:15" x14ac:dyDescent="0.2">
      <c r="L2226" s="4">
        <v>2220</v>
      </c>
      <c r="M2226" s="21">
        <v>-69686.459315011351</v>
      </c>
      <c r="N2226" s="42">
        <v>51.208355355497282</v>
      </c>
      <c r="O2226" s="43">
        <v>14478.521326315657</v>
      </c>
    </row>
    <row r="2227" spans="12:15" x14ac:dyDescent="0.2">
      <c r="L2227" s="4">
        <v>2221</v>
      </c>
      <c r="M2227" s="21">
        <v>113735.76814120723</v>
      </c>
      <c r="N2227" s="42">
        <v>49.365437342064403</v>
      </c>
      <c r="O2227" s="43">
        <v>14814.411140946098</v>
      </c>
    </row>
    <row r="2228" spans="12:15" x14ac:dyDescent="0.2">
      <c r="L2228" s="4">
        <v>2222</v>
      </c>
      <c r="M2228" s="21">
        <v>-98030.045999161841</v>
      </c>
      <c r="N2228" s="42">
        <v>47.439456222748895</v>
      </c>
      <c r="O2228" s="43">
        <v>15688.351540757109</v>
      </c>
    </row>
    <row r="2229" spans="12:15" x14ac:dyDescent="0.2">
      <c r="L2229" s="4">
        <v>2223</v>
      </c>
      <c r="M2229" s="21">
        <v>158426.25515977392</v>
      </c>
      <c r="N2229" s="42">
        <v>49.73513862416111</v>
      </c>
      <c r="O2229" s="43">
        <v>15627.948403517978</v>
      </c>
    </row>
    <row r="2230" spans="12:15" x14ac:dyDescent="0.2">
      <c r="L2230" s="4">
        <v>2224</v>
      </c>
      <c r="M2230" s="21">
        <v>-24568.640119323929</v>
      </c>
      <c r="N2230" s="42">
        <v>48.230625266075684</v>
      </c>
      <c r="O2230" s="43">
        <v>17166.027822359785</v>
      </c>
    </row>
    <row r="2231" spans="12:15" x14ac:dyDescent="0.2">
      <c r="L2231" s="4">
        <v>2225</v>
      </c>
      <c r="M2231" s="21">
        <v>24266.655748957128</v>
      </c>
      <c r="N2231" s="42">
        <v>47.394887346297224</v>
      </c>
      <c r="O2231" s="43">
        <v>16212.971021342561</v>
      </c>
    </row>
    <row r="2232" spans="12:15" x14ac:dyDescent="0.2">
      <c r="L2232" s="4">
        <v>2226</v>
      </c>
      <c r="M2232" s="21">
        <v>63911.633145144704</v>
      </c>
      <c r="N2232" s="42">
        <v>48.987532378525898</v>
      </c>
      <c r="O2232" s="43">
        <v>17943.493208276224</v>
      </c>
    </row>
    <row r="2233" spans="12:15" x14ac:dyDescent="0.2">
      <c r="L2233" s="4">
        <v>2227</v>
      </c>
      <c r="M2233" s="21">
        <v>-116529.70768691067</v>
      </c>
      <c r="N2233" s="42">
        <v>51.311618872099551</v>
      </c>
      <c r="O2233" s="43">
        <v>13062.686382957978</v>
      </c>
    </row>
    <row r="2234" spans="12:15" x14ac:dyDescent="0.2">
      <c r="L2234" s="4">
        <v>2228</v>
      </c>
      <c r="M2234" s="21">
        <v>141944.72797823441</v>
      </c>
      <c r="N2234" s="42">
        <v>48.951769889688251</v>
      </c>
      <c r="O2234" s="43">
        <v>16705.680182945391</v>
      </c>
    </row>
    <row r="2235" spans="12:15" x14ac:dyDescent="0.2">
      <c r="L2235" s="4">
        <v>2229</v>
      </c>
      <c r="M2235" s="21">
        <v>-63784.963355338827</v>
      </c>
      <c r="N2235" s="42">
        <v>50.159764525988336</v>
      </c>
      <c r="O2235" s="43">
        <v>13363.329442536373</v>
      </c>
    </row>
    <row r="2236" spans="12:15" x14ac:dyDescent="0.2">
      <c r="L2236" s="4">
        <v>2230</v>
      </c>
      <c r="M2236" s="21">
        <v>-11077.171313145154</v>
      </c>
      <c r="N2236" s="42">
        <v>51.191836191704468</v>
      </c>
      <c r="O2236" s="43">
        <v>13109.499143109799</v>
      </c>
    </row>
    <row r="2237" spans="12:15" x14ac:dyDescent="0.2">
      <c r="L2237" s="4">
        <v>2231</v>
      </c>
      <c r="M2237" s="21">
        <v>39421.001442386769</v>
      </c>
      <c r="N2237" s="42">
        <v>47.607039780984927</v>
      </c>
      <c r="O2237" s="43">
        <v>17005.021220902134</v>
      </c>
    </row>
    <row r="2238" spans="12:15" x14ac:dyDescent="0.2">
      <c r="L2238" s="4">
        <v>2232</v>
      </c>
      <c r="M2238" s="21">
        <v>195195.29110726132</v>
      </c>
      <c r="N2238" s="42">
        <v>49.427160605143456</v>
      </c>
      <c r="O2238" s="43">
        <v>16349.382045542279</v>
      </c>
    </row>
    <row r="2239" spans="12:15" x14ac:dyDescent="0.2">
      <c r="L2239" s="4">
        <v>2233</v>
      </c>
      <c r="M2239" s="21">
        <v>-45935.975585838183</v>
      </c>
      <c r="N2239" s="42">
        <v>47.055562368514167</v>
      </c>
      <c r="O2239" s="43">
        <v>14400.788050693518</v>
      </c>
    </row>
    <row r="2240" spans="12:15" x14ac:dyDescent="0.2">
      <c r="L2240" s="4">
        <v>2234</v>
      </c>
      <c r="M2240" s="21">
        <v>-263432.0818227139</v>
      </c>
      <c r="N2240" s="42">
        <v>46.329479696308141</v>
      </c>
      <c r="O2240" s="43">
        <v>15831.549486964432</v>
      </c>
    </row>
    <row r="2241" spans="12:15" x14ac:dyDescent="0.2">
      <c r="L2241" s="4">
        <v>2235</v>
      </c>
      <c r="M2241" s="21">
        <v>49214.193001992593</v>
      </c>
      <c r="N2241" s="42">
        <v>50.767552009877022</v>
      </c>
      <c r="O2241" s="43">
        <v>15371.212869727584</v>
      </c>
    </row>
    <row r="2242" spans="12:15" x14ac:dyDescent="0.2">
      <c r="L2242" s="4">
        <v>2236</v>
      </c>
      <c r="M2242" s="21">
        <v>10916.839583481953</v>
      </c>
      <c r="N2242" s="42">
        <v>48.709482389083149</v>
      </c>
      <c r="O2242" s="43">
        <v>15136.158097008698</v>
      </c>
    </row>
    <row r="2243" spans="12:15" x14ac:dyDescent="0.2">
      <c r="L2243" s="4">
        <v>2237</v>
      </c>
      <c r="M2243" s="21">
        <v>134026.52533430923</v>
      </c>
      <c r="N2243" s="42">
        <v>50.12955112456028</v>
      </c>
      <c r="O2243" s="43">
        <v>16058.903761162557</v>
      </c>
    </row>
    <row r="2244" spans="12:15" x14ac:dyDescent="0.2">
      <c r="L2244" s="4">
        <v>2238</v>
      </c>
      <c r="M2244" s="21">
        <v>60445.212090681773</v>
      </c>
      <c r="N2244" s="42">
        <v>49.082200061126663</v>
      </c>
      <c r="O2244" s="43">
        <v>16369.217600708878</v>
      </c>
    </row>
    <row r="2245" spans="12:15" x14ac:dyDescent="0.2">
      <c r="L2245" s="4">
        <v>2239</v>
      </c>
      <c r="M2245" s="21">
        <v>191584.87440895446</v>
      </c>
      <c r="N2245" s="42">
        <v>50.282550601519482</v>
      </c>
      <c r="O2245" s="43">
        <v>15972.297056563461</v>
      </c>
    </row>
    <row r="2246" spans="12:15" x14ac:dyDescent="0.2">
      <c r="L2246" s="4">
        <v>2240</v>
      </c>
      <c r="M2246" s="21">
        <v>-165065.70859902701</v>
      </c>
      <c r="N2246" s="42">
        <v>49.296169239181147</v>
      </c>
      <c r="O2246" s="43">
        <v>12972.410081219656</v>
      </c>
    </row>
    <row r="2247" spans="12:15" x14ac:dyDescent="0.2">
      <c r="L2247" s="4">
        <v>2241</v>
      </c>
      <c r="M2247" s="21">
        <v>305.22125394784962</v>
      </c>
      <c r="N2247" s="42">
        <v>49.768225606803952</v>
      </c>
      <c r="O2247" s="43">
        <v>14883.202601529938</v>
      </c>
    </row>
    <row r="2248" spans="12:15" x14ac:dyDescent="0.2">
      <c r="L2248" s="4">
        <v>2242</v>
      </c>
      <c r="M2248" s="21">
        <v>-129759.96454390675</v>
      </c>
      <c r="N2248" s="42">
        <v>48.456304278856251</v>
      </c>
      <c r="O2248" s="43">
        <v>14737.431388617773</v>
      </c>
    </row>
    <row r="2249" spans="12:15" x14ac:dyDescent="0.2">
      <c r="L2249" s="4">
        <v>2243</v>
      </c>
      <c r="M2249" s="21">
        <v>230203.75009773517</v>
      </c>
      <c r="N2249" s="42">
        <v>50.188313500399595</v>
      </c>
      <c r="O2249" s="43">
        <v>16886.28251632606</v>
      </c>
    </row>
    <row r="2250" spans="12:15" x14ac:dyDescent="0.2">
      <c r="L2250" s="4">
        <v>2244</v>
      </c>
      <c r="M2250" s="21">
        <v>23315.658622315183</v>
      </c>
      <c r="N2250" s="42">
        <v>48.543988904444198</v>
      </c>
      <c r="O2250" s="43">
        <v>15610.2601820001</v>
      </c>
    </row>
    <row r="2251" spans="12:15" x14ac:dyDescent="0.2">
      <c r="L2251" s="4">
        <v>2245</v>
      </c>
      <c r="M2251" s="21">
        <v>-21232.64061516212</v>
      </c>
      <c r="N2251" s="42">
        <v>48.926387312446167</v>
      </c>
      <c r="O2251" s="43">
        <v>14437.365672930651</v>
      </c>
    </row>
    <row r="2252" spans="12:15" x14ac:dyDescent="0.2">
      <c r="L2252" s="4">
        <v>2246</v>
      </c>
      <c r="M2252" s="21">
        <v>24023.50808956218</v>
      </c>
      <c r="N2252" s="42">
        <v>48.260879419646976</v>
      </c>
      <c r="O2252" s="43">
        <v>16122.051790737303</v>
      </c>
    </row>
    <row r="2253" spans="12:15" x14ac:dyDescent="0.2">
      <c r="L2253" s="4">
        <v>2247</v>
      </c>
      <c r="M2253" s="21">
        <v>118507.57780983398</v>
      </c>
      <c r="N2253" s="42">
        <v>48.665012843600486</v>
      </c>
      <c r="O2253" s="43">
        <v>15755.031450192218</v>
      </c>
    </row>
    <row r="2254" spans="12:15" x14ac:dyDescent="0.2">
      <c r="L2254" s="4">
        <v>2248</v>
      </c>
      <c r="M2254" s="21">
        <v>-16215.323611166881</v>
      </c>
      <c r="N2254" s="42">
        <v>49.115835612388857</v>
      </c>
      <c r="O2254" s="43">
        <v>14192.970354173334</v>
      </c>
    </row>
    <row r="2255" spans="12:15" x14ac:dyDescent="0.2">
      <c r="L2255" s="4">
        <v>2249</v>
      </c>
      <c r="M2255" s="21">
        <v>333464.89609837369</v>
      </c>
      <c r="N2255" s="42">
        <v>50.027642024250312</v>
      </c>
      <c r="O2255" s="43">
        <v>16628.864114761276</v>
      </c>
    </row>
    <row r="2256" spans="12:15" x14ac:dyDescent="0.2">
      <c r="L2256" s="4">
        <v>2250</v>
      </c>
      <c r="M2256" s="21">
        <v>-9018.0129843343457</v>
      </c>
      <c r="N2256" s="42">
        <v>51.059988589499916</v>
      </c>
      <c r="O2256" s="43">
        <v>13819.888574543933</v>
      </c>
    </row>
    <row r="2257" spans="12:15" x14ac:dyDescent="0.2">
      <c r="L2257" s="4">
        <v>2251</v>
      </c>
      <c r="M2257" s="21">
        <v>-73030.835651451402</v>
      </c>
      <c r="N2257" s="42">
        <v>47.709700622545441</v>
      </c>
      <c r="O2257" s="43">
        <v>15794.334352356287</v>
      </c>
    </row>
    <row r="2258" spans="12:15" x14ac:dyDescent="0.2">
      <c r="L2258" s="4">
        <v>2252</v>
      </c>
      <c r="M2258" s="21">
        <v>-23165.550940112051</v>
      </c>
      <c r="N2258" s="42">
        <v>51.289848769778246</v>
      </c>
      <c r="O2258" s="43">
        <v>12478.955320701294</v>
      </c>
    </row>
    <row r="2259" spans="12:15" x14ac:dyDescent="0.2">
      <c r="L2259" s="4">
        <v>2253</v>
      </c>
      <c r="M2259" s="21">
        <v>-128114.18125136878</v>
      </c>
      <c r="N2259" s="42">
        <v>49.415119615037504</v>
      </c>
      <c r="O2259" s="43">
        <v>13358.750302487264</v>
      </c>
    </row>
    <row r="2260" spans="12:15" x14ac:dyDescent="0.2">
      <c r="L2260" s="4">
        <v>2254</v>
      </c>
      <c r="M2260" s="21">
        <v>31103.505771270371</v>
      </c>
      <c r="N2260" s="42">
        <v>49.068568870517531</v>
      </c>
      <c r="O2260" s="43">
        <v>14734.387478101629</v>
      </c>
    </row>
    <row r="2261" spans="12:15" x14ac:dyDescent="0.2">
      <c r="L2261" s="4">
        <v>2255</v>
      </c>
      <c r="M2261" s="21">
        <v>116726.59550996037</v>
      </c>
      <c r="N2261" s="42">
        <v>49.192499281568956</v>
      </c>
      <c r="O2261" s="43">
        <v>16800.007625932358</v>
      </c>
    </row>
    <row r="2262" spans="12:15" x14ac:dyDescent="0.2">
      <c r="L2262" s="4">
        <v>2256</v>
      </c>
      <c r="M2262" s="21">
        <v>77329.530983923207</v>
      </c>
      <c r="N2262" s="42">
        <v>50.567629703947439</v>
      </c>
      <c r="O2262" s="43">
        <v>14887.583257356406</v>
      </c>
    </row>
    <row r="2263" spans="12:15" x14ac:dyDescent="0.2">
      <c r="L2263" s="4">
        <v>2257</v>
      </c>
      <c r="M2263" s="21">
        <v>-163568.65979950028</v>
      </c>
      <c r="N2263" s="42">
        <v>50.75683193008274</v>
      </c>
      <c r="O2263" s="43">
        <v>12991.85590039301</v>
      </c>
    </row>
    <row r="2264" spans="12:15" x14ac:dyDescent="0.2">
      <c r="L2264" s="4">
        <v>2258</v>
      </c>
      <c r="M2264" s="21">
        <v>95642.392580784566</v>
      </c>
      <c r="N2264" s="42">
        <v>51.57491306764787</v>
      </c>
      <c r="O2264" s="43">
        <v>14315.315788722897</v>
      </c>
    </row>
    <row r="2265" spans="12:15" x14ac:dyDescent="0.2">
      <c r="L2265" s="4">
        <v>2259</v>
      </c>
      <c r="M2265" s="21">
        <v>35589.094963521551</v>
      </c>
      <c r="N2265" s="42">
        <v>50.998293374553711</v>
      </c>
      <c r="O2265" s="43">
        <v>14401.644822315155</v>
      </c>
    </row>
    <row r="2266" spans="12:15" x14ac:dyDescent="0.2">
      <c r="L2266" s="4">
        <v>2260</v>
      </c>
      <c r="M2266" s="21">
        <v>-118274.43109893941</v>
      </c>
      <c r="N2266" s="42">
        <v>47.266768038979478</v>
      </c>
      <c r="O2266" s="43">
        <v>16322.386898902185</v>
      </c>
    </row>
    <row r="2267" spans="12:15" x14ac:dyDescent="0.2">
      <c r="L2267" s="4">
        <v>2261</v>
      </c>
      <c r="M2267" s="21">
        <v>-84372.16914806806</v>
      </c>
      <c r="N2267" s="42">
        <v>51.157605694478143</v>
      </c>
      <c r="O2267" s="43">
        <v>13336.460994792016</v>
      </c>
    </row>
    <row r="2268" spans="12:15" x14ac:dyDescent="0.2">
      <c r="L2268" s="4">
        <v>2262</v>
      </c>
      <c r="M2268" s="21">
        <v>5556.0841561725538</v>
      </c>
      <c r="N2268" s="42">
        <v>47.961371759434556</v>
      </c>
      <c r="O2268" s="43">
        <v>18584.180625509831</v>
      </c>
    </row>
    <row r="2269" spans="12:15" x14ac:dyDescent="0.2">
      <c r="L2269" s="4">
        <v>2263</v>
      </c>
      <c r="M2269" s="21">
        <v>-85029.075216090525</v>
      </c>
      <c r="N2269" s="42">
        <v>47.143669182999346</v>
      </c>
      <c r="O2269" s="43">
        <v>17981.995666680443</v>
      </c>
    </row>
    <row r="2270" spans="12:15" x14ac:dyDescent="0.2">
      <c r="L2270" s="4">
        <v>2264</v>
      </c>
      <c r="M2270" s="21">
        <v>-84656.575625600904</v>
      </c>
      <c r="N2270" s="42">
        <v>47.55193011357769</v>
      </c>
      <c r="O2270" s="43">
        <v>17508.019099916924</v>
      </c>
    </row>
    <row r="2271" spans="12:15" x14ac:dyDescent="0.2">
      <c r="L2271" s="4">
        <v>2265</v>
      </c>
      <c r="M2271" s="21">
        <v>-155005.2026835217</v>
      </c>
      <c r="N2271" s="42">
        <v>51.226164451670293</v>
      </c>
      <c r="O2271" s="43">
        <v>13456.851482881999</v>
      </c>
    </row>
    <row r="2272" spans="12:15" x14ac:dyDescent="0.2">
      <c r="L2272" s="4">
        <v>2266</v>
      </c>
      <c r="M2272" s="21">
        <v>-123323.36671646098</v>
      </c>
      <c r="N2272" s="42">
        <v>48.701785784344402</v>
      </c>
      <c r="O2272" s="43">
        <v>13446.734572847372</v>
      </c>
    </row>
    <row r="2273" spans="12:15" x14ac:dyDescent="0.2">
      <c r="L2273" s="4">
        <v>2267</v>
      </c>
      <c r="M2273" s="21">
        <v>-164768.22083570491</v>
      </c>
      <c r="N2273" s="42">
        <v>51.226125816953257</v>
      </c>
      <c r="O2273" s="43">
        <v>12377.971197969506</v>
      </c>
    </row>
    <row r="2274" spans="12:15" x14ac:dyDescent="0.2">
      <c r="L2274" s="4">
        <v>2268</v>
      </c>
      <c r="M2274" s="21">
        <v>113848.7398736545</v>
      </c>
      <c r="N2274" s="42">
        <v>49.870992563095967</v>
      </c>
      <c r="O2274" s="43">
        <v>15552.527041003897</v>
      </c>
    </row>
    <row r="2275" spans="12:15" x14ac:dyDescent="0.2">
      <c r="L2275" s="4">
        <v>2269</v>
      </c>
      <c r="M2275" s="21">
        <v>-93639.106277551007</v>
      </c>
      <c r="N2275" s="42">
        <v>49.424914509228074</v>
      </c>
      <c r="O2275" s="43">
        <v>13526.655412936765</v>
      </c>
    </row>
    <row r="2276" spans="12:15" x14ac:dyDescent="0.2">
      <c r="L2276" s="4">
        <v>2270</v>
      </c>
      <c r="M2276" s="21">
        <v>-28093.305098945129</v>
      </c>
      <c r="N2276" s="42">
        <v>49.609028089264513</v>
      </c>
      <c r="O2276" s="43">
        <v>15213.957672400677</v>
      </c>
    </row>
    <row r="2277" spans="12:15" x14ac:dyDescent="0.2">
      <c r="L2277" s="4">
        <v>2271</v>
      </c>
      <c r="M2277" s="21">
        <v>-51191.570161842305</v>
      </c>
      <c r="N2277" s="42">
        <v>49.122040604604635</v>
      </c>
      <c r="O2277" s="43">
        <v>14704.593234928487</v>
      </c>
    </row>
    <row r="2278" spans="12:15" x14ac:dyDescent="0.2">
      <c r="L2278" s="4">
        <v>2272</v>
      </c>
      <c r="M2278" s="21">
        <v>-148239.82211967726</v>
      </c>
      <c r="N2278" s="42">
        <v>46.950704778704413</v>
      </c>
      <c r="O2278" s="43">
        <v>14595.440989280427</v>
      </c>
    </row>
    <row r="2279" spans="12:15" x14ac:dyDescent="0.2">
      <c r="L2279" s="4">
        <v>2273</v>
      </c>
      <c r="M2279" s="21">
        <v>-61479.541540244914</v>
      </c>
      <c r="N2279" s="42">
        <v>48.762091512147904</v>
      </c>
      <c r="O2279" s="43">
        <v>14458.882361285087</v>
      </c>
    </row>
    <row r="2280" spans="12:15" x14ac:dyDescent="0.2">
      <c r="L2280" s="4">
        <v>2274</v>
      </c>
      <c r="M2280" s="21">
        <v>15974.631619487045</v>
      </c>
      <c r="N2280" s="42">
        <v>49.210201984829411</v>
      </c>
      <c r="O2280" s="43">
        <v>14288.453727390333</v>
      </c>
    </row>
    <row r="2281" spans="12:15" x14ac:dyDescent="0.2">
      <c r="L2281" s="4">
        <v>2275</v>
      </c>
      <c r="M2281" s="21">
        <v>28092.941471585393</v>
      </c>
      <c r="N2281" s="42">
        <v>46.870203883656345</v>
      </c>
      <c r="O2281" s="43">
        <v>16381.035883444287</v>
      </c>
    </row>
    <row r="2282" spans="12:15" x14ac:dyDescent="0.2">
      <c r="L2282" s="4">
        <v>2276</v>
      </c>
      <c r="M2282" s="21">
        <v>229855.44399810676</v>
      </c>
      <c r="N2282" s="42">
        <v>49.590690550591049</v>
      </c>
      <c r="O2282" s="43">
        <v>17652.889587562673</v>
      </c>
    </row>
    <row r="2283" spans="12:15" x14ac:dyDescent="0.2">
      <c r="L2283" s="4">
        <v>2277</v>
      </c>
      <c r="M2283" s="21">
        <v>-26531.665672965973</v>
      </c>
      <c r="N2283" s="42">
        <v>46.603236736072134</v>
      </c>
      <c r="O2283" s="43">
        <v>15649.644442213352</v>
      </c>
    </row>
    <row r="2284" spans="12:15" x14ac:dyDescent="0.2">
      <c r="L2284" s="4">
        <v>2278</v>
      </c>
      <c r="M2284" s="21">
        <v>104717.38480810655</v>
      </c>
      <c r="N2284" s="42">
        <v>49.824942900468535</v>
      </c>
      <c r="O2284" s="43">
        <v>16263.489449881068</v>
      </c>
    </row>
    <row r="2285" spans="12:15" x14ac:dyDescent="0.2">
      <c r="L2285" s="4">
        <v>2279</v>
      </c>
      <c r="M2285" s="21">
        <v>61622.891170080926</v>
      </c>
      <c r="N2285" s="42">
        <v>48.732330903821484</v>
      </c>
      <c r="O2285" s="43">
        <v>15610.448258460186</v>
      </c>
    </row>
    <row r="2286" spans="12:15" x14ac:dyDescent="0.2">
      <c r="L2286" s="4">
        <v>2280</v>
      </c>
      <c r="M2286" s="21">
        <v>-51717.230690388082</v>
      </c>
      <c r="N2286" s="42">
        <v>48.245780986318394</v>
      </c>
      <c r="O2286" s="43">
        <v>17460.034268384752</v>
      </c>
    </row>
    <row r="2287" spans="12:15" x14ac:dyDescent="0.2">
      <c r="L2287" s="4">
        <v>2281</v>
      </c>
      <c r="M2287" s="21">
        <v>-53259.916559184945</v>
      </c>
      <c r="N2287" s="42">
        <v>49.954145319623493</v>
      </c>
      <c r="O2287" s="43">
        <v>14210.35986119948</v>
      </c>
    </row>
    <row r="2288" spans="12:15" x14ac:dyDescent="0.2">
      <c r="L2288" s="4">
        <v>2282</v>
      </c>
      <c r="M2288" s="21">
        <v>-125617.31814884041</v>
      </c>
      <c r="N2288" s="42">
        <v>50.397867080345627</v>
      </c>
      <c r="O2288" s="43">
        <v>14068.371589893708</v>
      </c>
    </row>
    <row r="2289" spans="12:15" x14ac:dyDescent="0.2">
      <c r="L2289" s="4">
        <v>2283</v>
      </c>
      <c r="M2289" s="21">
        <v>59222.809991451562</v>
      </c>
      <c r="N2289" s="42">
        <v>49.956154402499251</v>
      </c>
      <c r="O2289" s="43">
        <v>15287.464479717779</v>
      </c>
    </row>
    <row r="2290" spans="12:15" x14ac:dyDescent="0.2">
      <c r="L2290" s="4">
        <v>2284</v>
      </c>
      <c r="M2290" s="21">
        <v>-207347.66695330449</v>
      </c>
      <c r="N2290" s="42">
        <v>48.525222119361814</v>
      </c>
      <c r="O2290" s="43">
        <v>14394.61631894106</v>
      </c>
    </row>
    <row r="2291" spans="12:15" x14ac:dyDescent="0.2">
      <c r="L2291" s="4">
        <v>2285</v>
      </c>
      <c r="M2291" s="21">
        <v>-41790.942165937086</v>
      </c>
      <c r="N2291" s="42">
        <v>50.95125887198293</v>
      </c>
      <c r="O2291" s="43">
        <v>14237.868491292404</v>
      </c>
    </row>
    <row r="2292" spans="12:15" x14ac:dyDescent="0.2">
      <c r="L2292" s="4">
        <v>2286</v>
      </c>
      <c r="M2292" s="21">
        <v>-34279.486702963273</v>
      </c>
      <c r="N2292" s="42">
        <v>51.025287467176796</v>
      </c>
      <c r="O2292" s="43">
        <v>13984.307172545487</v>
      </c>
    </row>
    <row r="2293" spans="12:15" x14ac:dyDescent="0.2">
      <c r="L2293" s="4">
        <v>2287</v>
      </c>
      <c r="M2293" s="21">
        <v>46134.118989617447</v>
      </c>
      <c r="N2293" s="42">
        <v>50.378259543486124</v>
      </c>
      <c r="O2293" s="43">
        <v>15227.396559472558</v>
      </c>
    </row>
    <row r="2294" spans="12:15" x14ac:dyDescent="0.2">
      <c r="L2294" s="4">
        <v>2288</v>
      </c>
      <c r="M2294" s="21">
        <v>16051.272352584405</v>
      </c>
      <c r="N2294" s="42">
        <v>51.621518252623865</v>
      </c>
      <c r="O2294" s="43">
        <v>13788.612977192628</v>
      </c>
    </row>
    <row r="2295" spans="12:15" x14ac:dyDescent="0.2">
      <c r="L2295" s="4">
        <v>2289</v>
      </c>
      <c r="M2295" s="21">
        <v>-108426.58404541625</v>
      </c>
      <c r="N2295" s="42">
        <v>50.501036933944434</v>
      </c>
      <c r="O2295" s="43">
        <v>12683.815660757096</v>
      </c>
    </row>
    <row r="2296" spans="12:15" x14ac:dyDescent="0.2">
      <c r="L2296" s="4">
        <v>2290</v>
      </c>
      <c r="M2296" s="21">
        <v>-295191.96639105078</v>
      </c>
      <c r="N2296" s="42">
        <v>49.468728880265267</v>
      </c>
      <c r="O2296" s="43">
        <v>12543.187963859404</v>
      </c>
    </row>
    <row r="2297" spans="12:15" x14ac:dyDescent="0.2">
      <c r="L2297" s="4">
        <v>2291</v>
      </c>
      <c r="M2297" s="21">
        <v>-175538.87885164781</v>
      </c>
      <c r="N2297" s="42">
        <v>49.946909016653372</v>
      </c>
      <c r="O2297" s="43">
        <v>12892.595737597014</v>
      </c>
    </row>
    <row r="2298" spans="12:15" x14ac:dyDescent="0.2">
      <c r="L2298" s="4">
        <v>2292</v>
      </c>
      <c r="M2298" s="21">
        <v>-164393.83696955602</v>
      </c>
      <c r="N2298" s="42">
        <v>48.404796494160237</v>
      </c>
      <c r="O2298" s="43">
        <v>15173.03435709467</v>
      </c>
    </row>
    <row r="2299" spans="12:15" x14ac:dyDescent="0.2">
      <c r="L2299" s="4">
        <v>2293</v>
      </c>
      <c r="M2299" s="21">
        <v>25466.153600296529</v>
      </c>
      <c r="N2299" s="42">
        <v>50.519228485754823</v>
      </c>
      <c r="O2299" s="43">
        <v>14485.745895473188</v>
      </c>
    </row>
    <row r="2300" spans="12:15" x14ac:dyDescent="0.2">
      <c r="L2300" s="4">
        <v>2294</v>
      </c>
      <c r="M2300" s="21">
        <v>-144210.54223224946</v>
      </c>
      <c r="N2300" s="42">
        <v>46.839702360515837</v>
      </c>
      <c r="O2300" s="43">
        <v>15868.34764876496</v>
      </c>
    </row>
    <row r="2301" spans="12:15" x14ac:dyDescent="0.2">
      <c r="L2301" s="4">
        <v>2295</v>
      </c>
      <c r="M2301" s="21">
        <v>-146346.01538918831</v>
      </c>
      <c r="N2301" s="42">
        <v>47.323862415477926</v>
      </c>
      <c r="O2301" s="43">
        <v>15363.268900177081</v>
      </c>
    </row>
    <row r="2302" spans="12:15" x14ac:dyDescent="0.2">
      <c r="L2302" s="4">
        <v>2296</v>
      </c>
      <c r="M2302" s="21">
        <v>17754.758103071479</v>
      </c>
      <c r="N2302" s="42">
        <v>50.534937713255296</v>
      </c>
      <c r="O2302" s="43">
        <v>15061.185172192949</v>
      </c>
    </row>
    <row r="2303" spans="12:15" x14ac:dyDescent="0.2">
      <c r="L2303" s="4">
        <v>2297</v>
      </c>
      <c r="M2303" s="21">
        <v>-51403.684795665031</v>
      </c>
      <c r="N2303" s="42">
        <v>49.446346411211486</v>
      </c>
      <c r="O2303" s="43">
        <v>14041.87791922078</v>
      </c>
    </row>
    <row r="2304" spans="12:15" x14ac:dyDescent="0.2">
      <c r="L2304" s="4">
        <v>2298</v>
      </c>
      <c r="M2304" s="21">
        <v>-68459.3121749087</v>
      </c>
      <c r="N2304" s="42">
        <v>48.749652866575467</v>
      </c>
      <c r="O2304" s="43">
        <v>15894.758988997892</v>
      </c>
    </row>
    <row r="2305" spans="12:15" x14ac:dyDescent="0.2">
      <c r="L2305" s="4">
        <v>2299</v>
      </c>
      <c r="M2305" s="21">
        <v>-42799.28168082179</v>
      </c>
      <c r="N2305" s="42">
        <v>46.409783623529187</v>
      </c>
      <c r="O2305" s="43">
        <v>16842.859931773546</v>
      </c>
    </row>
    <row r="2306" spans="12:15" x14ac:dyDescent="0.2">
      <c r="L2306" s="4">
        <v>2300</v>
      </c>
      <c r="M2306" s="21">
        <v>-226963.09263442314</v>
      </c>
      <c r="N2306" s="42">
        <v>46.155111264564859</v>
      </c>
      <c r="O2306" s="43">
        <v>15905.366847885125</v>
      </c>
    </row>
    <row r="2307" spans="12:15" x14ac:dyDescent="0.2">
      <c r="L2307" s="4">
        <v>2301</v>
      </c>
      <c r="M2307" s="21">
        <v>-55905.557914653255</v>
      </c>
      <c r="N2307" s="42">
        <v>49.821376666265991</v>
      </c>
      <c r="O2307" s="43">
        <v>14280.880250670261</v>
      </c>
    </row>
    <row r="2308" spans="12:15" x14ac:dyDescent="0.2">
      <c r="L2308" s="4">
        <v>2302</v>
      </c>
      <c r="M2308" s="21">
        <v>-54698.427624227159</v>
      </c>
      <c r="N2308" s="42">
        <v>49.880436763627827</v>
      </c>
      <c r="O2308" s="43">
        <v>15141.004162604058</v>
      </c>
    </row>
    <row r="2309" spans="12:15" x14ac:dyDescent="0.2">
      <c r="L2309" s="4">
        <v>2303</v>
      </c>
      <c r="M2309" s="21">
        <v>-71706.359855074741</v>
      </c>
      <c r="N2309" s="42">
        <v>48.813112672957146</v>
      </c>
      <c r="O2309" s="43">
        <v>14862.06069374369</v>
      </c>
    </row>
    <row r="2310" spans="12:15" x14ac:dyDescent="0.2">
      <c r="L2310" s="4">
        <v>2304</v>
      </c>
      <c r="M2310" s="21">
        <v>-159386.82384939981</v>
      </c>
      <c r="N2310" s="42">
        <v>50.083128932520701</v>
      </c>
      <c r="O2310" s="43">
        <v>13496.66142145951</v>
      </c>
    </row>
    <row r="2311" spans="12:15" x14ac:dyDescent="0.2">
      <c r="L2311" s="4">
        <v>2305</v>
      </c>
      <c r="M2311" s="21">
        <v>-57089.795082566328</v>
      </c>
      <c r="N2311" s="42">
        <v>49.049970225535134</v>
      </c>
      <c r="O2311" s="43">
        <v>15263.100522957153</v>
      </c>
    </row>
    <row r="2312" spans="12:15" x14ac:dyDescent="0.2">
      <c r="L2312" s="4">
        <v>2306</v>
      </c>
      <c r="M2312" s="21">
        <v>-192865.77825918322</v>
      </c>
      <c r="N2312" s="42">
        <v>48.092838991302393</v>
      </c>
      <c r="O2312" s="43">
        <v>13905.241985864923</v>
      </c>
    </row>
    <row r="2313" spans="12:15" x14ac:dyDescent="0.2">
      <c r="L2313" s="4">
        <v>2307</v>
      </c>
      <c r="M2313" s="21">
        <v>-44077.392804270945</v>
      </c>
      <c r="N2313" s="42">
        <v>49.307987485884318</v>
      </c>
      <c r="O2313" s="43">
        <v>14468.044607696824</v>
      </c>
    </row>
    <row r="2314" spans="12:15" x14ac:dyDescent="0.2">
      <c r="L2314" s="4">
        <v>2308</v>
      </c>
      <c r="M2314" s="21">
        <v>-239589.72112548901</v>
      </c>
      <c r="N2314" s="42">
        <v>48.967739649758606</v>
      </c>
      <c r="O2314" s="43">
        <v>13789.39186840571</v>
      </c>
    </row>
    <row r="2315" spans="12:15" x14ac:dyDescent="0.2">
      <c r="L2315" s="4">
        <v>2309</v>
      </c>
      <c r="M2315" s="21">
        <v>125109.23615607855</v>
      </c>
      <c r="N2315" s="42">
        <v>47.624269810323824</v>
      </c>
      <c r="O2315" s="43">
        <v>17096.554478523882</v>
      </c>
    </row>
    <row r="2316" spans="12:15" x14ac:dyDescent="0.2">
      <c r="L2316" s="4">
        <v>2310</v>
      </c>
      <c r="M2316" s="21">
        <v>-93536.092136311898</v>
      </c>
      <c r="N2316" s="42">
        <v>50.776552813967115</v>
      </c>
      <c r="O2316" s="43">
        <v>14030.383862704421</v>
      </c>
    </row>
    <row r="2317" spans="12:15" x14ac:dyDescent="0.2">
      <c r="L2317" s="4">
        <v>2311</v>
      </c>
      <c r="M2317" s="21">
        <v>-221384.44817311567</v>
      </c>
      <c r="N2317" s="42">
        <v>46.624004040206543</v>
      </c>
      <c r="O2317" s="43">
        <v>14318.087313858501</v>
      </c>
    </row>
    <row r="2318" spans="12:15" x14ac:dyDescent="0.2">
      <c r="L2318" s="4">
        <v>2312</v>
      </c>
      <c r="M2318" s="21">
        <v>-220041.41302191885</v>
      </c>
      <c r="N2318" s="42">
        <v>50.974449004633719</v>
      </c>
      <c r="O2318" s="43">
        <v>11496.328039186403</v>
      </c>
    </row>
    <row r="2319" spans="12:15" x14ac:dyDescent="0.2">
      <c r="L2319" s="4">
        <v>2313</v>
      </c>
      <c r="M2319" s="21">
        <v>180700.16786731363</v>
      </c>
      <c r="N2319" s="42">
        <v>48.847344677593092</v>
      </c>
      <c r="O2319" s="43">
        <v>18010.496968965017</v>
      </c>
    </row>
    <row r="2320" spans="12:15" x14ac:dyDescent="0.2">
      <c r="L2320" s="4">
        <v>2314</v>
      </c>
      <c r="M2320" s="21">
        <v>-42910.957404413799</v>
      </c>
      <c r="N2320" s="42">
        <v>48.503277811378084</v>
      </c>
      <c r="O2320" s="43">
        <v>15506.168916386925</v>
      </c>
    </row>
    <row r="2321" spans="12:15" x14ac:dyDescent="0.2">
      <c r="L2321" s="4">
        <v>2315</v>
      </c>
      <c r="M2321" s="21">
        <v>212641.49588325835</v>
      </c>
      <c r="N2321" s="42">
        <v>50.150981038259445</v>
      </c>
      <c r="O2321" s="43">
        <v>16258.910911672734</v>
      </c>
    </row>
    <row r="2322" spans="12:15" x14ac:dyDescent="0.2">
      <c r="L2322" s="4">
        <v>2316</v>
      </c>
      <c r="M2322" s="21">
        <v>-94799.408302140131</v>
      </c>
      <c r="N2322" s="42">
        <v>49.671145356346614</v>
      </c>
      <c r="O2322" s="43">
        <v>13992.352675898674</v>
      </c>
    </row>
    <row r="2323" spans="12:15" x14ac:dyDescent="0.2">
      <c r="L2323" s="4">
        <v>2317</v>
      </c>
      <c r="M2323" s="21">
        <v>84788.210783681367</v>
      </c>
      <c r="N2323" s="42">
        <v>48.479168341300955</v>
      </c>
      <c r="O2323" s="43">
        <v>17241.845302492347</v>
      </c>
    </row>
    <row r="2324" spans="12:15" x14ac:dyDescent="0.2">
      <c r="L2324" s="4">
        <v>2318</v>
      </c>
      <c r="M2324" s="21">
        <v>135697.58841659405</v>
      </c>
      <c r="N2324" s="42">
        <v>50.089913142926719</v>
      </c>
      <c r="O2324" s="43">
        <v>16917.165699801804</v>
      </c>
    </row>
    <row r="2325" spans="12:15" x14ac:dyDescent="0.2">
      <c r="L2325" s="4">
        <v>2319</v>
      </c>
      <c r="M2325" s="21">
        <v>-69593.446495034659</v>
      </c>
      <c r="N2325" s="42">
        <v>50.091011486241221</v>
      </c>
      <c r="O2325" s="43">
        <v>14330.673322178276</v>
      </c>
    </row>
    <row r="2326" spans="12:15" x14ac:dyDescent="0.2">
      <c r="L2326" s="4">
        <v>2320</v>
      </c>
      <c r="M2326" s="21">
        <v>-110745.99105096726</v>
      </c>
      <c r="N2326" s="42">
        <v>47.807480471491928</v>
      </c>
      <c r="O2326" s="43">
        <v>14601.70890616034</v>
      </c>
    </row>
    <row r="2327" spans="12:15" x14ac:dyDescent="0.2">
      <c r="L2327" s="4">
        <v>2321</v>
      </c>
      <c r="M2327" s="21">
        <v>-82874.525097565391</v>
      </c>
      <c r="N2327" s="42">
        <v>50.045668232712835</v>
      </c>
      <c r="O2327" s="43">
        <v>14970.350274192993</v>
      </c>
    </row>
    <row r="2328" spans="12:15" x14ac:dyDescent="0.2">
      <c r="L2328" s="4">
        <v>2322</v>
      </c>
      <c r="M2328" s="21">
        <v>44723.863665093144</v>
      </c>
      <c r="N2328" s="42">
        <v>48.627572908099481</v>
      </c>
      <c r="O2328" s="43">
        <v>16142.981184399954</v>
      </c>
    </row>
    <row r="2329" spans="12:15" x14ac:dyDescent="0.2">
      <c r="L2329" s="4">
        <v>2323</v>
      </c>
      <c r="M2329" s="21">
        <v>-73502.023205651465</v>
      </c>
      <c r="N2329" s="42">
        <v>48.416406960670855</v>
      </c>
      <c r="O2329" s="43">
        <v>15960.600783591937</v>
      </c>
    </row>
    <row r="2330" spans="12:15" x14ac:dyDescent="0.2">
      <c r="L2330" s="4">
        <v>2324</v>
      </c>
      <c r="M2330" s="21">
        <v>32126.489126629778</v>
      </c>
      <c r="N2330" s="42">
        <v>51.103702901907361</v>
      </c>
      <c r="O2330" s="43">
        <v>13878.213437845228</v>
      </c>
    </row>
    <row r="2331" spans="12:15" x14ac:dyDescent="0.2">
      <c r="L2331" s="4">
        <v>2325</v>
      </c>
      <c r="M2331" s="21">
        <v>53655.919635386206</v>
      </c>
      <c r="N2331" s="42">
        <v>51.37825708965994</v>
      </c>
      <c r="O2331" s="43">
        <v>14334.837127587161</v>
      </c>
    </row>
    <row r="2332" spans="12:15" x14ac:dyDescent="0.2">
      <c r="L2332" s="4">
        <v>2326</v>
      </c>
      <c r="M2332" s="21">
        <v>-100369.87730918612</v>
      </c>
      <c r="N2332" s="42">
        <v>49.133184600503128</v>
      </c>
      <c r="O2332" s="43">
        <v>14924.941737937068</v>
      </c>
    </row>
    <row r="2333" spans="12:15" x14ac:dyDescent="0.2">
      <c r="L2333" s="4">
        <v>2327</v>
      </c>
      <c r="M2333" s="21">
        <v>-110737.39497012536</v>
      </c>
      <c r="N2333" s="42">
        <v>49.166164435483722</v>
      </c>
      <c r="O2333" s="43">
        <v>13816.079250239622</v>
      </c>
    </row>
    <row r="2334" spans="12:15" x14ac:dyDescent="0.2">
      <c r="L2334" s="4">
        <v>2328</v>
      </c>
      <c r="M2334" s="21">
        <v>201705.64977274669</v>
      </c>
      <c r="N2334" s="42">
        <v>49.640834024485201</v>
      </c>
      <c r="O2334" s="43">
        <v>16276.797515669194</v>
      </c>
    </row>
    <row r="2335" spans="12:15" x14ac:dyDescent="0.2">
      <c r="L2335" s="4">
        <v>2329</v>
      </c>
      <c r="M2335" s="21">
        <v>-47310.879227083991</v>
      </c>
      <c r="N2335" s="42">
        <v>49.346698243058299</v>
      </c>
      <c r="O2335" s="43">
        <v>14418.185608766084</v>
      </c>
    </row>
    <row r="2336" spans="12:15" x14ac:dyDescent="0.2">
      <c r="L2336" s="4">
        <v>2330</v>
      </c>
      <c r="M2336" s="21">
        <v>-40893.297713096079</v>
      </c>
      <c r="N2336" s="42">
        <v>49.410517823734381</v>
      </c>
      <c r="O2336" s="43">
        <v>13581.789099992997</v>
      </c>
    </row>
    <row r="2337" spans="12:15" x14ac:dyDescent="0.2">
      <c r="L2337" s="4">
        <v>2331</v>
      </c>
      <c r="M2337" s="21">
        <v>-45756.327408635116</v>
      </c>
      <c r="N2337" s="42">
        <v>49.885832101190474</v>
      </c>
      <c r="O2337" s="43">
        <v>15607.099473552864</v>
      </c>
    </row>
    <row r="2338" spans="12:15" x14ac:dyDescent="0.2">
      <c r="L2338" s="4">
        <v>2332</v>
      </c>
      <c r="M2338" s="21">
        <v>169887.14762573133</v>
      </c>
      <c r="N2338" s="42">
        <v>48.797699135952243</v>
      </c>
      <c r="O2338" s="43">
        <v>19020.797947732332</v>
      </c>
    </row>
    <row r="2339" spans="12:15" x14ac:dyDescent="0.2">
      <c r="L2339" s="4">
        <v>2333</v>
      </c>
      <c r="M2339" s="21">
        <v>117125.22104778147</v>
      </c>
      <c r="N2339" s="42">
        <v>51.080927515290561</v>
      </c>
      <c r="O2339" s="43">
        <v>15289.467646683659</v>
      </c>
    </row>
    <row r="2340" spans="12:15" x14ac:dyDescent="0.2">
      <c r="L2340" s="4">
        <v>2334</v>
      </c>
      <c r="M2340" s="21">
        <v>9174.4939446741191</v>
      </c>
      <c r="N2340" s="42">
        <v>50.068090926858581</v>
      </c>
      <c r="O2340" s="43">
        <v>13795.316863414129</v>
      </c>
    </row>
    <row r="2341" spans="12:15" x14ac:dyDescent="0.2">
      <c r="L2341" s="4">
        <v>2335</v>
      </c>
      <c r="M2341" s="21">
        <v>145841.16534110581</v>
      </c>
      <c r="N2341" s="42">
        <v>47.729643959625044</v>
      </c>
      <c r="O2341" s="43">
        <v>16553.483360398492</v>
      </c>
    </row>
    <row r="2342" spans="12:15" x14ac:dyDescent="0.2">
      <c r="L2342" s="4">
        <v>2336</v>
      </c>
      <c r="M2342" s="21">
        <v>105269.53036143552</v>
      </c>
      <c r="N2342" s="42">
        <v>50.519590174828089</v>
      </c>
      <c r="O2342" s="43">
        <v>15396.377531775641</v>
      </c>
    </row>
    <row r="2343" spans="12:15" x14ac:dyDescent="0.2">
      <c r="L2343" s="4">
        <v>2337</v>
      </c>
      <c r="M2343" s="21">
        <v>-210722.7569212041</v>
      </c>
      <c r="N2343" s="42">
        <v>50.646475619620553</v>
      </c>
      <c r="O2343" s="43">
        <v>12535.83250736212</v>
      </c>
    </row>
    <row r="2344" spans="12:15" x14ac:dyDescent="0.2">
      <c r="L2344" s="4">
        <v>2338</v>
      </c>
      <c r="M2344" s="21">
        <v>-17810.308669213482</v>
      </c>
      <c r="N2344" s="42">
        <v>49.346575108230226</v>
      </c>
      <c r="O2344" s="43">
        <v>15075.426077188898</v>
      </c>
    </row>
    <row r="2345" spans="12:15" x14ac:dyDescent="0.2">
      <c r="L2345" s="4">
        <v>2339</v>
      </c>
      <c r="M2345" s="21">
        <v>18387.179757492355</v>
      </c>
      <c r="N2345" s="42">
        <v>51.518679823232517</v>
      </c>
      <c r="O2345" s="43">
        <v>13472.846313123651</v>
      </c>
    </row>
    <row r="2346" spans="12:15" x14ac:dyDescent="0.2">
      <c r="L2346" s="4">
        <v>2340</v>
      </c>
      <c r="M2346" s="21">
        <v>72385.28284451089</v>
      </c>
      <c r="N2346" s="42">
        <v>50.826146471955283</v>
      </c>
      <c r="O2346" s="43">
        <v>12727.178399934823</v>
      </c>
    </row>
    <row r="2347" spans="12:15" x14ac:dyDescent="0.2">
      <c r="L2347" s="4">
        <v>2341</v>
      </c>
      <c r="M2347" s="21">
        <v>-325674.13529935031</v>
      </c>
      <c r="N2347" s="42">
        <v>45.818379546729346</v>
      </c>
      <c r="O2347" s="43">
        <v>15894.608565555931</v>
      </c>
    </row>
    <row r="2348" spans="12:15" x14ac:dyDescent="0.2">
      <c r="L2348" s="4">
        <v>2342</v>
      </c>
      <c r="M2348" s="21">
        <v>-145978.00929062406</v>
      </c>
      <c r="N2348" s="42">
        <v>50.242348360409579</v>
      </c>
      <c r="O2348" s="43">
        <v>14560.386947391795</v>
      </c>
    </row>
    <row r="2349" spans="12:15" x14ac:dyDescent="0.2">
      <c r="L2349" s="4">
        <v>2343</v>
      </c>
      <c r="M2349" s="21">
        <v>147804.43825525133</v>
      </c>
      <c r="N2349" s="42">
        <v>51.461344066791007</v>
      </c>
      <c r="O2349" s="43">
        <v>14406.154356740839</v>
      </c>
    </row>
    <row r="2350" spans="12:15" x14ac:dyDescent="0.2">
      <c r="L2350" s="4">
        <v>2344</v>
      </c>
      <c r="M2350" s="21">
        <v>-55168.739527406011</v>
      </c>
      <c r="N2350" s="42">
        <v>50.900100547733103</v>
      </c>
      <c r="O2350" s="43">
        <v>13558.042331328643</v>
      </c>
    </row>
    <row r="2351" spans="12:15" x14ac:dyDescent="0.2">
      <c r="L2351" s="4">
        <v>2345</v>
      </c>
      <c r="M2351" s="21">
        <v>52413.211720536929</v>
      </c>
      <c r="N2351" s="42">
        <v>47.110554316552182</v>
      </c>
      <c r="O2351" s="43">
        <v>16837.791841238006</v>
      </c>
    </row>
    <row r="2352" spans="12:15" x14ac:dyDescent="0.2">
      <c r="L2352" s="4">
        <v>2346</v>
      </c>
      <c r="M2352" s="21">
        <v>-95821.364980817423</v>
      </c>
      <c r="N2352" s="42">
        <v>49.716511244528647</v>
      </c>
      <c r="O2352" s="43">
        <v>13794.549788322496</v>
      </c>
    </row>
    <row r="2353" spans="12:15" x14ac:dyDescent="0.2">
      <c r="L2353" s="4">
        <v>2347</v>
      </c>
      <c r="M2353" s="21">
        <v>-130940.38295681175</v>
      </c>
      <c r="N2353" s="42">
        <v>48.206785936171187</v>
      </c>
      <c r="O2353" s="43">
        <v>14573.764259373762</v>
      </c>
    </row>
    <row r="2354" spans="12:15" x14ac:dyDescent="0.2">
      <c r="L2354" s="4">
        <v>2348</v>
      </c>
      <c r="M2354" s="21">
        <v>104578.77435145646</v>
      </c>
      <c r="N2354" s="42">
        <v>51.580461188337566</v>
      </c>
      <c r="O2354" s="43">
        <v>15232.880327690154</v>
      </c>
    </row>
    <row r="2355" spans="12:15" x14ac:dyDescent="0.2">
      <c r="L2355" s="4">
        <v>2349</v>
      </c>
      <c r="M2355" s="21">
        <v>32129.178744417877</v>
      </c>
      <c r="N2355" s="42">
        <v>47.885836234627007</v>
      </c>
      <c r="O2355" s="43">
        <v>16595.698115153074</v>
      </c>
    </row>
    <row r="2356" spans="12:15" x14ac:dyDescent="0.2">
      <c r="L2356" s="4">
        <v>2350</v>
      </c>
      <c r="M2356" s="21">
        <v>220321.90900807158</v>
      </c>
      <c r="N2356" s="42">
        <v>50.128777563780851</v>
      </c>
      <c r="O2356" s="43">
        <v>17144.045559759914</v>
      </c>
    </row>
    <row r="2357" spans="12:15" x14ac:dyDescent="0.2">
      <c r="L2357" s="4">
        <v>2351</v>
      </c>
      <c r="M2357" s="21">
        <v>-30626.038287057629</v>
      </c>
      <c r="N2357" s="42">
        <v>47.907199490525905</v>
      </c>
      <c r="O2357" s="43">
        <v>14661.340711269284</v>
      </c>
    </row>
    <row r="2358" spans="12:15" x14ac:dyDescent="0.2">
      <c r="L2358" s="4">
        <v>2352</v>
      </c>
      <c r="M2358" s="21">
        <v>59919.746089353663</v>
      </c>
      <c r="N2358" s="42">
        <v>48.563841223673968</v>
      </c>
      <c r="O2358" s="43">
        <v>14923.898858030856</v>
      </c>
    </row>
    <row r="2359" spans="12:15" x14ac:dyDescent="0.2">
      <c r="L2359" s="4">
        <v>2353</v>
      </c>
      <c r="M2359" s="21">
        <v>91761.182790465275</v>
      </c>
      <c r="N2359" s="42">
        <v>50.728076346166233</v>
      </c>
      <c r="O2359" s="43">
        <v>15336.026216886017</v>
      </c>
    </row>
    <row r="2360" spans="12:15" x14ac:dyDescent="0.2">
      <c r="L2360" s="4">
        <v>2354</v>
      </c>
      <c r="M2360" s="21">
        <v>-103152.1612248194</v>
      </c>
      <c r="N2360" s="42">
        <v>48.51280748339363</v>
      </c>
      <c r="O2360" s="43">
        <v>15191.98425098388</v>
      </c>
    </row>
    <row r="2361" spans="12:15" x14ac:dyDescent="0.2">
      <c r="L2361" s="4">
        <v>2355</v>
      </c>
      <c r="M2361" s="21">
        <v>103906.64384519254</v>
      </c>
      <c r="N2361" s="42">
        <v>48.561485504272532</v>
      </c>
      <c r="O2361" s="43">
        <v>16331.951968653026</v>
      </c>
    </row>
    <row r="2362" spans="12:15" x14ac:dyDescent="0.2">
      <c r="L2362" s="4">
        <v>2356</v>
      </c>
      <c r="M2362" s="21">
        <v>-26347.158031516461</v>
      </c>
      <c r="N2362" s="42">
        <v>50.584438775321871</v>
      </c>
      <c r="O2362" s="43">
        <v>13220.012807240893</v>
      </c>
    </row>
    <row r="2363" spans="12:15" x14ac:dyDescent="0.2">
      <c r="L2363" s="4">
        <v>2357</v>
      </c>
      <c r="M2363" s="21">
        <v>-92412.551839554537</v>
      </c>
      <c r="N2363" s="42">
        <v>50.215688819988131</v>
      </c>
      <c r="O2363" s="43">
        <v>14582.917733194192</v>
      </c>
    </row>
    <row r="2364" spans="12:15" x14ac:dyDescent="0.2">
      <c r="L2364" s="4">
        <v>2358</v>
      </c>
      <c r="M2364" s="21">
        <v>-79539.21635862012</v>
      </c>
      <c r="N2364" s="42">
        <v>51.907025081415235</v>
      </c>
      <c r="O2364" s="43">
        <v>12906.79643042852</v>
      </c>
    </row>
    <row r="2365" spans="12:15" x14ac:dyDescent="0.2">
      <c r="L2365" s="4">
        <v>2359</v>
      </c>
      <c r="M2365" s="21">
        <v>-198056.49270501512</v>
      </c>
      <c r="N2365" s="42">
        <v>48.11704349779594</v>
      </c>
      <c r="O2365" s="43">
        <v>15089.201534312657</v>
      </c>
    </row>
    <row r="2366" spans="12:15" x14ac:dyDescent="0.2">
      <c r="L2366" s="4">
        <v>2360</v>
      </c>
      <c r="M2366" s="21">
        <v>-11918.750991107794</v>
      </c>
      <c r="N2366" s="42">
        <v>51.415274616872111</v>
      </c>
      <c r="O2366" s="43">
        <v>13661.943488744419</v>
      </c>
    </row>
    <row r="2367" spans="12:15" x14ac:dyDescent="0.2">
      <c r="L2367" s="4">
        <v>2361</v>
      </c>
      <c r="M2367" s="21">
        <v>58713.788575812388</v>
      </c>
      <c r="N2367" s="42">
        <v>50.148097705061701</v>
      </c>
      <c r="O2367" s="43">
        <v>15521.86667209507</v>
      </c>
    </row>
    <row r="2368" spans="12:15" x14ac:dyDescent="0.2">
      <c r="L2368" s="4">
        <v>2362</v>
      </c>
      <c r="M2368" s="21">
        <v>-228466.94132122351</v>
      </c>
      <c r="N2368" s="42">
        <v>49.655556426817853</v>
      </c>
      <c r="O2368" s="43">
        <v>13110.782832277164</v>
      </c>
    </row>
    <row r="2369" spans="12:15" x14ac:dyDescent="0.2">
      <c r="L2369" s="4">
        <v>2363</v>
      </c>
      <c r="M2369" s="21">
        <v>78456.979661412421</v>
      </c>
      <c r="N2369" s="42">
        <v>50.604583626987015</v>
      </c>
      <c r="O2369" s="43">
        <v>15118.931903384286</v>
      </c>
    </row>
    <row r="2370" spans="12:15" x14ac:dyDescent="0.2">
      <c r="L2370" s="4">
        <v>2364</v>
      </c>
      <c r="M2370" s="21">
        <v>247905.6737546181</v>
      </c>
      <c r="N2370" s="42">
        <v>50.525070346691223</v>
      </c>
      <c r="O2370" s="43">
        <v>14585.983301289712</v>
      </c>
    </row>
    <row r="2371" spans="12:15" x14ac:dyDescent="0.2">
      <c r="L2371" s="4">
        <v>2365</v>
      </c>
      <c r="M2371" s="21">
        <v>32466.503022842109</v>
      </c>
      <c r="N2371" s="42">
        <v>49.278082510189563</v>
      </c>
      <c r="O2371" s="43">
        <v>15516.895570912971</v>
      </c>
    </row>
    <row r="2372" spans="12:15" x14ac:dyDescent="0.2">
      <c r="L2372" s="4">
        <v>2366</v>
      </c>
      <c r="M2372" s="21">
        <v>14758.091318485996</v>
      </c>
      <c r="N2372" s="42">
        <v>50.757730492890495</v>
      </c>
      <c r="O2372" s="43">
        <v>13338.45663635512</v>
      </c>
    </row>
    <row r="2373" spans="12:15" x14ac:dyDescent="0.2">
      <c r="L2373" s="4">
        <v>2367</v>
      </c>
      <c r="M2373" s="21">
        <v>263731.26198719442</v>
      </c>
      <c r="N2373" s="42">
        <v>51.578908207558463</v>
      </c>
      <c r="O2373" s="43">
        <v>16919.876148197054</v>
      </c>
    </row>
    <row r="2374" spans="12:15" x14ac:dyDescent="0.2">
      <c r="L2374" s="4">
        <v>2368</v>
      </c>
      <c r="M2374" s="21">
        <v>84945.600025377818</v>
      </c>
      <c r="N2374" s="42">
        <v>48.653910688877787</v>
      </c>
      <c r="O2374" s="43">
        <v>15430.199701791336</v>
      </c>
    </row>
    <row r="2375" spans="12:15" x14ac:dyDescent="0.2">
      <c r="L2375" s="4">
        <v>2369</v>
      </c>
      <c r="M2375" s="21">
        <v>-268151.06321586482</v>
      </c>
      <c r="N2375" s="42">
        <v>50.58675617466038</v>
      </c>
      <c r="O2375" s="43">
        <v>11847.596164673589</v>
      </c>
    </row>
    <row r="2376" spans="12:15" x14ac:dyDescent="0.2">
      <c r="L2376" s="4">
        <v>2370</v>
      </c>
      <c r="M2376" s="21">
        <v>114004.92051295511</v>
      </c>
      <c r="N2376" s="42">
        <v>49.556146967976176</v>
      </c>
      <c r="O2376" s="43">
        <v>16124.966436642757</v>
      </c>
    </row>
    <row r="2377" spans="12:15" x14ac:dyDescent="0.2">
      <c r="L2377" s="4">
        <v>2371</v>
      </c>
      <c r="M2377" s="21">
        <v>51594.21083466956</v>
      </c>
      <c r="N2377" s="42">
        <v>50.375182261670943</v>
      </c>
      <c r="O2377" s="43">
        <v>14285.96739311981</v>
      </c>
    </row>
    <row r="2378" spans="12:15" x14ac:dyDescent="0.2">
      <c r="L2378" s="4">
        <v>2372</v>
      </c>
      <c r="M2378" s="21">
        <v>-30817.876127448981</v>
      </c>
      <c r="N2378" s="42">
        <v>51.208547233442651</v>
      </c>
      <c r="O2378" s="43">
        <v>13632.386473243292</v>
      </c>
    </row>
    <row r="2379" spans="12:15" x14ac:dyDescent="0.2">
      <c r="L2379" s="4">
        <v>2373</v>
      </c>
      <c r="M2379" s="21">
        <v>225483.54604348261</v>
      </c>
      <c r="N2379" s="42">
        <v>49.775374521282146</v>
      </c>
      <c r="O2379" s="43">
        <v>16872.890373087645</v>
      </c>
    </row>
    <row r="2380" spans="12:15" x14ac:dyDescent="0.2">
      <c r="L2380" s="4">
        <v>2374</v>
      </c>
      <c r="M2380" s="21">
        <v>-43418.081393234665</v>
      </c>
      <c r="N2380" s="42">
        <v>48.509536544597715</v>
      </c>
      <c r="O2380" s="43">
        <v>15190.704148129802</v>
      </c>
    </row>
    <row r="2381" spans="12:15" x14ac:dyDescent="0.2">
      <c r="L2381" s="4">
        <v>2375</v>
      </c>
      <c r="M2381" s="21">
        <v>-146717.69923666876</v>
      </c>
      <c r="N2381" s="42">
        <v>47.855365067142984</v>
      </c>
      <c r="O2381" s="43">
        <v>17862.151942099044</v>
      </c>
    </row>
    <row r="2382" spans="12:15" x14ac:dyDescent="0.2">
      <c r="L2382" s="4">
        <v>2376</v>
      </c>
      <c r="M2382" s="21">
        <v>-60857.683836855053</v>
      </c>
      <c r="N2382" s="42">
        <v>49.515234890755487</v>
      </c>
      <c r="O2382" s="43">
        <v>15251.428022443715</v>
      </c>
    </row>
    <row r="2383" spans="12:15" x14ac:dyDescent="0.2">
      <c r="L2383" s="4">
        <v>2377</v>
      </c>
      <c r="M2383" s="21">
        <v>-69823.778700897165</v>
      </c>
      <c r="N2383" s="42">
        <v>50.868350505685029</v>
      </c>
      <c r="O2383" s="43">
        <v>12751.329574215952</v>
      </c>
    </row>
    <row r="2384" spans="12:15" x14ac:dyDescent="0.2">
      <c r="L2384" s="4">
        <v>2378</v>
      </c>
      <c r="M2384" s="21">
        <v>-6103.9659396624484</v>
      </c>
      <c r="N2384" s="42">
        <v>51.161975040132006</v>
      </c>
      <c r="O2384" s="43">
        <v>14409.984782011334</v>
      </c>
    </row>
    <row r="2385" spans="12:15" x14ac:dyDescent="0.2">
      <c r="L2385" s="4">
        <v>2379</v>
      </c>
      <c r="M2385" s="21">
        <v>-160574.62121659689</v>
      </c>
      <c r="N2385" s="42">
        <v>50.540203774652063</v>
      </c>
      <c r="O2385" s="43">
        <v>13156.780341530577</v>
      </c>
    </row>
    <row r="2386" spans="12:15" x14ac:dyDescent="0.2">
      <c r="L2386" s="4">
        <v>2380</v>
      </c>
      <c r="M2386" s="21">
        <v>192369.90967986462</v>
      </c>
      <c r="N2386" s="42">
        <v>49.36212590133367</v>
      </c>
      <c r="O2386" s="43">
        <v>16596.744716569054</v>
      </c>
    </row>
    <row r="2387" spans="12:15" x14ac:dyDescent="0.2">
      <c r="L2387" s="4">
        <v>2381</v>
      </c>
      <c r="M2387" s="21">
        <v>-115586.32173671403</v>
      </c>
      <c r="N2387" s="42">
        <v>46.91642915736751</v>
      </c>
      <c r="O2387" s="43">
        <v>15998.952270817666</v>
      </c>
    </row>
    <row r="2388" spans="12:15" x14ac:dyDescent="0.2">
      <c r="L2388" s="4">
        <v>2382</v>
      </c>
      <c r="M2388" s="21">
        <v>-254873.37792200121</v>
      </c>
      <c r="N2388" s="42">
        <v>50.10600467303842</v>
      </c>
      <c r="O2388" s="43">
        <v>11506.586769412637</v>
      </c>
    </row>
    <row r="2389" spans="12:15" x14ac:dyDescent="0.2">
      <c r="L2389" s="4">
        <v>2383</v>
      </c>
      <c r="M2389" s="21">
        <v>-46219.520980773697</v>
      </c>
      <c r="N2389" s="42">
        <v>49.689548328280871</v>
      </c>
      <c r="O2389" s="43">
        <v>13311.565697630185</v>
      </c>
    </row>
    <row r="2390" spans="12:15" x14ac:dyDescent="0.2">
      <c r="L2390" s="4">
        <v>2384</v>
      </c>
      <c r="M2390" s="21">
        <v>-164400.49635170423</v>
      </c>
      <c r="N2390" s="42">
        <v>48.101473845723781</v>
      </c>
      <c r="O2390" s="43">
        <v>14387.949343773764</v>
      </c>
    </row>
    <row r="2391" spans="12:15" x14ac:dyDescent="0.2">
      <c r="L2391" s="4">
        <v>2385</v>
      </c>
      <c r="M2391" s="21">
        <v>-54019.626184820561</v>
      </c>
      <c r="N2391" s="42">
        <v>51.761673735626886</v>
      </c>
      <c r="O2391" s="43">
        <v>12807.973747116766</v>
      </c>
    </row>
    <row r="2392" spans="12:15" x14ac:dyDescent="0.2">
      <c r="L2392" s="4">
        <v>2386</v>
      </c>
      <c r="M2392" s="21">
        <v>-20666.488823795633</v>
      </c>
      <c r="N2392" s="42">
        <v>48.208062607706509</v>
      </c>
      <c r="O2392" s="43">
        <v>16436.725642949845</v>
      </c>
    </row>
    <row r="2393" spans="12:15" x14ac:dyDescent="0.2">
      <c r="L2393" s="4">
        <v>2387</v>
      </c>
      <c r="M2393" s="21">
        <v>110148.08193192587</v>
      </c>
      <c r="N2393" s="42">
        <v>50.65535695271037</v>
      </c>
      <c r="O2393" s="43">
        <v>15309.385330167159</v>
      </c>
    </row>
    <row r="2394" spans="12:15" x14ac:dyDescent="0.2">
      <c r="L2394" s="4">
        <v>2388</v>
      </c>
      <c r="M2394" s="21">
        <v>67933.922625388601</v>
      </c>
      <c r="N2394" s="42">
        <v>47.827401274273839</v>
      </c>
      <c r="O2394" s="43">
        <v>15809.120859684361</v>
      </c>
    </row>
    <row r="2395" spans="12:15" x14ac:dyDescent="0.2">
      <c r="L2395" s="4">
        <v>2389</v>
      </c>
      <c r="M2395" s="21">
        <v>-184579.09479573861</v>
      </c>
      <c r="N2395" s="42">
        <v>50.072508541685821</v>
      </c>
      <c r="O2395" s="43">
        <v>12031.396340434632</v>
      </c>
    </row>
    <row r="2396" spans="12:15" x14ac:dyDescent="0.2">
      <c r="L2396" s="4">
        <v>2390</v>
      </c>
      <c r="M2396" s="21">
        <v>7662.5071539840428</v>
      </c>
      <c r="N2396" s="42">
        <v>49.793363449040235</v>
      </c>
      <c r="O2396" s="43">
        <v>14784.894433786276</v>
      </c>
    </row>
    <row r="2397" spans="12:15" x14ac:dyDescent="0.2">
      <c r="L2397" s="4">
        <v>2391</v>
      </c>
      <c r="M2397" s="21">
        <v>-89652.013838368221</v>
      </c>
      <c r="N2397" s="42">
        <v>46.990922575543166</v>
      </c>
      <c r="O2397" s="43">
        <v>17389.698890102711</v>
      </c>
    </row>
    <row r="2398" spans="12:15" x14ac:dyDescent="0.2">
      <c r="L2398" s="4">
        <v>2392</v>
      </c>
      <c r="M2398" s="21">
        <v>-99913.605296524285</v>
      </c>
      <c r="N2398" s="42">
        <v>49.806065141014919</v>
      </c>
      <c r="O2398" s="43">
        <v>13482.30248728392</v>
      </c>
    </row>
    <row r="2399" spans="12:15" x14ac:dyDescent="0.2">
      <c r="L2399" s="4">
        <v>2393</v>
      </c>
      <c r="M2399" s="21">
        <v>-267665.07150142943</v>
      </c>
      <c r="N2399" s="42">
        <v>49.126308047317316</v>
      </c>
      <c r="O2399" s="43">
        <v>12616.233063419066</v>
      </c>
    </row>
    <row r="2400" spans="12:15" x14ac:dyDescent="0.2">
      <c r="L2400" s="4">
        <v>2394</v>
      </c>
      <c r="M2400" s="21">
        <v>-110090.69800321452</v>
      </c>
      <c r="N2400" s="42">
        <v>46.855354610868673</v>
      </c>
      <c r="O2400" s="43">
        <v>15849.589038955211</v>
      </c>
    </row>
    <row r="2401" spans="12:15" x14ac:dyDescent="0.2">
      <c r="L2401" s="4">
        <v>2395</v>
      </c>
      <c r="M2401" s="21">
        <v>-108917.17106209105</v>
      </c>
      <c r="N2401" s="42">
        <v>49.670434609592711</v>
      </c>
      <c r="O2401" s="43">
        <v>14411.808984904717</v>
      </c>
    </row>
    <row r="2402" spans="12:15" x14ac:dyDescent="0.2">
      <c r="L2402" s="4">
        <v>2396</v>
      </c>
      <c r="M2402" s="21">
        <v>143654.49464231601</v>
      </c>
      <c r="N2402" s="42">
        <v>49.733492150833115</v>
      </c>
      <c r="O2402" s="43">
        <v>16958.348474544197</v>
      </c>
    </row>
    <row r="2403" spans="12:15" x14ac:dyDescent="0.2">
      <c r="L2403" s="4">
        <v>2397</v>
      </c>
      <c r="M2403" s="21">
        <v>135252.91827908848</v>
      </c>
      <c r="N2403" s="42">
        <v>50.148663338522539</v>
      </c>
      <c r="O2403" s="43">
        <v>15243.290752440858</v>
      </c>
    </row>
    <row r="2404" spans="12:15" x14ac:dyDescent="0.2">
      <c r="L2404" s="4">
        <v>2398</v>
      </c>
      <c r="M2404" s="21">
        <v>-114926.61174096131</v>
      </c>
      <c r="N2404" s="42">
        <v>47.319916046543774</v>
      </c>
      <c r="O2404" s="43">
        <v>14650.893245083831</v>
      </c>
    </row>
    <row r="2405" spans="12:15" x14ac:dyDescent="0.2">
      <c r="L2405" s="4">
        <v>2399</v>
      </c>
      <c r="M2405" s="21">
        <v>-44603.674100904056</v>
      </c>
      <c r="N2405" s="42">
        <v>50.961011810318738</v>
      </c>
      <c r="O2405" s="43">
        <v>14362.441532987476</v>
      </c>
    </row>
    <row r="2406" spans="12:15" x14ac:dyDescent="0.2">
      <c r="L2406" s="4">
        <v>2400</v>
      </c>
      <c r="M2406" s="21">
        <v>-9779.5000465475168</v>
      </c>
      <c r="N2406" s="42">
        <v>47.968073997577903</v>
      </c>
      <c r="O2406" s="43">
        <v>14718.380157934736</v>
      </c>
    </row>
    <row r="2407" spans="12:15" x14ac:dyDescent="0.2">
      <c r="L2407" s="4">
        <v>2401</v>
      </c>
      <c r="M2407" s="21">
        <v>-141084.18686557247</v>
      </c>
      <c r="N2407" s="42">
        <v>51.358591774583033</v>
      </c>
      <c r="O2407" s="43">
        <v>13713.409334390164</v>
      </c>
    </row>
    <row r="2408" spans="12:15" x14ac:dyDescent="0.2">
      <c r="L2408" s="4">
        <v>2402</v>
      </c>
      <c r="M2408" s="21">
        <v>-55452.065647668802</v>
      </c>
      <c r="N2408" s="42">
        <v>47.732194630863823</v>
      </c>
      <c r="O2408" s="43">
        <v>16792.168467096431</v>
      </c>
    </row>
    <row r="2409" spans="12:15" x14ac:dyDescent="0.2">
      <c r="L2409" s="4">
        <v>2403</v>
      </c>
      <c r="M2409" s="21">
        <v>13789.054146752838</v>
      </c>
      <c r="N2409" s="42">
        <v>49.425769360959016</v>
      </c>
      <c r="O2409" s="43">
        <v>15568.803231421325</v>
      </c>
    </row>
    <row r="2410" spans="12:15" x14ac:dyDescent="0.2">
      <c r="L2410" s="4">
        <v>2404</v>
      </c>
      <c r="M2410" s="21">
        <v>-52382.148316133273</v>
      </c>
      <c r="N2410" s="42">
        <v>48.887214764908862</v>
      </c>
      <c r="O2410" s="43">
        <v>15551.263514752056</v>
      </c>
    </row>
    <row r="2411" spans="12:15" x14ac:dyDescent="0.2">
      <c r="L2411" s="4">
        <v>2405</v>
      </c>
      <c r="M2411" s="21">
        <v>60961.25637199654</v>
      </c>
      <c r="N2411" s="42">
        <v>50.351427362815819</v>
      </c>
      <c r="O2411" s="43">
        <v>15363.625364342794</v>
      </c>
    </row>
    <row r="2412" spans="12:15" x14ac:dyDescent="0.2">
      <c r="L2412" s="4">
        <v>2406</v>
      </c>
      <c r="M2412" s="21">
        <v>-24079.655915738709</v>
      </c>
      <c r="N2412" s="42">
        <v>49.161782725641672</v>
      </c>
      <c r="O2412" s="43">
        <v>16295.813953731798</v>
      </c>
    </row>
    <row r="2413" spans="12:15" x14ac:dyDescent="0.2">
      <c r="L2413" s="4">
        <v>2407</v>
      </c>
      <c r="M2413" s="21">
        <v>114153.63427177846</v>
      </c>
      <c r="N2413" s="42">
        <v>49.696029990486835</v>
      </c>
      <c r="O2413" s="43">
        <v>16465.275280557842</v>
      </c>
    </row>
    <row r="2414" spans="12:15" x14ac:dyDescent="0.2">
      <c r="L2414" s="4">
        <v>2408</v>
      </c>
      <c r="M2414" s="21">
        <v>146077.35072839609</v>
      </c>
      <c r="N2414" s="42">
        <v>51.425102316278767</v>
      </c>
      <c r="O2414" s="43">
        <v>15304.149576188447</v>
      </c>
    </row>
    <row r="2415" spans="12:15" x14ac:dyDescent="0.2">
      <c r="L2415" s="4">
        <v>2409</v>
      </c>
      <c r="M2415" s="21">
        <v>49688.951628056617</v>
      </c>
      <c r="N2415" s="42">
        <v>47.99375549939009</v>
      </c>
      <c r="O2415" s="43">
        <v>16148.486344975941</v>
      </c>
    </row>
    <row r="2416" spans="12:15" x14ac:dyDescent="0.2">
      <c r="L2416" s="4">
        <v>2410</v>
      </c>
      <c r="M2416" s="21">
        <v>-90195.215114950159</v>
      </c>
      <c r="N2416" s="42">
        <v>47.030426839939516</v>
      </c>
      <c r="O2416" s="43">
        <v>15393.471493534593</v>
      </c>
    </row>
    <row r="2417" spans="12:15" x14ac:dyDescent="0.2">
      <c r="L2417" s="4">
        <v>2411</v>
      </c>
      <c r="M2417" s="21">
        <v>-348811.23274599703</v>
      </c>
      <c r="N2417" s="42">
        <v>50.197000710929167</v>
      </c>
      <c r="O2417" s="43">
        <v>10516.093820562783</v>
      </c>
    </row>
    <row r="2418" spans="12:15" x14ac:dyDescent="0.2">
      <c r="L2418" s="4">
        <v>2412</v>
      </c>
      <c r="M2418" s="21">
        <v>-57052.897415719184</v>
      </c>
      <c r="N2418" s="42">
        <v>48.518789782985237</v>
      </c>
      <c r="O2418" s="43">
        <v>15295.901948557546</v>
      </c>
    </row>
    <row r="2419" spans="12:15" x14ac:dyDescent="0.2">
      <c r="L2419" s="4">
        <v>2413</v>
      </c>
      <c r="M2419" s="21">
        <v>79853.894253392325</v>
      </c>
      <c r="N2419" s="42">
        <v>51.201882613252032</v>
      </c>
      <c r="O2419" s="43">
        <v>14367.254909941144</v>
      </c>
    </row>
    <row r="2420" spans="12:15" x14ac:dyDescent="0.2">
      <c r="L2420" s="4">
        <v>2414</v>
      </c>
      <c r="M2420" s="21">
        <v>-104601.52907333088</v>
      </c>
      <c r="N2420" s="42">
        <v>50.410182492484346</v>
      </c>
      <c r="O2420" s="43">
        <v>14835.166355213913</v>
      </c>
    </row>
    <row r="2421" spans="12:15" x14ac:dyDescent="0.2">
      <c r="L2421" s="4">
        <v>2415</v>
      </c>
      <c r="M2421" s="21">
        <v>64972.97786253615</v>
      </c>
      <c r="N2421" s="42">
        <v>49.049010666156583</v>
      </c>
      <c r="O2421" s="43">
        <v>14184.875735026961</v>
      </c>
    </row>
    <row r="2422" spans="12:15" x14ac:dyDescent="0.2">
      <c r="L2422" s="4">
        <v>2416</v>
      </c>
      <c r="M2422" s="21">
        <v>232551.25614448063</v>
      </c>
      <c r="N2422" s="42">
        <v>50.856045509035823</v>
      </c>
      <c r="O2422" s="43">
        <v>14949.307972973689</v>
      </c>
    </row>
    <row r="2423" spans="12:15" x14ac:dyDescent="0.2">
      <c r="L2423" s="4">
        <v>2417</v>
      </c>
      <c r="M2423" s="21">
        <v>-40007.745312628162</v>
      </c>
      <c r="N2423" s="42">
        <v>49.750802569257971</v>
      </c>
      <c r="O2423" s="43">
        <v>15056.921260947191</v>
      </c>
    </row>
    <row r="2424" spans="12:15" x14ac:dyDescent="0.2">
      <c r="L2424" s="4">
        <v>2418</v>
      </c>
      <c r="M2424" s="21">
        <v>109776.57036038756</v>
      </c>
      <c r="N2424" s="42">
        <v>50.001966377325559</v>
      </c>
      <c r="O2424" s="43">
        <v>15140.836224111465</v>
      </c>
    </row>
    <row r="2425" spans="12:15" x14ac:dyDescent="0.2">
      <c r="L2425" s="4">
        <v>2419</v>
      </c>
      <c r="M2425" s="21">
        <v>59915.164881615463</v>
      </c>
      <c r="N2425" s="42">
        <v>49.049988680190346</v>
      </c>
      <c r="O2425" s="43">
        <v>16649.9783492676</v>
      </c>
    </row>
    <row r="2426" spans="12:15" x14ac:dyDescent="0.2">
      <c r="L2426" s="4">
        <v>2420</v>
      </c>
      <c r="M2426" s="21">
        <v>92145.416763225017</v>
      </c>
      <c r="N2426" s="42">
        <v>50.969854725125231</v>
      </c>
      <c r="O2426" s="43">
        <v>15465.570607836054</v>
      </c>
    </row>
    <row r="2427" spans="12:15" x14ac:dyDescent="0.2">
      <c r="L2427" s="4">
        <v>2421</v>
      </c>
      <c r="M2427" s="21">
        <v>17798.533105663781</v>
      </c>
      <c r="N2427" s="42">
        <v>50.659747750383474</v>
      </c>
      <c r="O2427" s="43">
        <v>14248.891186340696</v>
      </c>
    </row>
    <row r="2428" spans="12:15" x14ac:dyDescent="0.2">
      <c r="L2428" s="4">
        <v>2422</v>
      </c>
      <c r="M2428" s="21">
        <v>-5031.651751925805</v>
      </c>
      <c r="N2428" s="42">
        <v>48.141958077340611</v>
      </c>
      <c r="O2428" s="43">
        <v>15845.273741088902</v>
      </c>
    </row>
    <row r="2429" spans="12:15" x14ac:dyDescent="0.2">
      <c r="L2429" s="4">
        <v>2423</v>
      </c>
      <c r="M2429" s="21">
        <v>-135958.92728170956</v>
      </c>
      <c r="N2429" s="42">
        <v>47.376612409820211</v>
      </c>
      <c r="O2429" s="43">
        <v>17568.48382207641</v>
      </c>
    </row>
    <row r="2430" spans="12:15" x14ac:dyDescent="0.2">
      <c r="L2430" s="4">
        <v>2424</v>
      </c>
      <c r="M2430" s="21">
        <v>-52731.450513128264</v>
      </c>
      <c r="N2430" s="42">
        <v>45.630925202118817</v>
      </c>
      <c r="O2430" s="43">
        <v>16766.869350495399</v>
      </c>
    </row>
    <row r="2431" spans="12:15" x14ac:dyDescent="0.2">
      <c r="L2431" s="4">
        <v>2425</v>
      </c>
      <c r="M2431" s="21">
        <v>-195347.99748779301</v>
      </c>
      <c r="N2431" s="42">
        <v>47.244857572721884</v>
      </c>
      <c r="O2431" s="43">
        <v>14472.764903968811</v>
      </c>
    </row>
    <row r="2432" spans="12:15" x14ac:dyDescent="0.2">
      <c r="L2432" s="4">
        <v>2426</v>
      </c>
      <c r="M2432" s="21">
        <v>96162.04397297636</v>
      </c>
      <c r="N2432" s="42">
        <v>49.933383472789465</v>
      </c>
      <c r="O2432" s="43">
        <v>15269.750307774782</v>
      </c>
    </row>
    <row r="2433" spans="12:15" x14ac:dyDescent="0.2">
      <c r="L2433" s="4">
        <v>2427</v>
      </c>
      <c r="M2433" s="21">
        <v>-66648.69131895974</v>
      </c>
      <c r="N2433" s="42">
        <v>47.916951387506614</v>
      </c>
      <c r="O2433" s="43">
        <v>15165.438155622584</v>
      </c>
    </row>
    <row r="2434" spans="12:15" x14ac:dyDescent="0.2">
      <c r="L2434" s="4">
        <v>2428</v>
      </c>
      <c r="M2434" s="21">
        <v>-47344.147971047438</v>
      </c>
      <c r="N2434" s="42">
        <v>49.026022980166864</v>
      </c>
      <c r="O2434" s="43">
        <v>14416.994080241693</v>
      </c>
    </row>
    <row r="2435" spans="12:15" x14ac:dyDescent="0.2">
      <c r="L2435" s="4">
        <v>2429</v>
      </c>
      <c r="M2435" s="21">
        <v>123296.97646332436</v>
      </c>
      <c r="N2435" s="42">
        <v>50.033386880484116</v>
      </c>
      <c r="O2435" s="43">
        <v>14734.955795881049</v>
      </c>
    </row>
    <row r="2436" spans="12:15" x14ac:dyDescent="0.2">
      <c r="L2436" s="4">
        <v>2430</v>
      </c>
      <c r="M2436" s="21">
        <v>53772.30376585995</v>
      </c>
      <c r="N2436" s="42">
        <v>48.538826795340555</v>
      </c>
      <c r="O2436" s="43">
        <v>18089.183554896696</v>
      </c>
    </row>
    <row r="2437" spans="12:15" x14ac:dyDescent="0.2">
      <c r="L2437" s="4">
        <v>2431</v>
      </c>
      <c r="M2437" s="21">
        <v>103412.51229835305</v>
      </c>
      <c r="N2437" s="42">
        <v>51.731289766815301</v>
      </c>
      <c r="O2437" s="43">
        <v>15155.25159650859</v>
      </c>
    </row>
    <row r="2438" spans="12:15" x14ac:dyDescent="0.2">
      <c r="L2438" s="4">
        <v>2432</v>
      </c>
      <c r="M2438" s="21">
        <v>-136417.39107582482</v>
      </c>
      <c r="N2438" s="42">
        <v>49.952892117111773</v>
      </c>
      <c r="O2438" s="43">
        <v>13726.16561201544</v>
      </c>
    </row>
    <row r="2439" spans="12:15" x14ac:dyDescent="0.2">
      <c r="L2439" s="4">
        <v>2433</v>
      </c>
      <c r="M2439" s="21">
        <v>28680.068249181873</v>
      </c>
      <c r="N2439" s="42">
        <v>47.541226829312848</v>
      </c>
      <c r="O2439" s="43">
        <v>15185.89835315072</v>
      </c>
    </row>
    <row r="2440" spans="12:15" x14ac:dyDescent="0.2">
      <c r="L2440" s="4">
        <v>2434</v>
      </c>
      <c r="M2440" s="21">
        <v>-20813.035063310352</v>
      </c>
      <c r="N2440" s="42">
        <v>47.603170510695854</v>
      </c>
      <c r="O2440" s="43">
        <v>16494.845700998532</v>
      </c>
    </row>
    <row r="2441" spans="12:15" x14ac:dyDescent="0.2">
      <c r="L2441" s="4">
        <v>2435</v>
      </c>
      <c r="M2441" s="21">
        <v>8732.2039955978689</v>
      </c>
      <c r="N2441" s="42">
        <v>48.617957083377497</v>
      </c>
      <c r="O2441" s="43">
        <v>15653.369575765348</v>
      </c>
    </row>
    <row r="2442" spans="12:15" x14ac:dyDescent="0.2">
      <c r="L2442" s="4">
        <v>2436</v>
      </c>
      <c r="M2442" s="21">
        <v>-94753.665635871264</v>
      </c>
      <c r="N2442" s="42">
        <v>46.775217959619148</v>
      </c>
      <c r="O2442" s="43">
        <v>15924.880833387948</v>
      </c>
    </row>
    <row r="2443" spans="12:15" x14ac:dyDescent="0.2">
      <c r="L2443" s="4">
        <v>2437</v>
      </c>
      <c r="M2443" s="21">
        <v>-148183.75614493672</v>
      </c>
      <c r="N2443" s="42">
        <v>49.120468956221345</v>
      </c>
      <c r="O2443" s="43">
        <v>13106.647445731725</v>
      </c>
    </row>
    <row r="2444" spans="12:15" x14ac:dyDescent="0.2">
      <c r="L2444" s="4">
        <v>2438</v>
      </c>
      <c r="M2444" s="21">
        <v>-32230.885111584925</v>
      </c>
      <c r="N2444" s="42">
        <v>50.329735206252892</v>
      </c>
      <c r="O2444" s="43">
        <v>13575.355461804682</v>
      </c>
    </row>
    <row r="2445" spans="12:15" x14ac:dyDescent="0.2">
      <c r="L2445" s="4">
        <v>2439</v>
      </c>
      <c r="M2445" s="21">
        <v>-11932.30426220542</v>
      </c>
      <c r="N2445" s="42">
        <v>51.185434221042925</v>
      </c>
      <c r="O2445" s="43">
        <v>13027.016708779847</v>
      </c>
    </row>
    <row r="2446" spans="12:15" x14ac:dyDescent="0.2">
      <c r="L2446" s="4">
        <v>2440</v>
      </c>
      <c r="M2446" s="21">
        <v>120782.45843423001</v>
      </c>
      <c r="N2446" s="42">
        <v>51.185860784543934</v>
      </c>
      <c r="O2446" s="43">
        <v>14851.056917889557</v>
      </c>
    </row>
    <row r="2447" spans="12:15" x14ac:dyDescent="0.2">
      <c r="L2447" s="4">
        <v>2441</v>
      </c>
      <c r="M2447" s="21">
        <v>-116303.40556510161</v>
      </c>
      <c r="N2447" s="42">
        <v>50.468615966331456</v>
      </c>
      <c r="O2447" s="43">
        <v>14327.768931431023</v>
      </c>
    </row>
    <row r="2448" spans="12:15" x14ac:dyDescent="0.2">
      <c r="L2448" s="4">
        <v>2442</v>
      </c>
      <c r="M2448" s="21">
        <v>-35480.311181458208</v>
      </c>
      <c r="N2448" s="42">
        <v>50.47442904322979</v>
      </c>
      <c r="O2448" s="43">
        <v>14151.052311847323</v>
      </c>
    </row>
    <row r="2449" spans="12:15" x14ac:dyDescent="0.2">
      <c r="L2449" s="4">
        <v>2443</v>
      </c>
      <c r="M2449" s="21">
        <v>-44556.141862386386</v>
      </c>
      <c r="N2449" s="42">
        <v>49.583960423506113</v>
      </c>
      <c r="O2449" s="43">
        <v>14205.937890862902</v>
      </c>
    </row>
    <row r="2450" spans="12:15" x14ac:dyDescent="0.2">
      <c r="L2450" s="4">
        <v>2444</v>
      </c>
      <c r="M2450" s="21">
        <v>17160.144881107699</v>
      </c>
      <c r="N2450" s="42">
        <v>49.289362430165838</v>
      </c>
      <c r="O2450" s="43">
        <v>15508.419363187701</v>
      </c>
    </row>
    <row r="2451" spans="12:15" x14ac:dyDescent="0.2">
      <c r="L2451" s="4">
        <v>2445</v>
      </c>
      <c r="M2451" s="21">
        <v>-56450.164812314484</v>
      </c>
      <c r="N2451" s="42">
        <v>49.417442094926997</v>
      </c>
      <c r="O2451" s="43">
        <v>14714.562235686546</v>
      </c>
    </row>
    <row r="2452" spans="12:15" x14ac:dyDescent="0.2">
      <c r="L2452" s="4">
        <v>2446</v>
      </c>
      <c r="M2452" s="21">
        <v>-5570.1891401855974</v>
      </c>
      <c r="N2452" s="42">
        <v>49.007885992187504</v>
      </c>
      <c r="O2452" s="43">
        <v>15296.188377727614</v>
      </c>
    </row>
    <row r="2453" spans="12:15" x14ac:dyDescent="0.2">
      <c r="L2453" s="4">
        <v>2447</v>
      </c>
      <c r="M2453" s="21">
        <v>-195381.08189557091</v>
      </c>
      <c r="N2453" s="42">
        <v>49.200444829331872</v>
      </c>
      <c r="O2453" s="43">
        <v>12386.930861974997</v>
      </c>
    </row>
    <row r="2454" spans="12:15" x14ac:dyDescent="0.2">
      <c r="L2454" s="4">
        <v>2448</v>
      </c>
      <c r="M2454" s="21">
        <v>-134619.56733114412</v>
      </c>
      <c r="N2454" s="42">
        <v>50.627222404996822</v>
      </c>
      <c r="O2454" s="43">
        <v>13623.429952710821</v>
      </c>
    </row>
    <row r="2455" spans="12:15" x14ac:dyDescent="0.2">
      <c r="L2455" s="4">
        <v>2449</v>
      </c>
      <c r="M2455" s="21">
        <v>46046.295721072704</v>
      </c>
      <c r="N2455" s="42">
        <v>51.091189952441333</v>
      </c>
      <c r="O2455" s="43">
        <v>13793.643484754768</v>
      </c>
    </row>
    <row r="2456" spans="12:15" x14ac:dyDescent="0.2">
      <c r="L2456" s="4">
        <v>2450</v>
      </c>
      <c r="M2456" s="21">
        <v>-15914.508419046499</v>
      </c>
      <c r="N2456" s="42">
        <v>51.478464275872</v>
      </c>
      <c r="O2456" s="43">
        <v>13868.083815345219</v>
      </c>
    </row>
    <row r="2457" spans="12:15" x14ac:dyDescent="0.2">
      <c r="L2457" s="4">
        <v>2451</v>
      </c>
      <c r="M2457" s="21">
        <v>145520.83844819452</v>
      </c>
      <c r="N2457" s="42">
        <v>50.140609452054086</v>
      </c>
      <c r="O2457" s="43">
        <v>16125.736449814058</v>
      </c>
    </row>
    <row r="2458" spans="12:15" x14ac:dyDescent="0.2">
      <c r="L2458" s="4">
        <v>2452</v>
      </c>
      <c r="M2458" s="21">
        <v>-136096.9867676323</v>
      </c>
      <c r="N2458" s="42">
        <v>49.218171151926576</v>
      </c>
      <c r="O2458" s="43">
        <v>14471.609889679694</v>
      </c>
    </row>
    <row r="2459" spans="12:15" x14ac:dyDescent="0.2">
      <c r="L2459" s="4">
        <v>2453</v>
      </c>
      <c r="M2459" s="21">
        <v>-2734.8857928582147</v>
      </c>
      <c r="N2459" s="42">
        <v>51.463484082524189</v>
      </c>
      <c r="O2459" s="43">
        <v>13911.64252979208</v>
      </c>
    </row>
    <row r="2460" spans="12:15" x14ac:dyDescent="0.2">
      <c r="L2460" s="4">
        <v>2454</v>
      </c>
      <c r="M2460" s="21">
        <v>54040.831461923895</v>
      </c>
      <c r="N2460" s="42">
        <v>50.773322313012699</v>
      </c>
      <c r="O2460" s="43">
        <v>14680.260668318238</v>
      </c>
    </row>
    <row r="2461" spans="12:15" x14ac:dyDescent="0.2">
      <c r="L2461" s="4">
        <v>2455</v>
      </c>
      <c r="M2461" s="21">
        <v>-98444.223247947011</v>
      </c>
      <c r="N2461" s="42">
        <v>48.26451690553219</v>
      </c>
      <c r="O2461" s="43">
        <v>15228.151919118805</v>
      </c>
    </row>
    <row r="2462" spans="12:15" x14ac:dyDescent="0.2">
      <c r="L2462" s="4">
        <v>2456</v>
      </c>
      <c r="M2462" s="21">
        <v>-334416.5967359253</v>
      </c>
      <c r="N2462" s="42">
        <v>46.098839287337718</v>
      </c>
      <c r="O2462" s="43">
        <v>14833.175717328935</v>
      </c>
    </row>
    <row r="2463" spans="12:15" x14ac:dyDescent="0.2">
      <c r="L2463" s="4">
        <v>2457</v>
      </c>
      <c r="M2463" s="21">
        <v>-57253.731940770449</v>
      </c>
      <c r="N2463" s="42">
        <v>45.5696242231528</v>
      </c>
      <c r="O2463" s="43">
        <v>17805.529093343172</v>
      </c>
    </row>
    <row r="2464" spans="12:15" x14ac:dyDescent="0.2">
      <c r="L2464" s="4">
        <v>2458</v>
      </c>
      <c r="M2464" s="21">
        <v>-138494.16470609215</v>
      </c>
      <c r="N2464" s="42">
        <v>50.532966384784679</v>
      </c>
      <c r="O2464" s="43">
        <v>13644.707016148552</v>
      </c>
    </row>
    <row r="2465" spans="12:15" x14ac:dyDescent="0.2">
      <c r="L2465" s="4">
        <v>2459</v>
      </c>
      <c r="M2465" s="21">
        <v>70303.415731429617</v>
      </c>
      <c r="N2465" s="42">
        <v>49.610068133839889</v>
      </c>
      <c r="O2465" s="43">
        <v>15133.65194615409</v>
      </c>
    </row>
    <row r="2466" spans="12:15" x14ac:dyDescent="0.2">
      <c r="L2466" s="4">
        <v>2460</v>
      </c>
      <c r="M2466" s="21">
        <v>53383.957655281003</v>
      </c>
      <c r="N2466" s="42">
        <v>49.958025186047237</v>
      </c>
      <c r="O2466" s="43">
        <v>15093.671784584265</v>
      </c>
    </row>
    <row r="2467" spans="12:15" x14ac:dyDescent="0.2">
      <c r="L2467" s="4">
        <v>2461</v>
      </c>
      <c r="M2467" s="21">
        <v>-75481.49620060045</v>
      </c>
      <c r="N2467" s="42">
        <v>51.760714293040131</v>
      </c>
      <c r="O2467" s="43">
        <v>12673.218304759986</v>
      </c>
    </row>
    <row r="2468" spans="12:15" x14ac:dyDescent="0.2">
      <c r="L2468" s="4">
        <v>2462</v>
      </c>
      <c r="M2468" s="21">
        <v>-46421.19050939304</v>
      </c>
      <c r="N2468" s="42">
        <v>46.191442434330092</v>
      </c>
      <c r="O2468" s="43">
        <v>16716.257659977586</v>
      </c>
    </row>
    <row r="2469" spans="12:15" x14ac:dyDescent="0.2">
      <c r="L2469" s="4">
        <v>2463</v>
      </c>
      <c r="M2469" s="21">
        <v>-115090.99229042324</v>
      </c>
      <c r="N2469" s="42">
        <v>49.865197654868325</v>
      </c>
      <c r="O2469" s="43">
        <v>13074.580713051453</v>
      </c>
    </row>
    <row r="2470" spans="12:15" x14ac:dyDescent="0.2">
      <c r="L2470" s="4">
        <v>2464</v>
      </c>
      <c r="M2470" s="21">
        <v>-115606.62912404834</v>
      </c>
      <c r="N2470" s="42">
        <v>49.554432984118691</v>
      </c>
      <c r="O2470" s="43">
        <v>14945.976536923779</v>
      </c>
    </row>
    <row r="2471" spans="12:15" x14ac:dyDescent="0.2">
      <c r="L2471" s="4">
        <v>2465</v>
      </c>
      <c r="M2471" s="21">
        <v>-14585.724602216695</v>
      </c>
      <c r="N2471" s="42">
        <v>48.484745034947835</v>
      </c>
      <c r="O2471" s="43">
        <v>15062.286112736265</v>
      </c>
    </row>
    <row r="2472" spans="12:15" x14ac:dyDescent="0.2">
      <c r="L2472" s="4">
        <v>2466</v>
      </c>
      <c r="M2472" s="21">
        <v>-53620.517651294926</v>
      </c>
      <c r="N2472" s="42">
        <v>47.256184236249581</v>
      </c>
      <c r="O2472" s="43">
        <v>16270.962604179096</v>
      </c>
    </row>
    <row r="2473" spans="12:15" x14ac:dyDescent="0.2">
      <c r="L2473" s="4">
        <v>2467</v>
      </c>
      <c r="M2473" s="21">
        <v>-183304.99859542216</v>
      </c>
      <c r="N2473" s="42">
        <v>49.278177617431474</v>
      </c>
      <c r="O2473" s="43">
        <v>13266.281629067376</v>
      </c>
    </row>
    <row r="2474" spans="12:15" x14ac:dyDescent="0.2">
      <c r="L2474" s="4">
        <v>2468</v>
      </c>
      <c r="M2474" s="21">
        <v>-92365.087840578301</v>
      </c>
      <c r="N2474" s="42">
        <v>51.560874192410296</v>
      </c>
      <c r="O2474" s="43">
        <v>13528.071371784465</v>
      </c>
    </row>
    <row r="2475" spans="12:15" x14ac:dyDescent="0.2">
      <c r="L2475" s="4">
        <v>2469</v>
      </c>
      <c r="M2475" s="21">
        <v>23566.815575058601</v>
      </c>
      <c r="N2475" s="42">
        <v>48.016086861585066</v>
      </c>
      <c r="O2475" s="43">
        <v>14862.496252380524</v>
      </c>
    </row>
    <row r="2476" spans="12:15" x14ac:dyDescent="0.2">
      <c r="L2476" s="4">
        <v>2470</v>
      </c>
      <c r="M2476" s="21">
        <v>59797.55880421726</v>
      </c>
      <c r="N2476" s="42">
        <v>49.648538524730114</v>
      </c>
      <c r="O2476" s="43">
        <v>15878.724439666816</v>
      </c>
    </row>
    <row r="2477" spans="12:15" x14ac:dyDescent="0.2">
      <c r="L2477" s="4">
        <v>2471</v>
      </c>
      <c r="M2477" s="21">
        <v>-9897.4882248103677</v>
      </c>
      <c r="N2477" s="42">
        <v>48.704127708818746</v>
      </c>
      <c r="O2477" s="43">
        <v>14664.845896755174</v>
      </c>
    </row>
    <row r="2478" spans="12:15" x14ac:dyDescent="0.2">
      <c r="L2478" s="4">
        <v>2472</v>
      </c>
      <c r="M2478" s="21">
        <v>-84884.665327826573</v>
      </c>
      <c r="N2478" s="42">
        <v>50.308520417551009</v>
      </c>
      <c r="O2478" s="43">
        <v>13652.655880638958</v>
      </c>
    </row>
    <row r="2479" spans="12:15" x14ac:dyDescent="0.2">
      <c r="L2479" s="4">
        <v>2473</v>
      </c>
      <c r="M2479" s="21">
        <v>469.5595065735688</v>
      </c>
      <c r="N2479" s="42">
        <v>49.71945973429537</v>
      </c>
      <c r="O2479" s="43">
        <v>15626.04602080905</v>
      </c>
    </row>
    <row r="2480" spans="12:15" x14ac:dyDescent="0.2">
      <c r="L2480" s="4">
        <v>2474</v>
      </c>
      <c r="M2480" s="21">
        <v>-105391.83877113472</v>
      </c>
      <c r="N2480" s="42">
        <v>49.687992672151665</v>
      </c>
      <c r="O2480" s="43">
        <v>13444.788754775747</v>
      </c>
    </row>
    <row r="2481" spans="12:15" x14ac:dyDescent="0.2">
      <c r="L2481" s="4">
        <v>2475</v>
      </c>
      <c r="M2481" s="21">
        <v>5086.3897792974312</v>
      </c>
      <c r="N2481" s="42">
        <v>48.664828419352069</v>
      </c>
      <c r="O2481" s="43">
        <v>16635.508488897969</v>
      </c>
    </row>
    <row r="2482" spans="12:15" x14ac:dyDescent="0.2">
      <c r="L2482" s="4">
        <v>2476</v>
      </c>
      <c r="M2482" s="21">
        <v>-15676.331053925489</v>
      </c>
      <c r="N2482" s="42">
        <v>49.918768932254594</v>
      </c>
      <c r="O2482" s="43">
        <v>13748.72471463532</v>
      </c>
    </row>
    <row r="2483" spans="12:15" x14ac:dyDescent="0.2">
      <c r="L2483" s="4">
        <v>2477</v>
      </c>
      <c r="M2483" s="21">
        <v>24008.201428971632</v>
      </c>
      <c r="N2483" s="42">
        <v>49.339965518208857</v>
      </c>
      <c r="O2483" s="43">
        <v>15714.342889359774</v>
      </c>
    </row>
    <row r="2484" spans="12:15" x14ac:dyDescent="0.2">
      <c r="L2484" s="4">
        <v>2478</v>
      </c>
      <c r="M2484" s="21">
        <v>-211684.75755671912</v>
      </c>
      <c r="N2484" s="42">
        <v>47.402526996020818</v>
      </c>
      <c r="O2484" s="43">
        <v>15126.327629381562</v>
      </c>
    </row>
    <row r="2485" spans="12:15" x14ac:dyDescent="0.2">
      <c r="L2485" s="4">
        <v>2479</v>
      </c>
      <c r="M2485" s="21">
        <v>195179.57441594108</v>
      </c>
      <c r="N2485" s="42">
        <v>49.527782675228742</v>
      </c>
      <c r="O2485" s="43">
        <v>16075.465944429041</v>
      </c>
    </row>
    <row r="2486" spans="12:15" x14ac:dyDescent="0.2">
      <c r="L2486" s="4">
        <v>2480</v>
      </c>
      <c r="M2486" s="21">
        <v>2302.9086902831914</v>
      </c>
      <c r="N2486" s="42">
        <v>50.985630842425891</v>
      </c>
      <c r="O2486" s="43">
        <v>14527.635818148723</v>
      </c>
    </row>
    <row r="2487" spans="12:15" x14ac:dyDescent="0.2">
      <c r="L2487" s="4">
        <v>2481</v>
      </c>
      <c r="M2487" s="21">
        <v>-37852.506732604001</v>
      </c>
      <c r="N2487" s="42">
        <v>49.220787892666159</v>
      </c>
      <c r="O2487" s="43">
        <v>13474.667034067406</v>
      </c>
    </row>
    <row r="2488" spans="12:15" x14ac:dyDescent="0.2">
      <c r="L2488" s="4">
        <v>2482</v>
      </c>
      <c r="M2488" s="21">
        <v>-139251.85784993309</v>
      </c>
      <c r="N2488" s="42">
        <v>48.085358708624852</v>
      </c>
      <c r="O2488" s="43">
        <v>13864.401702736692</v>
      </c>
    </row>
    <row r="2489" spans="12:15" x14ac:dyDescent="0.2">
      <c r="L2489" s="4">
        <v>2483</v>
      </c>
      <c r="M2489" s="21">
        <v>-183728.71456196427</v>
      </c>
      <c r="N2489" s="42">
        <v>47.788849747405024</v>
      </c>
      <c r="O2489" s="43">
        <v>14837.506286365298</v>
      </c>
    </row>
    <row r="2490" spans="12:15" x14ac:dyDescent="0.2">
      <c r="L2490" s="4">
        <v>2484</v>
      </c>
      <c r="M2490" s="21">
        <v>-130655.17586841137</v>
      </c>
      <c r="N2490" s="42">
        <v>50.97411238098794</v>
      </c>
      <c r="O2490" s="43">
        <v>13228.073821924769</v>
      </c>
    </row>
    <row r="2491" spans="12:15" x14ac:dyDescent="0.2">
      <c r="L2491" s="4">
        <v>2485</v>
      </c>
      <c r="M2491" s="21">
        <v>114519.86081147974</v>
      </c>
      <c r="N2491" s="42">
        <v>49.345955412670655</v>
      </c>
      <c r="O2491" s="43">
        <v>15822.586397665236</v>
      </c>
    </row>
    <row r="2492" spans="12:15" x14ac:dyDescent="0.2">
      <c r="L2492" s="4">
        <v>2486</v>
      </c>
      <c r="M2492" s="21">
        <v>-17777.681238779682</v>
      </c>
      <c r="N2492" s="42">
        <v>51.24270372572969</v>
      </c>
      <c r="O2492" s="43">
        <v>15203.570410409087</v>
      </c>
    </row>
    <row r="2493" spans="12:15" x14ac:dyDescent="0.2">
      <c r="L2493" s="4">
        <v>2487</v>
      </c>
      <c r="M2493" s="21">
        <v>-30550.333606805565</v>
      </c>
      <c r="N2493" s="42">
        <v>50.026389541952923</v>
      </c>
      <c r="O2493" s="43">
        <v>13176.276613500297</v>
      </c>
    </row>
    <row r="2494" spans="12:15" x14ac:dyDescent="0.2">
      <c r="L2494" s="4">
        <v>2488</v>
      </c>
      <c r="M2494" s="21">
        <v>-146280.74899751646</v>
      </c>
      <c r="N2494" s="42">
        <v>50.504849333649155</v>
      </c>
      <c r="O2494" s="43">
        <v>12344.175773163777</v>
      </c>
    </row>
    <row r="2495" spans="12:15" x14ac:dyDescent="0.2">
      <c r="L2495" s="4">
        <v>2489</v>
      </c>
      <c r="M2495" s="21">
        <v>16827.276424443902</v>
      </c>
      <c r="N2495" s="42">
        <v>48.964978647116119</v>
      </c>
      <c r="O2495" s="43">
        <v>17766.503983598966</v>
      </c>
    </row>
    <row r="2496" spans="12:15" x14ac:dyDescent="0.2">
      <c r="L2496" s="4">
        <v>2490</v>
      </c>
      <c r="M2496" s="21">
        <v>-105340.99596599955</v>
      </c>
      <c r="N2496" s="42">
        <v>49.762203985829771</v>
      </c>
      <c r="O2496" s="43">
        <v>14854.275681825617</v>
      </c>
    </row>
    <row r="2497" spans="12:15" x14ac:dyDescent="0.2">
      <c r="L2497" s="4">
        <v>2491</v>
      </c>
      <c r="M2497" s="21">
        <v>-159124.05951262923</v>
      </c>
      <c r="N2497" s="42">
        <v>47.411697490290528</v>
      </c>
      <c r="O2497" s="43">
        <v>17193.077608002124</v>
      </c>
    </row>
    <row r="2498" spans="12:15" x14ac:dyDescent="0.2">
      <c r="L2498" s="4">
        <v>2492</v>
      </c>
      <c r="M2498" s="21">
        <v>28883.83877344022</v>
      </c>
      <c r="N2498" s="42">
        <v>50.888375665129914</v>
      </c>
      <c r="O2498" s="43">
        <v>13703.687139875416</v>
      </c>
    </row>
    <row r="2499" spans="12:15" x14ac:dyDescent="0.2">
      <c r="L2499" s="4">
        <v>2493</v>
      </c>
      <c r="M2499" s="21">
        <v>-171360.28698727128</v>
      </c>
      <c r="N2499" s="42">
        <v>48.624706097353737</v>
      </c>
      <c r="O2499" s="43">
        <v>14190.255729617384</v>
      </c>
    </row>
    <row r="2500" spans="12:15" x14ac:dyDescent="0.2">
      <c r="L2500" s="4">
        <v>2494</v>
      </c>
      <c r="M2500" s="21">
        <v>33837.271523865056</v>
      </c>
      <c r="N2500" s="42">
        <v>50.950996291004159</v>
      </c>
      <c r="O2500" s="43">
        <v>13309.924507453896</v>
      </c>
    </row>
    <row r="2501" spans="12:15" x14ac:dyDescent="0.2">
      <c r="L2501" s="4">
        <v>2495</v>
      </c>
      <c r="M2501" s="21">
        <v>-109775.50727838863</v>
      </c>
      <c r="N2501" s="42">
        <v>50.296070953629041</v>
      </c>
      <c r="O2501" s="43">
        <v>14206.763316753362</v>
      </c>
    </row>
    <row r="2502" spans="12:15" x14ac:dyDescent="0.2">
      <c r="L2502" s="4">
        <v>2496</v>
      </c>
      <c r="M2502" s="21">
        <v>77589.086085578572</v>
      </c>
      <c r="N2502" s="42">
        <v>49.429766826676378</v>
      </c>
      <c r="O2502" s="43">
        <v>16965.697616139965</v>
      </c>
    </row>
    <row r="2503" spans="12:15" x14ac:dyDescent="0.2">
      <c r="L2503" s="4">
        <v>2497</v>
      </c>
      <c r="M2503" s="21">
        <v>-139805.61375454167</v>
      </c>
      <c r="N2503" s="42">
        <v>47.107874262768412</v>
      </c>
      <c r="O2503" s="43">
        <v>14225.786112130665</v>
      </c>
    </row>
    <row r="2504" spans="12:15" x14ac:dyDescent="0.2">
      <c r="L2504" s="4">
        <v>2498</v>
      </c>
      <c r="M2504" s="21">
        <v>179796.10436729997</v>
      </c>
      <c r="N2504" s="42">
        <v>50.670607780952608</v>
      </c>
      <c r="O2504" s="43">
        <v>15472.160235234682</v>
      </c>
    </row>
    <row r="2505" spans="12:15" x14ac:dyDescent="0.2">
      <c r="L2505" s="4">
        <v>2499</v>
      </c>
      <c r="M2505" s="21">
        <v>92254.578342137131</v>
      </c>
      <c r="N2505" s="42">
        <v>49.53225317018908</v>
      </c>
      <c r="O2505" s="43">
        <v>16614.40417816204</v>
      </c>
    </row>
    <row r="2506" spans="12:15" x14ac:dyDescent="0.2">
      <c r="L2506" s="4">
        <v>2500</v>
      </c>
      <c r="M2506" s="21">
        <v>16077.154208384309</v>
      </c>
      <c r="N2506" s="42">
        <v>48.449467749664016</v>
      </c>
      <c r="O2506" s="43">
        <v>16487.624231327132</v>
      </c>
    </row>
    <row r="2507" spans="12:15" x14ac:dyDescent="0.2">
      <c r="L2507" s="4">
        <v>2501</v>
      </c>
      <c r="M2507" s="21">
        <v>-42490.91736373851</v>
      </c>
      <c r="N2507" s="42">
        <v>49.752448551789882</v>
      </c>
      <c r="O2507" s="43">
        <v>15536.841865281905</v>
      </c>
    </row>
    <row r="2508" spans="12:15" x14ac:dyDescent="0.2">
      <c r="L2508" s="4">
        <v>2502</v>
      </c>
      <c r="M2508" s="21">
        <v>17282.431098344823</v>
      </c>
      <c r="N2508" s="42">
        <v>48.899804516001446</v>
      </c>
      <c r="O2508" s="43">
        <v>15358.270135229575</v>
      </c>
    </row>
    <row r="2509" spans="12:15" x14ac:dyDescent="0.2">
      <c r="L2509" s="4">
        <v>2503</v>
      </c>
      <c r="M2509" s="21">
        <v>209676.66414041637</v>
      </c>
      <c r="N2509" s="42">
        <v>50.629352613452113</v>
      </c>
      <c r="O2509" s="43">
        <v>17652.057251049915</v>
      </c>
    </row>
    <row r="2510" spans="12:15" x14ac:dyDescent="0.2">
      <c r="L2510" s="4">
        <v>2504</v>
      </c>
      <c r="M2510" s="21">
        <v>90690.257844088861</v>
      </c>
      <c r="N2510" s="42">
        <v>50.696391872902907</v>
      </c>
      <c r="O2510" s="43">
        <v>14528.912424132908</v>
      </c>
    </row>
    <row r="2511" spans="12:15" x14ac:dyDescent="0.2">
      <c r="L2511" s="4">
        <v>2505</v>
      </c>
      <c r="M2511" s="21">
        <v>-50380.629172768022</v>
      </c>
      <c r="N2511" s="42">
        <v>48.669489399776765</v>
      </c>
      <c r="O2511" s="43">
        <v>13513.136481627855</v>
      </c>
    </row>
    <row r="2512" spans="12:15" x14ac:dyDescent="0.2">
      <c r="L2512" s="4">
        <v>2506</v>
      </c>
      <c r="M2512" s="21">
        <v>-114299.03424570158</v>
      </c>
      <c r="N2512" s="42">
        <v>50.663537856960417</v>
      </c>
      <c r="O2512" s="43">
        <v>13066.941667213716</v>
      </c>
    </row>
    <row r="2513" spans="12:15" x14ac:dyDescent="0.2">
      <c r="L2513" s="4">
        <v>2507</v>
      </c>
      <c r="M2513" s="21">
        <v>26223.551056090568</v>
      </c>
      <c r="N2513" s="42">
        <v>48.342451425662901</v>
      </c>
      <c r="O2513" s="43">
        <v>15729.586555074715</v>
      </c>
    </row>
    <row r="2514" spans="12:15" x14ac:dyDescent="0.2">
      <c r="L2514" s="4">
        <v>2508</v>
      </c>
      <c r="M2514" s="21">
        <v>22921.032776451699</v>
      </c>
      <c r="N2514" s="42">
        <v>50.933711353237832</v>
      </c>
      <c r="O2514" s="43">
        <v>12987.905084142199</v>
      </c>
    </row>
    <row r="2515" spans="12:15" x14ac:dyDescent="0.2">
      <c r="L2515" s="4">
        <v>2509</v>
      </c>
      <c r="M2515" s="21">
        <v>56540.821908994491</v>
      </c>
      <c r="N2515" s="42">
        <v>49.342234890107306</v>
      </c>
      <c r="O2515" s="43">
        <v>16550.271033545774</v>
      </c>
    </row>
    <row r="2516" spans="12:15" x14ac:dyDescent="0.2">
      <c r="L2516" s="4">
        <v>2510</v>
      </c>
      <c r="M2516" s="21">
        <v>-63689.546496949319</v>
      </c>
      <c r="N2516" s="42">
        <v>47.284631569139897</v>
      </c>
      <c r="O2516" s="43">
        <v>15628.508719591693</v>
      </c>
    </row>
    <row r="2517" spans="12:15" x14ac:dyDescent="0.2">
      <c r="L2517" s="4">
        <v>2511</v>
      </c>
      <c r="M2517" s="21">
        <v>7836.174695041118</v>
      </c>
      <c r="N2517" s="42">
        <v>50.115327189591369</v>
      </c>
      <c r="O2517" s="43">
        <v>14478.93871083219</v>
      </c>
    </row>
    <row r="2518" spans="12:15" x14ac:dyDescent="0.2">
      <c r="L2518" s="4">
        <v>2512</v>
      </c>
      <c r="M2518" s="21">
        <v>-237177.04710485772</v>
      </c>
      <c r="N2518" s="42">
        <v>47.14336149534563</v>
      </c>
      <c r="O2518" s="43">
        <v>14668.997289390398</v>
      </c>
    </row>
    <row r="2519" spans="12:15" x14ac:dyDescent="0.2">
      <c r="L2519" s="4">
        <v>2513</v>
      </c>
      <c r="M2519" s="21">
        <v>-32743.560968143312</v>
      </c>
      <c r="N2519" s="42">
        <v>50.97657160772139</v>
      </c>
      <c r="O2519" s="43">
        <v>13144.806287943416</v>
      </c>
    </row>
    <row r="2520" spans="12:15" x14ac:dyDescent="0.2">
      <c r="L2520" s="4">
        <v>2514</v>
      </c>
      <c r="M2520" s="21">
        <v>38238.102364717459</v>
      </c>
      <c r="N2520" s="42">
        <v>49.173617509116923</v>
      </c>
      <c r="O2520" s="43">
        <v>17352.324547924789</v>
      </c>
    </row>
    <row r="2521" spans="12:15" x14ac:dyDescent="0.2">
      <c r="L2521" s="4">
        <v>2515</v>
      </c>
      <c r="M2521" s="21">
        <v>-1837.1641212246032</v>
      </c>
      <c r="N2521" s="42">
        <v>46.443887110337975</v>
      </c>
      <c r="O2521" s="43">
        <v>18039.382621855781</v>
      </c>
    </row>
    <row r="2522" spans="12:15" x14ac:dyDescent="0.2">
      <c r="L2522" s="4">
        <v>2516</v>
      </c>
      <c r="M2522" s="21">
        <v>-60773.082596306427</v>
      </c>
      <c r="N2522" s="42">
        <v>48.371516241834073</v>
      </c>
      <c r="O2522" s="43">
        <v>13766.578256201512</v>
      </c>
    </row>
    <row r="2523" spans="12:15" x14ac:dyDescent="0.2">
      <c r="L2523" s="4">
        <v>2517</v>
      </c>
      <c r="M2523" s="21">
        <v>160641.12520672628</v>
      </c>
      <c r="N2523" s="42">
        <v>51.241094248249674</v>
      </c>
      <c r="O2523" s="43">
        <v>16214.58840508428</v>
      </c>
    </row>
    <row r="2524" spans="12:15" x14ac:dyDescent="0.2">
      <c r="L2524" s="4">
        <v>2518</v>
      </c>
      <c r="M2524" s="21">
        <v>-79261.015170567945</v>
      </c>
      <c r="N2524" s="42">
        <v>51.141740115045494</v>
      </c>
      <c r="O2524" s="43">
        <v>13424.363268698615</v>
      </c>
    </row>
    <row r="2525" spans="12:15" x14ac:dyDescent="0.2">
      <c r="L2525" s="4">
        <v>2519</v>
      </c>
      <c r="M2525" s="21">
        <v>-41113.002222726602</v>
      </c>
      <c r="N2525" s="42">
        <v>49.862992448781654</v>
      </c>
      <c r="O2525" s="43">
        <v>15310.898425904972</v>
      </c>
    </row>
    <row r="2526" spans="12:15" x14ac:dyDescent="0.2">
      <c r="L2526" s="4">
        <v>2520</v>
      </c>
      <c r="M2526" s="21">
        <v>20397.68461357255</v>
      </c>
      <c r="N2526" s="42">
        <v>48.227784046598025</v>
      </c>
      <c r="O2526" s="43">
        <v>16715.985947328831</v>
      </c>
    </row>
    <row r="2527" spans="12:15" x14ac:dyDescent="0.2">
      <c r="L2527" s="4">
        <v>2521</v>
      </c>
      <c r="M2527" s="21">
        <v>-57288.583660195349</v>
      </c>
      <c r="N2527" s="42">
        <v>50.354272300334806</v>
      </c>
      <c r="O2527" s="43">
        <v>14778.708999938479</v>
      </c>
    </row>
    <row r="2528" spans="12:15" x14ac:dyDescent="0.2">
      <c r="L2528" s="4">
        <v>2522</v>
      </c>
      <c r="M2528" s="21">
        <v>-228901.10401601746</v>
      </c>
      <c r="N2528" s="42">
        <v>50.491945250184301</v>
      </c>
      <c r="O2528" s="43">
        <v>11573.705825569754</v>
      </c>
    </row>
    <row r="2529" spans="12:15" x14ac:dyDescent="0.2">
      <c r="L2529" s="4">
        <v>2523</v>
      </c>
      <c r="M2529" s="21">
        <v>197005.81235335665</v>
      </c>
      <c r="N2529" s="42">
        <v>49.587782630906972</v>
      </c>
      <c r="O2529" s="43">
        <v>17244.252802867079</v>
      </c>
    </row>
    <row r="2530" spans="12:15" x14ac:dyDescent="0.2">
      <c r="L2530" s="4">
        <v>2524</v>
      </c>
      <c r="M2530" s="21">
        <v>56026.728871124593</v>
      </c>
      <c r="N2530" s="42">
        <v>48.482848797989533</v>
      </c>
      <c r="O2530" s="43">
        <v>16581.87428108673</v>
      </c>
    </row>
    <row r="2531" spans="12:15" x14ac:dyDescent="0.2">
      <c r="L2531" s="4">
        <v>2525</v>
      </c>
      <c r="M2531" s="21">
        <v>33868.953959686565</v>
      </c>
      <c r="N2531" s="42">
        <v>46.246552988404645</v>
      </c>
      <c r="O2531" s="43">
        <v>17708.881723686151</v>
      </c>
    </row>
    <row r="2532" spans="12:15" x14ac:dyDescent="0.2">
      <c r="L2532" s="4">
        <v>2526</v>
      </c>
      <c r="M2532" s="21">
        <v>-59142.862197559822</v>
      </c>
      <c r="N2532" s="42">
        <v>50.571228969357811</v>
      </c>
      <c r="O2532" s="43">
        <v>14337.556777057751</v>
      </c>
    </row>
    <row r="2533" spans="12:15" x14ac:dyDescent="0.2">
      <c r="L2533" s="4">
        <v>2527</v>
      </c>
      <c r="M2533" s="21">
        <v>-124603.79101511768</v>
      </c>
      <c r="N2533" s="42">
        <v>50.672184614464911</v>
      </c>
      <c r="O2533" s="43">
        <v>12975.303592492241</v>
      </c>
    </row>
    <row r="2534" spans="12:15" x14ac:dyDescent="0.2">
      <c r="L2534" s="4">
        <v>2528</v>
      </c>
      <c r="M2534" s="21">
        <v>49136.217578031064</v>
      </c>
      <c r="N2534" s="42">
        <v>47.978191113455438</v>
      </c>
      <c r="O2534" s="43">
        <v>16479.958530020307</v>
      </c>
    </row>
    <row r="2535" spans="12:15" x14ac:dyDescent="0.2">
      <c r="L2535" s="4">
        <v>2529</v>
      </c>
      <c r="M2535" s="21">
        <v>-60977.817727250207</v>
      </c>
      <c r="N2535" s="42">
        <v>48.275566786575276</v>
      </c>
      <c r="O2535" s="43">
        <v>15021.835779361225</v>
      </c>
    </row>
    <row r="2536" spans="12:15" x14ac:dyDescent="0.2">
      <c r="L2536" s="4">
        <v>2530</v>
      </c>
      <c r="M2536" s="21">
        <v>19543.91442381838</v>
      </c>
      <c r="N2536" s="42">
        <v>50.65443982457667</v>
      </c>
      <c r="O2536" s="43">
        <v>14862.054382754024</v>
      </c>
    </row>
    <row r="2537" spans="12:15" x14ac:dyDescent="0.2">
      <c r="L2537" s="4">
        <v>2531</v>
      </c>
      <c r="M2537" s="21">
        <v>66401.88224401651</v>
      </c>
      <c r="N2537" s="42">
        <v>50.645793710907505</v>
      </c>
      <c r="O2537" s="43">
        <v>15088.362326505947</v>
      </c>
    </row>
    <row r="2538" spans="12:15" x14ac:dyDescent="0.2">
      <c r="L2538" s="4">
        <v>2532</v>
      </c>
      <c r="M2538" s="21">
        <v>-102824.91098500555</v>
      </c>
      <c r="N2538" s="42">
        <v>49.084448747511566</v>
      </c>
      <c r="O2538" s="43">
        <v>14025.672680652209</v>
      </c>
    </row>
    <row r="2539" spans="12:15" x14ac:dyDescent="0.2">
      <c r="L2539" s="4">
        <v>2533</v>
      </c>
      <c r="M2539" s="21">
        <v>191423.28516621099</v>
      </c>
      <c r="N2539" s="42">
        <v>50.736726717410605</v>
      </c>
      <c r="O2539" s="43">
        <v>14805.630354770441</v>
      </c>
    </row>
    <row r="2540" spans="12:15" x14ac:dyDescent="0.2">
      <c r="L2540" s="4">
        <v>2534</v>
      </c>
      <c r="M2540" s="21">
        <v>156875.51999883258</v>
      </c>
      <c r="N2540" s="42">
        <v>49.343877573938876</v>
      </c>
      <c r="O2540" s="43">
        <v>15669.731916286659</v>
      </c>
    </row>
    <row r="2541" spans="12:15" x14ac:dyDescent="0.2">
      <c r="L2541" s="4">
        <v>2535</v>
      </c>
      <c r="M2541" s="21">
        <v>-120022.76983455283</v>
      </c>
      <c r="N2541" s="42">
        <v>50.726278072589146</v>
      </c>
      <c r="O2541" s="43">
        <v>11662.54250059607</v>
      </c>
    </row>
    <row r="2542" spans="12:15" x14ac:dyDescent="0.2">
      <c r="L2542" s="4">
        <v>2536</v>
      </c>
      <c r="M2542" s="21">
        <v>-106467.45513400571</v>
      </c>
      <c r="N2542" s="42">
        <v>50.938523626144217</v>
      </c>
      <c r="O2542" s="43">
        <v>13030.988285199344</v>
      </c>
    </row>
    <row r="2543" spans="12:15" x14ac:dyDescent="0.2">
      <c r="L2543" s="4">
        <v>2537</v>
      </c>
      <c r="M2543" s="21">
        <v>-148524.8524958333</v>
      </c>
      <c r="N2543" s="42">
        <v>49.211183148989306</v>
      </c>
      <c r="O2543" s="43">
        <v>14812.109505320517</v>
      </c>
    </row>
    <row r="2544" spans="12:15" x14ac:dyDescent="0.2">
      <c r="L2544" s="4">
        <v>2538</v>
      </c>
      <c r="M2544" s="21">
        <v>93238.968609340867</v>
      </c>
      <c r="N2544" s="42">
        <v>50.076463710759533</v>
      </c>
      <c r="O2544" s="43">
        <v>15584.855978091286</v>
      </c>
    </row>
    <row r="2545" spans="12:15" x14ac:dyDescent="0.2">
      <c r="L2545" s="4">
        <v>2539</v>
      </c>
      <c r="M2545" s="21">
        <v>-45407.218298445223</v>
      </c>
      <c r="N2545" s="42">
        <v>49.005355198502045</v>
      </c>
      <c r="O2545" s="43">
        <v>16196.790832674569</v>
      </c>
    </row>
    <row r="2546" spans="12:15" x14ac:dyDescent="0.2">
      <c r="L2546" s="4">
        <v>2540</v>
      </c>
      <c r="M2546" s="21">
        <v>34634.40701760212</v>
      </c>
      <c r="N2546" s="42">
        <v>48.719177830927791</v>
      </c>
      <c r="O2546" s="43">
        <v>16252.512962924384</v>
      </c>
    </row>
    <row r="2547" spans="12:15" x14ac:dyDescent="0.2">
      <c r="L2547" s="4">
        <v>2541</v>
      </c>
      <c r="M2547" s="21">
        <v>-18858.641272415538</v>
      </c>
      <c r="N2547" s="42">
        <v>48.966389711834495</v>
      </c>
      <c r="O2547" s="43">
        <v>15532.978869753608</v>
      </c>
    </row>
    <row r="2548" spans="12:15" x14ac:dyDescent="0.2">
      <c r="L2548" s="4">
        <v>2542</v>
      </c>
      <c r="M2548" s="21">
        <v>87091.603967931762</v>
      </c>
      <c r="N2548" s="42">
        <v>51.234952222214524</v>
      </c>
      <c r="O2548" s="43">
        <v>14650.771162613446</v>
      </c>
    </row>
    <row r="2549" spans="12:15" x14ac:dyDescent="0.2">
      <c r="L2549" s="4">
        <v>2543</v>
      </c>
      <c r="M2549" s="21">
        <v>-45361.074218604408</v>
      </c>
      <c r="N2549" s="42">
        <v>49.843600776489765</v>
      </c>
      <c r="O2549" s="43">
        <v>14176.145250217889</v>
      </c>
    </row>
    <row r="2550" spans="12:15" x14ac:dyDescent="0.2">
      <c r="L2550" s="4">
        <v>2544</v>
      </c>
      <c r="M2550" s="21">
        <v>-40090.228980418746</v>
      </c>
      <c r="N2550" s="42">
        <v>47.817464912331594</v>
      </c>
      <c r="O2550" s="43">
        <v>15392.541076380779</v>
      </c>
    </row>
    <row r="2551" spans="12:15" x14ac:dyDescent="0.2">
      <c r="L2551" s="4">
        <v>2545</v>
      </c>
      <c r="M2551" s="21">
        <v>-88931.022576527714</v>
      </c>
      <c r="N2551" s="42">
        <v>50.476473787836127</v>
      </c>
      <c r="O2551" s="43">
        <v>12329.665313556065</v>
      </c>
    </row>
    <row r="2552" spans="12:15" x14ac:dyDescent="0.2">
      <c r="L2552" s="4">
        <v>2546</v>
      </c>
      <c r="M2552" s="21">
        <v>191149.68469379254</v>
      </c>
      <c r="N2552" s="42">
        <v>49.403926024615963</v>
      </c>
      <c r="O2552" s="43">
        <v>16370.196642198691</v>
      </c>
    </row>
    <row r="2553" spans="12:15" x14ac:dyDescent="0.2">
      <c r="L2553" s="4">
        <v>2547</v>
      </c>
      <c r="M2553" s="21">
        <v>-116046.94404590045</v>
      </c>
      <c r="N2553" s="42">
        <v>50.268086036997097</v>
      </c>
      <c r="O2553" s="43">
        <v>12387.007830865579</v>
      </c>
    </row>
    <row r="2554" spans="12:15" x14ac:dyDescent="0.2">
      <c r="L2554" s="4">
        <v>2548</v>
      </c>
      <c r="M2554" s="21">
        <v>57236.364713637537</v>
      </c>
      <c r="N2554" s="42">
        <v>49.572735270696583</v>
      </c>
      <c r="O2554" s="43">
        <v>15959.249517927941</v>
      </c>
    </row>
    <row r="2555" spans="12:15" x14ac:dyDescent="0.2">
      <c r="L2555" s="4">
        <v>2549</v>
      </c>
      <c r="M2555" s="21">
        <v>-34625.921190710258</v>
      </c>
      <c r="N2555" s="42">
        <v>47.972153210043707</v>
      </c>
      <c r="O2555" s="43">
        <v>16714.362200426942</v>
      </c>
    </row>
    <row r="2556" spans="12:15" x14ac:dyDescent="0.2">
      <c r="L2556" s="4">
        <v>2550</v>
      </c>
      <c r="M2556" s="21">
        <v>-87605.103757414021</v>
      </c>
      <c r="N2556" s="42">
        <v>46.924000953632031</v>
      </c>
      <c r="O2556" s="43">
        <v>18971.774820182683</v>
      </c>
    </row>
    <row r="2557" spans="12:15" x14ac:dyDescent="0.2">
      <c r="L2557" s="4">
        <v>2551</v>
      </c>
      <c r="M2557" s="21">
        <v>-117589.05875365139</v>
      </c>
      <c r="N2557" s="42">
        <v>48.055757116622203</v>
      </c>
      <c r="O2557" s="43">
        <v>14161.133449366411</v>
      </c>
    </row>
    <row r="2558" spans="12:15" x14ac:dyDescent="0.2">
      <c r="L2558" s="4">
        <v>2552</v>
      </c>
      <c r="M2558" s="21">
        <v>21929.825614494068</v>
      </c>
      <c r="N2558" s="42">
        <v>48.364013165649091</v>
      </c>
      <c r="O2558" s="43">
        <v>16408.22265547463</v>
      </c>
    </row>
    <row r="2559" spans="12:15" x14ac:dyDescent="0.2">
      <c r="L2559" s="4">
        <v>2553</v>
      </c>
      <c r="M2559" s="21">
        <v>-182595.7635071555</v>
      </c>
      <c r="N2559" s="42">
        <v>47.582615994977736</v>
      </c>
      <c r="O2559" s="43">
        <v>14933.950366072333</v>
      </c>
    </row>
    <row r="2560" spans="12:15" x14ac:dyDescent="0.2">
      <c r="L2560" s="4">
        <v>2554</v>
      </c>
      <c r="M2560" s="21">
        <v>74021.387593488907</v>
      </c>
      <c r="N2560" s="42">
        <v>51.212138712750125</v>
      </c>
      <c r="O2560" s="43">
        <v>14440.946700583032</v>
      </c>
    </row>
    <row r="2561" spans="12:15" x14ac:dyDescent="0.2">
      <c r="L2561" s="4">
        <v>2555</v>
      </c>
      <c r="M2561" s="21">
        <v>-121892.56478349959</v>
      </c>
      <c r="N2561" s="42">
        <v>47.532377175740599</v>
      </c>
      <c r="O2561" s="43">
        <v>16768.847455107723</v>
      </c>
    </row>
    <row r="2562" spans="12:15" x14ac:dyDescent="0.2">
      <c r="L2562" s="4">
        <v>2556</v>
      </c>
      <c r="M2562" s="21">
        <v>-233625.90499915183</v>
      </c>
      <c r="N2562" s="42">
        <v>46.454132583037264</v>
      </c>
      <c r="O2562" s="43">
        <v>13508.160639326328</v>
      </c>
    </row>
    <row r="2563" spans="12:15" x14ac:dyDescent="0.2">
      <c r="L2563" s="4">
        <v>2557</v>
      </c>
      <c r="M2563" s="21">
        <v>143309.58125682699</v>
      </c>
      <c r="N2563" s="42">
        <v>49.744744518627485</v>
      </c>
      <c r="O2563" s="43">
        <v>16606.668202613579</v>
      </c>
    </row>
    <row r="2564" spans="12:15" x14ac:dyDescent="0.2">
      <c r="L2564" s="4">
        <v>2558</v>
      </c>
      <c r="M2564" s="21">
        <v>13968.260584933043</v>
      </c>
      <c r="N2564" s="42">
        <v>48.930215031810199</v>
      </c>
      <c r="O2564" s="43">
        <v>16502.211910438855</v>
      </c>
    </row>
    <row r="2565" spans="12:15" x14ac:dyDescent="0.2">
      <c r="L2565" s="4">
        <v>2559</v>
      </c>
      <c r="M2565" s="21">
        <v>71419.667055164231</v>
      </c>
      <c r="N2565" s="42">
        <v>51.195373469810022</v>
      </c>
      <c r="O2565" s="43">
        <v>15194.235244168438</v>
      </c>
    </row>
    <row r="2566" spans="12:15" x14ac:dyDescent="0.2">
      <c r="L2566" s="4">
        <v>2560</v>
      </c>
      <c r="M2566" s="21">
        <v>-217754.40007475723</v>
      </c>
      <c r="N2566" s="42">
        <v>47.353494839299643</v>
      </c>
      <c r="O2566" s="43">
        <v>15335.79371497508</v>
      </c>
    </row>
    <row r="2567" spans="12:15" x14ac:dyDescent="0.2">
      <c r="L2567" s="4">
        <v>2561</v>
      </c>
      <c r="M2567" s="21">
        <v>194308.04015037132</v>
      </c>
      <c r="N2567" s="42">
        <v>48.390336237700964</v>
      </c>
      <c r="O2567" s="43">
        <v>17886.184382645919</v>
      </c>
    </row>
    <row r="2568" spans="12:15" x14ac:dyDescent="0.2">
      <c r="L2568" s="4">
        <v>2562</v>
      </c>
      <c r="M2568" s="21">
        <v>-97152.748252141813</v>
      </c>
      <c r="N2568" s="42">
        <v>46.599115055213808</v>
      </c>
      <c r="O2568" s="43">
        <v>15577.050026683282</v>
      </c>
    </row>
    <row r="2569" spans="12:15" x14ac:dyDescent="0.2">
      <c r="L2569" s="4">
        <v>2563</v>
      </c>
      <c r="M2569" s="21">
        <v>-188402.25982475819</v>
      </c>
      <c r="N2569" s="42">
        <v>50.414081796873745</v>
      </c>
      <c r="O2569" s="43">
        <v>13582.887437020807</v>
      </c>
    </row>
    <row r="2570" spans="12:15" x14ac:dyDescent="0.2">
      <c r="L2570" s="4">
        <v>2564</v>
      </c>
      <c r="M2570" s="21">
        <v>174175.34203628215</v>
      </c>
      <c r="N2570" s="42">
        <v>49.385759716769606</v>
      </c>
      <c r="O2570" s="43">
        <v>16830.369416731868</v>
      </c>
    </row>
    <row r="2571" spans="12:15" x14ac:dyDescent="0.2">
      <c r="L2571" s="4">
        <v>2565</v>
      </c>
      <c r="M2571" s="21">
        <v>86370.870958081825</v>
      </c>
      <c r="N2571" s="42">
        <v>49.817227277639581</v>
      </c>
      <c r="O2571" s="43">
        <v>15655.454811948131</v>
      </c>
    </row>
    <row r="2572" spans="12:15" x14ac:dyDescent="0.2">
      <c r="L2572" s="4">
        <v>2566</v>
      </c>
      <c r="M2572" s="21">
        <v>-177942.12670027357</v>
      </c>
      <c r="N2572" s="42">
        <v>49.143894735226262</v>
      </c>
      <c r="O2572" s="43">
        <v>14041.11336251986</v>
      </c>
    </row>
    <row r="2573" spans="12:15" x14ac:dyDescent="0.2">
      <c r="L2573" s="4">
        <v>2567</v>
      </c>
      <c r="M2573" s="21">
        <v>114910.50715844703</v>
      </c>
      <c r="N2573" s="42">
        <v>49.938601786176903</v>
      </c>
      <c r="O2573" s="43">
        <v>15205.807220031209</v>
      </c>
    </row>
    <row r="2574" spans="12:15" x14ac:dyDescent="0.2">
      <c r="L2574" s="4">
        <v>2568</v>
      </c>
      <c r="M2574" s="21">
        <v>67779.355591132538</v>
      </c>
      <c r="N2574" s="42">
        <v>49.640292776081132</v>
      </c>
      <c r="O2574" s="43">
        <v>14978.870554858715</v>
      </c>
    </row>
    <row r="2575" spans="12:15" x14ac:dyDescent="0.2">
      <c r="L2575" s="4">
        <v>2569</v>
      </c>
      <c r="M2575" s="21">
        <v>-190607.15121554444</v>
      </c>
      <c r="N2575" s="42">
        <v>50.509683743985065</v>
      </c>
      <c r="O2575" s="43">
        <v>12936.646865890121</v>
      </c>
    </row>
    <row r="2576" spans="12:15" x14ac:dyDescent="0.2">
      <c r="L2576" s="4">
        <v>2570</v>
      </c>
      <c r="M2576" s="21">
        <v>-106749.30602791761</v>
      </c>
      <c r="N2576" s="42">
        <v>46.550987373438595</v>
      </c>
      <c r="O2576" s="43">
        <v>16495.188196046955</v>
      </c>
    </row>
    <row r="2577" spans="12:15" x14ac:dyDescent="0.2">
      <c r="L2577" s="4">
        <v>2571</v>
      </c>
      <c r="M2577" s="21">
        <v>28062.348901457823</v>
      </c>
      <c r="N2577" s="42">
        <v>50.618168420108887</v>
      </c>
      <c r="O2577" s="43">
        <v>14926.315855097495</v>
      </c>
    </row>
    <row r="2578" spans="12:15" x14ac:dyDescent="0.2">
      <c r="L2578" s="4">
        <v>2572</v>
      </c>
      <c r="M2578" s="21">
        <v>-311477.76191248989</v>
      </c>
      <c r="N2578" s="42">
        <v>51.656530657277031</v>
      </c>
      <c r="O2578" s="43">
        <v>9851.2482349084694</v>
      </c>
    </row>
    <row r="2579" spans="12:15" x14ac:dyDescent="0.2">
      <c r="L2579" s="4">
        <v>2573</v>
      </c>
      <c r="M2579" s="21">
        <v>-105937.92150981094</v>
      </c>
      <c r="N2579" s="42">
        <v>46.625412339203585</v>
      </c>
      <c r="O2579" s="43">
        <v>16623.668846564506</v>
      </c>
    </row>
    <row r="2580" spans="12:15" x14ac:dyDescent="0.2">
      <c r="L2580" s="4">
        <v>2574</v>
      </c>
      <c r="M2580" s="21">
        <v>224420.58218630127</v>
      </c>
      <c r="N2580" s="42">
        <v>50.59812149543086</v>
      </c>
      <c r="O2580" s="43">
        <v>16476.676555427741</v>
      </c>
    </row>
    <row r="2581" spans="12:15" x14ac:dyDescent="0.2">
      <c r="L2581" s="4">
        <v>2575</v>
      </c>
      <c r="M2581" s="21">
        <v>52866.616928539268</v>
      </c>
      <c r="N2581" s="42">
        <v>48.538818569464219</v>
      </c>
      <c r="O2581" s="43">
        <v>19293.308377187579</v>
      </c>
    </row>
    <row r="2582" spans="12:15" x14ac:dyDescent="0.2">
      <c r="L2582" s="4">
        <v>2576</v>
      </c>
      <c r="M2582" s="21">
        <v>-293308.01911004249</v>
      </c>
      <c r="N2582" s="42">
        <v>46.391437083300147</v>
      </c>
      <c r="O2582" s="43">
        <v>14015.337172943433</v>
      </c>
    </row>
    <row r="2583" spans="12:15" x14ac:dyDescent="0.2">
      <c r="L2583" s="4">
        <v>2577</v>
      </c>
      <c r="M2583" s="21">
        <v>-58003.793698473979</v>
      </c>
      <c r="N2583" s="42">
        <v>50.1640159517924</v>
      </c>
      <c r="O2583" s="43">
        <v>14579.793253123747</v>
      </c>
    </row>
    <row r="2584" spans="12:15" x14ac:dyDescent="0.2">
      <c r="L2584" s="4">
        <v>2578</v>
      </c>
      <c r="M2584" s="21">
        <v>216913.28466398318</v>
      </c>
      <c r="N2584" s="42">
        <v>49.952470564293193</v>
      </c>
      <c r="O2584" s="43">
        <v>15417.350036768239</v>
      </c>
    </row>
    <row r="2585" spans="12:15" x14ac:dyDescent="0.2">
      <c r="L2585" s="4">
        <v>2579</v>
      </c>
      <c r="M2585" s="21">
        <v>78442.797237138555</v>
      </c>
      <c r="N2585" s="42">
        <v>49.77773638160599</v>
      </c>
      <c r="O2585" s="43">
        <v>18768.361664135464</v>
      </c>
    </row>
    <row r="2586" spans="12:15" x14ac:dyDescent="0.2">
      <c r="L2586" s="4">
        <v>2580</v>
      </c>
      <c r="M2586" s="21">
        <v>26585.972451253241</v>
      </c>
      <c r="N2586" s="42">
        <v>48.128502686188384</v>
      </c>
      <c r="O2586" s="43">
        <v>17013.532279524363</v>
      </c>
    </row>
    <row r="2587" spans="12:15" x14ac:dyDescent="0.2">
      <c r="L2587" s="4">
        <v>2581</v>
      </c>
      <c r="M2587" s="21">
        <v>144892.88828334303</v>
      </c>
      <c r="N2587" s="42">
        <v>48.767228814464865</v>
      </c>
      <c r="O2587" s="43">
        <v>16939.203072653028</v>
      </c>
    </row>
    <row r="2588" spans="12:15" x14ac:dyDescent="0.2">
      <c r="L2588" s="4">
        <v>2582</v>
      </c>
      <c r="M2588" s="21">
        <v>-40415.161377765879</v>
      </c>
      <c r="N2588" s="42">
        <v>47.300052002138436</v>
      </c>
      <c r="O2588" s="43">
        <v>15996.882631377561</v>
      </c>
    </row>
    <row r="2589" spans="12:15" x14ac:dyDescent="0.2">
      <c r="L2589" s="4">
        <v>2583</v>
      </c>
      <c r="M2589" s="21">
        <v>-124923.92834539636</v>
      </c>
      <c r="N2589" s="42">
        <v>46.500219533161584</v>
      </c>
      <c r="O2589" s="43">
        <v>16608.843398808753</v>
      </c>
    </row>
    <row r="2590" spans="12:15" x14ac:dyDescent="0.2">
      <c r="L2590" s="4">
        <v>2584</v>
      </c>
      <c r="M2590" s="21">
        <v>-174362.03804010362</v>
      </c>
      <c r="N2590" s="42">
        <v>51.293244871905955</v>
      </c>
      <c r="O2590" s="43">
        <v>12370.851646862557</v>
      </c>
    </row>
    <row r="2591" spans="12:15" x14ac:dyDescent="0.2">
      <c r="L2591" s="4">
        <v>2585</v>
      </c>
      <c r="M2591" s="21">
        <v>-76587.162213798394</v>
      </c>
      <c r="N2591" s="42">
        <v>47.303124727015323</v>
      </c>
      <c r="O2591" s="43">
        <v>15266.104925077376</v>
      </c>
    </row>
    <row r="2592" spans="12:15" x14ac:dyDescent="0.2">
      <c r="L2592" s="4">
        <v>2586</v>
      </c>
      <c r="M2592" s="21">
        <v>-53892.913846334442</v>
      </c>
      <c r="N2592" s="42">
        <v>49.156767486968832</v>
      </c>
      <c r="O2592" s="43">
        <v>13814.565114152783</v>
      </c>
    </row>
    <row r="2593" spans="12:15" x14ac:dyDescent="0.2">
      <c r="L2593" s="4">
        <v>2587</v>
      </c>
      <c r="M2593" s="21">
        <v>245967.63510719565</v>
      </c>
      <c r="N2593" s="42">
        <v>50.126600793963597</v>
      </c>
      <c r="O2593" s="43">
        <v>16510.525166171774</v>
      </c>
    </row>
    <row r="2594" spans="12:15" x14ac:dyDescent="0.2">
      <c r="L2594" s="4">
        <v>2588</v>
      </c>
      <c r="M2594" s="21">
        <v>-85624.229133559958</v>
      </c>
      <c r="N2594" s="42">
        <v>46.840652648090114</v>
      </c>
      <c r="O2594" s="43">
        <v>15568.041854303126</v>
      </c>
    </row>
    <row r="2595" spans="12:15" x14ac:dyDescent="0.2">
      <c r="L2595" s="4">
        <v>2589</v>
      </c>
      <c r="M2595" s="21">
        <v>36399.843102772749</v>
      </c>
      <c r="N2595" s="42">
        <v>50.201148706709986</v>
      </c>
      <c r="O2595" s="43">
        <v>15282.233895244459</v>
      </c>
    </row>
    <row r="2596" spans="12:15" x14ac:dyDescent="0.2">
      <c r="L2596" s="4">
        <v>2590</v>
      </c>
      <c r="M2596" s="21">
        <v>152198.30422863373</v>
      </c>
      <c r="N2596" s="42">
        <v>50.672497192876754</v>
      </c>
      <c r="O2596" s="43">
        <v>17070.288025647642</v>
      </c>
    </row>
    <row r="2597" spans="12:15" x14ac:dyDescent="0.2">
      <c r="L2597" s="4">
        <v>2591</v>
      </c>
      <c r="M2597" s="21">
        <v>40727.580083977489</v>
      </c>
      <c r="N2597" s="42">
        <v>50.121410880323118</v>
      </c>
      <c r="O2597" s="43">
        <v>16344.561063226234</v>
      </c>
    </row>
    <row r="2598" spans="12:15" x14ac:dyDescent="0.2">
      <c r="L2598" s="4">
        <v>2592</v>
      </c>
      <c r="M2598" s="21">
        <v>9133.9510562599753</v>
      </c>
      <c r="N2598" s="42">
        <v>48.928403334616867</v>
      </c>
      <c r="O2598" s="43">
        <v>15986.300636247894</v>
      </c>
    </row>
    <row r="2599" spans="12:15" x14ac:dyDescent="0.2">
      <c r="L2599" s="4">
        <v>2593</v>
      </c>
      <c r="M2599" s="21">
        <v>45425.640039362072</v>
      </c>
      <c r="N2599" s="42">
        <v>50.680119617683815</v>
      </c>
      <c r="O2599" s="43">
        <v>14205.050994705442</v>
      </c>
    </row>
    <row r="2600" spans="12:15" x14ac:dyDescent="0.2">
      <c r="L2600" s="4">
        <v>2594</v>
      </c>
      <c r="M2600" s="21">
        <v>-9506.7533759766957</v>
      </c>
      <c r="N2600" s="42">
        <v>47.353631238393639</v>
      </c>
      <c r="O2600" s="43">
        <v>18566.720139546898</v>
      </c>
    </row>
    <row r="2601" spans="12:15" x14ac:dyDescent="0.2">
      <c r="L2601" s="4">
        <v>2595</v>
      </c>
      <c r="M2601" s="21">
        <v>-43207.786446701648</v>
      </c>
      <c r="N2601" s="42">
        <v>46.608463509005169</v>
      </c>
      <c r="O2601" s="43">
        <v>16961.783631094746</v>
      </c>
    </row>
    <row r="2602" spans="12:15" x14ac:dyDescent="0.2">
      <c r="L2602" s="4">
        <v>2596</v>
      </c>
      <c r="M2602" s="21">
        <v>188632.90813397206</v>
      </c>
      <c r="N2602" s="42">
        <v>49.455702197631133</v>
      </c>
      <c r="O2602" s="43">
        <v>15759.465587263649</v>
      </c>
    </row>
    <row r="2603" spans="12:15" x14ac:dyDescent="0.2">
      <c r="L2603" s="4">
        <v>2597</v>
      </c>
      <c r="M2603" s="21">
        <v>-43909.12127794596</v>
      </c>
      <c r="N2603" s="42">
        <v>46.604937788064802</v>
      </c>
      <c r="O2603" s="43">
        <v>16007.221486623592</v>
      </c>
    </row>
    <row r="2604" spans="12:15" x14ac:dyDescent="0.2">
      <c r="L2604" s="4">
        <v>2598</v>
      </c>
      <c r="M2604" s="21">
        <v>59169.141072601225</v>
      </c>
      <c r="N2604" s="42">
        <v>49.798865131516322</v>
      </c>
      <c r="O2604" s="43">
        <v>14282.078864749781</v>
      </c>
    </row>
    <row r="2605" spans="12:15" x14ac:dyDescent="0.2">
      <c r="L2605" s="4">
        <v>2599</v>
      </c>
      <c r="M2605" s="21">
        <v>188982.68303001457</v>
      </c>
      <c r="N2605" s="42">
        <v>50.939242814081538</v>
      </c>
      <c r="O2605" s="43">
        <v>15471.570303920827</v>
      </c>
    </row>
    <row r="2606" spans="12:15" x14ac:dyDescent="0.2">
      <c r="L2606" s="4">
        <v>2600</v>
      </c>
      <c r="M2606" s="21">
        <v>63105.544816319918</v>
      </c>
      <c r="N2606" s="42">
        <v>48.64729989425355</v>
      </c>
      <c r="O2606" s="43">
        <v>15981.632877818811</v>
      </c>
    </row>
    <row r="2607" spans="12:15" x14ac:dyDescent="0.2">
      <c r="L2607" s="4">
        <v>2601</v>
      </c>
      <c r="M2607" s="21">
        <v>125345.08281093813</v>
      </c>
      <c r="N2607" s="42">
        <v>50.494675219383581</v>
      </c>
      <c r="O2607" s="43">
        <v>14377.286389872495</v>
      </c>
    </row>
    <row r="2608" spans="12:15" x14ac:dyDescent="0.2">
      <c r="L2608" s="4">
        <v>2602</v>
      </c>
      <c r="M2608" s="21">
        <v>-291655.97363599518</v>
      </c>
      <c r="N2608" s="42">
        <v>48.011225530612151</v>
      </c>
      <c r="O2608" s="43">
        <v>12204.383619179229</v>
      </c>
    </row>
    <row r="2609" spans="12:15" x14ac:dyDescent="0.2">
      <c r="L2609" s="4">
        <v>2603</v>
      </c>
      <c r="M2609" s="21">
        <v>-159234.85230887678</v>
      </c>
      <c r="N2609" s="42">
        <v>48.711450804844347</v>
      </c>
      <c r="O2609" s="43">
        <v>14543.736736829402</v>
      </c>
    </row>
    <row r="2610" spans="12:15" x14ac:dyDescent="0.2">
      <c r="L2610" s="4">
        <v>2604</v>
      </c>
      <c r="M2610" s="21">
        <v>-121765.4416746543</v>
      </c>
      <c r="N2610" s="42">
        <v>47.150663159198679</v>
      </c>
      <c r="O2610" s="43">
        <v>15577.960630293966</v>
      </c>
    </row>
    <row r="2611" spans="12:15" x14ac:dyDescent="0.2">
      <c r="L2611" s="4">
        <v>2605</v>
      </c>
      <c r="M2611" s="21">
        <v>-133310.27185357522</v>
      </c>
      <c r="N2611" s="42">
        <v>47.6575025549567</v>
      </c>
      <c r="O2611" s="43">
        <v>16048.104913017418</v>
      </c>
    </row>
    <row r="2612" spans="12:15" x14ac:dyDescent="0.2">
      <c r="L2612" s="4">
        <v>2606</v>
      </c>
      <c r="M2612" s="21">
        <v>97708.156103244371</v>
      </c>
      <c r="N2612" s="42">
        <v>49.113078926742283</v>
      </c>
      <c r="O2612" s="43">
        <v>15280.298910840502</v>
      </c>
    </row>
    <row r="2613" spans="12:15" x14ac:dyDescent="0.2">
      <c r="L2613" s="4">
        <v>2607</v>
      </c>
      <c r="M2613" s="21">
        <v>-235707.16494239471</v>
      </c>
      <c r="N2613" s="42">
        <v>45.020827679999925</v>
      </c>
      <c r="O2613" s="43">
        <v>14906.64730689428</v>
      </c>
    </row>
    <row r="2614" spans="12:15" x14ac:dyDescent="0.2">
      <c r="L2614" s="4">
        <v>2608</v>
      </c>
      <c r="M2614" s="21">
        <v>85268.832731737464</v>
      </c>
      <c r="N2614" s="42">
        <v>50.783173821956439</v>
      </c>
      <c r="O2614" s="43">
        <v>14640.12961128323</v>
      </c>
    </row>
    <row r="2615" spans="12:15" x14ac:dyDescent="0.2">
      <c r="L2615" s="4">
        <v>2609</v>
      </c>
      <c r="M2615" s="21">
        <v>-101224.52973359468</v>
      </c>
      <c r="N2615" s="42">
        <v>48.528384988609858</v>
      </c>
      <c r="O2615" s="43">
        <v>15516.247643224197</v>
      </c>
    </row>
    <row r="2616" spans="12:15" x14ac:dyDescent="0.2">
      <c r="L2616" s="4">
        <v>2610</v>
      </c>
      <c r="M2616" s="21">
        <v>-18115.967975305</v>
      </c>
      <c r="N2616" s="42">
        <v>47.859414903919564</v>
      </c>
      <c r="O2616" s="43">
        <v>14644.022482853758</v>
      </c>
    </row>
    <row r="2617" spans="12:15" x14ac:dyDescent="0.2">
      <c r="L2617" s="4">
        <v>2611</v>
      </c>
      <c r="M2617" s="21">
        <v>72116.044051189645</v>
      </c>
      <c r="N2617" s="42">
        <v>50.512764089014389</v>
      </c>
      <c r="O2617" s="43">
        <v>16326.097194350237</v>
      </c>
    </row>
    <row r="2618" spans="12:15" x14ac:dyDescent="0.2">
      <c r="L2618" s="4">
        <v>2612</v>
      </c>
      <c r="M2618" s="21">
        <v>-5982.8593722993392</v>
      </c>
      <c r="N2618" s="42">
        <v>48.640533441673675</v>
      </c>
      <c r="O2618" s="43">
        <v>15158.054623103782</v>
      </c>
    </row>
    <row r="2619" spans="12:15" x14ac:dyDescent="0.2">
      <c r="L2619" s="4">
        <v>2613</v>
      </c>
      <c r="M2619" s="21">
        <v>161101.37727838027</v>
      </c>
      <c r="N2619" s="42">
        <v>49.11154600329094</v>
      </c>
      <c r="O2619" s="43">
        <v>15819.259269479839</v>
      </c>
    </row>
    <row r="2620" spans="12:15" x14ac:dyDescent="0.2">
      <c r="L2620" s="4">
        <v>2614</v>
      </c>
      <c r="M2620" s="21">
        <v>135287.29757536453</v>
      </c>
      <c r="N2620" s="42">
        <v>49.280519750634141</v>
      </c>
      <c r="O2620" s="43">
        <v>15253.325077151499</v>
      </c>
    </row>
    <row r="2621" spans="12:15" x14ac:dyDescent="0.2">
      <c r="L2621" s="4">
        <v>2615</v>
      </c>
      <c r="M2621" s="21">
        <v>15085.842975088424</v>
      </c>
      <c r="N2621" s="42">
        <v>46.382625870440478</v>
      </c>
      <c r="O2621" s="43">
        <v>16976.016092496662</v>
      </c>
    </row>
    <row r="2622" spans="12:15" x14ac:dyDescent="0.2">
      <c r="L2622" s="4">
        <v>2616</v>
      </c>
      <c r="M2622" s="21">
        <v>-52323.68206171364</v>
      </c>
      <c r="N2622" s="42">
        <v>51.592177199912093</v>
      </c>
      <c r="O2622" s="43">
        <v>11928.962998374998</v>
      </c>
    </row>
    <row r="2623" spans="12:15" x14ac:dyDescent="0.2">
      <c r="L2623" s="4">
        <v>2617</v>
      </c>
      <c r="M2623" s="21">
        <v>79606.865961500647</v>
      </c>
      <c r="N2623" s="42">
        <v>47.327955398257686</v>
      </c>
      <c r="O2623" s="43">
        <v>17112.580609336779</v>
      </c>
    </row>
    <row r="2624" spans="12:15" x14ac:dyDescent="0.2">
      <c r="L2624" s="4">
        <v>2618</v>
      </c>
      <c r="M2624" s="21">
        <v>-257080.55729274865</v>
      </c>
      <c r="N2624" s="42">
        <v>46.640929799555394</v>
      </c>
      <c r="O2624" s="43">
        <v>15724.521525046217</v>
      </c>
    </row>
    <row r="2625" spans="12:15" x14ac:dyDescent="0.2">
      <c r="L2625" s="4">
        <v>2619</v>
      </c>
      <c r="M2625" s="21">
        <v>-207242.33699066594</v>
      </c>
      <c r="N2625" s="42">
        <v>47.656545334593346</v>
      </c>
      <c r="O2625" s="43">
        <v>13221.965554829825</v>
      </c>
    </row>
    <row r="2626" spans="12:15" x14ac:dyDescent="0.2">
      <c r="L2626" s="4">
        <v>2620</v>
      </c>
      <c r="M2626" s="21">
        <v>149981.40046392131</v>
      </c>
      <c r="N2626" s="42">
        <v>51.707754375518803</v>
      </c>
      <c r="O2626" s="43">
        <v>14841.099402598704</v>
      </c>
    </row>
    <row r="2627" spans="12:15" x14ac:dyDescent="0.2">
      <c r="L2627" s="4">
        <v>2621</v>
      </c>
      <c r="M2627" s="21">
        <v>-57251.665680276798</v>
      </c>
      <c r="N2627" s="42">
        <v>48.669108624946006</v>
      </c>
      <c r="O2627" s="43">
        <v>15343.249944140314</v>
      </c>
    </row>
    <row r="2628" spans="12:15" x14ac:dyDescent="0.2">
      <c r="L2628" s="4">
        <v>2622</v>
      </c>
      <c r="M2628" s="21">
        <v>-247283.21184482111</v>
      </c>
      <c r="N2628" s="42">
        <v>51.695477962083643</v>
      </c>
      <c r="O2628" s="43">
        <v>10317.444036296143</v>
      </c>
    </row>
    <row r="2629" spans="12:15" x14ac:dyDescent="0.2">
      <c r="L2629" s="4">
        <v>2623</v>
      </c>
      <c r="M2629" s="21">
        <v>-198312.54041591616</v>
      </c>
      <c r="N2629" s="42">
        <v>48.413481787192659</v>
      </c>
      <c r="O2629" s="43">
        <v>13967.206708944599</v>
      </c>
    </row>
    <row r="2630" spans="12:15" x14ac:dyDescent="0.2">
      <c r="L2630" s="4">
        <v>2624</v>
      </c>
      <c r="M2630" s="21">
        <v>120863.19588416733</v>
      </c>
      <c r="N2630" s="42">
        <v>50.205776736895793</v>
      </c>
      <c r="O2630" s="43">
        <v>14015.82334785756</v>
      </c>
    </row>
    <row r="2631" spans="12:15" x14ac:dyDescent="0.2">
      <c r="L2631" s="4">
        <v>2625</v>
      </c>
      <c r="M2631" s="21">
        <v>-38551.194099083223</v>
      </c>
      <c r="N2631" s="42">
        <v>47.389221702127521</v>
      </c>
      <c r="O2631" s="43">
        <v>17396.595218118302</v>
      </c>
    </row>
    <row r="2632" spans="12:15" x14ac:dyDescent="0.2">
      <c r="L2632" s="4">
        <v>2626</v>
      </c>
      <c r="M2632" s="21">
        <v>-102930.38292683668</v>
      </c>
      <c r="N2632" s="42">
        <v>49.592644614724506</v>
      </c>
      <c r="O2632" s="43">
        <v>14723.709894895375</v>
      </c>
    </row>
    <row r="2633" spans="12:15" x14ac:dyDescent="0.2">
      <c r="L2633" s="4">
        <v>2627</v>
      </c>
      <c r="M2633" s="21">
        <v>25580.138897538913</v>
      </c>
      <c r="N2633" s="42">
        <v>48.89433888184039</v>
      </c>
      <c r="O2633" s="43">
        <v>16079.224656890809</v>
      </c>
    </row>
    <row r="2634" spans="12:15" x14ac:dyDescent="0.2">
      <c r="L2634" s="4">
        <v>2628</v>
      </c>
      <c r="M2634" s="21">
        <v>-142688.63735023679</v>
      </c>
      <c r="N2634" s="42">
        <v>47.827753264925619</v>
      </c>
      <c r="O2634" s="43">
        <v>12846.63687390992</v>
      </c>
    </row>
    <row r="2635" spans="12:15" x14ac:dyDescent="0.2">
      <c r="L2635" s="4">
        <v>2629</v>
      </c>
      <c r="M2635" s="21">
        <v>-183594.04915497077</v>
      </c>
      <c r="N2635" s="42">
        <v>48.363199517391671</v>
      </c>
      <c r="O2635" s="43">
        <v>13694.648767160634</v>
      </c>
    </row>
    <row r="2636" spans="12:15" x14ac:dyDescent="0.2">
      <c r="L2636" s="4">
        <v>2630</v>
      </c>
      <c r="M2636" s="21">
        <v>23833.660671170655</v>
      </c>
      <c r="N2636" s="42">
        <v>47.961369794927748</v>
      </c>
      <c r="O2636" s="43">
        <v>16766.031762537343</v>
      </c>
    </row>
    <row r="2637" spans="12:15" x14ac:dyDescent="0.2">
      <c r="L2637" s="4">
        <v>2631</v>
      </c>
      <c r="M2637" s="21">
        <v>-86243.087313399839</v>
      </c>
      <c r="N2637" s="42">
        <v>50.315585184708894</v>
      </c>
      <c r="O2637" s="43">
        <v>13795.743869763039</v>
      </c>
    </row>
    <row r="2638" spans="12:15" x14ac:dyDescent="0.2">
      <c r="L2638" s="4">
        <v>2632</v>
      </c>
      <c r="M2638" s="21">
        <v>-91332.592281605524</v>
      </c>
      <c r="N2638" s="42">
        <v>48.648839616783135</v>
      </c>
      <c r="O2638" s="43">
        <v>14928.592506981337</v>
      </c>
    </row>
    <row r="2639" spans="12:15" x14ac:dyDescent="0.2">
      <c r="L2639" s="4">
        <v>2633</v>
      </c>
      <c r="M2639" s="21">
        <v>51359.531867037615</v>
      </c>
      <c r="N2639" s="42">
        <v>47.430497043548456</v>
      </c>
      <c r="O2639" s="43">
        <v>17245.48251040019</v>
      </c>
    </row>
    <row r="2640" spans="12:15" x14ac:dyDescent="0.2">
      <c r="L2640" s="4">
        <v>2634</v>
      </c>
      <c r="M2640" s="21">
        <v>-135640.51787788785</v>
      </c>
      <c r="N2640" s="42">
        <v>46.451566590175148</v>
      </c>
      <c r="O2640" s="43">
        <v>16058.055722746059</v>
      </c>
    </row>
    <row r="2641" spans="12:15" x14ac:dyDescent="0.2">
      <c r="L2641" s="4">
        <v>2635</v>
      </c>
      <c r="M2641" s="21">
        <v>126920.65003305132</v>
      </c>
      <c r="N2641" s="42">
        <v>49.03510225606415</v>
      </c>
      <c r="O2641" s="43">
        <v>17065.794213040321</v>
      </c>
    </row>
    <row r="2642" spans="12:15" x14ac:dyDescent="0.2">
      <c r="L2642" s="4">
        <v>2636</v>
      </c>
      <c r="M2642" s="21">
        <v>143028.98757208476</v>
      </c>
      <c r="N2642" s="42">
        <v>48.566164347503069</v>
      </c>
      <c r="O2642" s="43">
        <v>16317.817736429501</v>
      </c>
    </row>
    <row r="2643" spans="12:15" x14ac:dyDescent="0.2">
      <c r="L2643" s="4">
        <v>2637</v>
      </c>
      <c r="M2643" s="21">
        <v>-214103.92638590327</v>
      </c>
      <c r="N2643" s="42">
        <v>49.799404122935968</v>
      </c>
      <c r="O2643" s="43">
        <v>12243.016269604303</v>
      </c>
    </row>
    <row r="2644" spans="12:15" x14ac:dyDescent="0.2">
      <c r="L2644" s="4">
        <v>2638</v>
      </c>
      <c r="M2644" s="21">
        <v>-204995.58383429091</v>
      </c>
      <c r="N2644" s="42">
        <v>47.721035346485195</v>
      </c>
      <c r="O2644" s="43">
        <v>13657.927560900383</v>
      </c>
    </row>
    <row r="2645" spans="12:15" x14ac:dyDescent="0.2">
      <c r="L2645" s="4">
        <v>2639</v>
      </c>
      <c r="M2645" s="21">
        <v>-34055.113968274309</v>
      </c>
      <c r="N2645" s="42">
        <v>47.648801780696999</v>
      </c>
      <c r="O2645" s="43">
        <v>15843.829868285655</v>
      </c>
    </row>
    <row r="2646" spans="12:15" x14ac:dyDescent="0.2">
      <c r="L2646" s="4">
        <v>2640</v>
      </c>
      <c r="M2646" s="21">
        <v>-57538.474630661949</v>
      </c>
      <c r="N2646" s="42">
        <v>48.107257760465359</v>
      </c>
      <c r="O2646" s="43">
        <v>15964.633246867368</v>
      </c>
    </row>
    <row r="2647" spans="12:15" x14ac:dyDescent="0.2">
      <c r="L2647" s="4">
        <v>2641</v>
      </c>
      <c r="M2647" s="21">
        <v>-77030.876992709353</v>
      </c>
      <c r="N2647" s="42">
        <v>48.870210685828667</v>
      </c>
      <c r="O2647" s="43">
        <v>15748.62766846577</v>
      </c>
    </row>
    <row r="2648" spans="12:15" x14ac:dyDescent="0.2">
      <c r="L2648" s="4">
        <v>2642</v>
      </c>
      <c r="M2648" s="21">
        <v>102275.4229807026</v>
      </c>
      <c r="N2648" s="42">
        <v>49.061787390595391</v>
      </c>
      <c r="O2648" s="43">
        <v>15248.312468906748</v>
      </c>
    </row>
    <row r="2649" spans="12:15" x14ac:dyDescent="0.2">
      <c r="L2649" s="4">
        <v>2643</v>
      </c>
      <c r="M2649" s="21">
        <v>-23988.257602825121</v>
      </c>
      <c r="N2649" s="42">
        <v>50.027566491057549</v>
      </c>
      <c r="O2649" s="43">
        <v>13920.679437974504</v>
      </c>
    </row>
    <row r="2650" spans="12:15" x14ac:dyDescent="0.2">
      <c r="L2650" s="4">
        <v>2644</v>
      </c>
      <c r="M2650" s="21">
        <v>2772.8262136241538</v>
      </c>
      <c r="N2650" s="42">
        <v>49.452612434052796</v>
      </c>
      <c r="O2650" s="43">
        <v>14687.513231937539</v>
      </c>
    </row>
    <row r="2651" spans="12:15" x14ac:dyDescent="0.2">
      <c r="L2651" s="4">
        <v>2645</v>
      </c>
      <c r="M2651" s="21">
        <v>-94005.728967207775</v>
      </c>
      <c r="N2651" s="42">
        <v>47.930555596981833</v>
      </c>
      <c r="O2651" s="43">
        <v>13963.121348399671</v>
      </c>
    </row>
    <row r="2652" spans="12:15" x14ac:dyDescent="0.2">
      <c r="L2652" s="4">
        <v>2646</v>
      </c>
      <c r="M2652" s="21">
        <v>99921.773871647572</v>
      </c>
      <c r="N2652" s="42">
        <v>47.784028181797574</v>
      </c>
      <c r="O2652" s="43">
        <v>16404.355578994411</v>
      </c>
    </row>
    <row r="2653" spans="12:15" x14ac:dyDescent="0.2">
      <c r="L2653" s="4">
        <v>2647</v>
      </c>
      <c r="M2653" s="21">
        <v>-40490.945975772731</v>
      </c>
      <c r="N2653" s="42">
        <v>49.288197519056773</v>
      </c>
      <c r="O2653" s="43">
        <v>15026.046971180189</v>
      </c>
    </row>
    <row r="2654" spans="12:15" x14ac:dyDescent="0.2">
      <c r="L2654" s="4">
        <v>2648</v>
      </c>
      <c r="M2654" s="21">
        <v>-160293.5397080793</v>
      </c>
      <c r="N2654" s="42">
        <v>51.194878640545902</v>
      </c>
      <c r="O2654" s="43">
        <v>12414.45062592966</v>
      </c>
    </row>
    <row r="2655" spans="12:15" x14ac:dyDescent="0.2">
      <c r="L2655" s="4">
        <v>2649</v>
      </c>
      <c r="M2655" s="21">
        <v>8793.1282092761248</v>
      </c>
      <c r="N2655" s="42">
        <v>50.46385125488554</v>
      </c>
      <c r="O2655" s="43">
        <v>13420.076118249275</v>
      </c>
    </row>
    <row r="2656" spans="12:15" x14ac:dyDescent="0.2">
      <c r="L2656" s="4">
        <v>2650</v>
      </c>
      <c r="M2656" s="21">
        <v>-22305.46116434678</v>
      </c>
      <c r="N2656" s="42">
        <v>51.810269145719722</v>
      </c>
      <c r="O2656" s="43">
        <v>14161.948062594598</v>
      </c>
    </row>
    <row r="2657" spans="12:15" x14ac:dyDescent="0.2">
      <c r="L2657" s="4">
        <v>2651</v>
      </c>
      <c r="M2657" s="21">
        <v>170859.5402662674</v>
      </c>
      <c r="N2657" s="42">
        <v>48.061107629341251</v>
      </c>
      <c r="O2657" s="43">
        <v>16884.804802174396</v>
      </c>
    </row>
    <row r="2658" spans="12:15" x14ac:dyDescent="0.2">
      <c r="L2658" s="4">
        <v>2652</v>
      </c>
      <c r="M2658" s="21">
        <v>-108814.23749388618</v>
      </c>
      <c r="N2658" s="42">
        <v>48.849622165317811</v>
      </c>
      <c r="O2658" s="43">
        <v>15074.210960960003</v>
      </c>
    </row>
    <row r="2659" spans="12:15" x14ac:dyDescent="0.2">
      <c r="L2659" s="4">
        <v>2653</v>
      </c>
      <c r="M2659" s="21">
        <v>57894.212744751741</v>
      </c>
      <c r="N2659" s="42">
        <v>48.141723830971827</v>
      </c>
      <c r="O2659" s="43">
        <v>17106.89404491692</v>
      </c>
    </row>
    <row r="2660" spans="12:15" x14ac:dyDescent="0.2">
      <c r="L2660" s="4">
        <v>2654</v>
      </c>
      <c r="M2660" s="21">
        <v>83588.682570495002</v>
      </c>
      <c r="N2660" s="42">
        <v>49.070210681906964</v>
      </c>
      <c r="O2660" s="43">
        <v>16407.092784295608</v>
      </c>
    </row>
    <row r="2661" spans="12:15" x14ac:dyDescent="0.2">
      <c r="L2661" s="4">
        <v>2655</v>
      </c>
      <c r="M2661" s="21">
        <v>20596.756442749087</v>
      </c>
      <c r="N2661" s="42">
        <v>50.485425451630491</v>
      </c>
      <c r="O2661" s="43">
        <v>15011.08454830433</v>
      </c>
    </row>
    <row r="2662" spans="12:15" x14ac:dyDescent="0.2">
      <c r="L2662" s="4">
        <v>2656</v>
      </c>
      <c r="M2662" s="21">
        <v>17801.212079846766</v>
      </c>
      <c r="N2662" s="42">
        <v>51.223947608830898</v>
      </c>
      <c r="O2662" s="43">
        <v>13345.315061466878</v>
      </c>
    </row>
    <row r="2663" spans="12:15" x14ac:dyDescent="0.2">
      <c r="L2663" s="4">
        <v>2657</v>
      </c>
      <c r="M2663" s="21">
        <v>153436.78354764878</v>
      </c>
      <c r="N2663" s="42">
        <v>50.993485358727639</v>
      </c>
      <c r="O2663" s="43">
        <v>15579.918890962019</v>
      </c>
    </row>
    <row r="2664" spans="12:15" x14ac:dyDescent="0.2">
      <c r="L2664" s="4">
        <v>2658</v>
      </c>
      <c r="M2664" s="21">
        <v>-173110.29778496799</v>
      </c>
      <c r="N2664" s="42">
        <v>46.277357135124873</v>
      </c>
      <c r="O2664" s="43">
        <v>15792.402029055991</v>
      </c>
    </row>
    <row r="2665" spans="12:15" x14ac:dyDescent="0.2">
      <c r="L2665" s="4">
        <v>2659</v>
      </c>
      <c r="M2665" s="21">
        <v>40516.260300878406</v>
      </c>
      <c r="N2665" s="42">
        <v>50.716265967968909</v>
      </c>
      <c r="O2665" s="43">
        <v>15456.95788663665</v>
      </c>
    </row>
    <row r="2666" spans="12:15" x14ac:dyDescent="0.2">
      <c r="L2666" s="4">
        <v>2660</v>
      </c>
      <c r="M2666" s="21">
        <v>51261.092100478185</v>
      </c>
      <c r="N2666" s="42">
        <v>51.450753029471933</v>
      </c>
      <c r="O2666" s="43">
        <v>14607.834949747568</v>
      </c>
    </row>
    <row r="2667" spans="12:15" x14ac:dyDescent="0.2">
      <c r="L2667" s="4">
        <v>2661</v>
      </c>
      <c r="M2667" s="21">
        <v>-124241.91447711704</v>
      </c>
      <c r="N2667" s="42">
        <v>47.564081016744339</v>
      </c>
      <c r="O2667" s="43">
        <v>15203.715554219092</v>
      </c>
    </row>
    <row r="2668" spans="12:15" x14ac:dyDescent="0.2">
      <c r="L2668" s="4">
        <v>2662</v>
      </c>
      <c r="M2668" s="21">
        <v>27995.9691440975</v>
      </c>
      <c r="N2668" s="42">
        <v>48.639647440207405</v>
      </c>
      <c r="O2668" s="43">
        <v>15597.036117178424</v>
      </c>
    </row>
    <row r="2669" spans="12:15" x14ac:dyDescent="0.2">
      <c r="L2669" s="4">
        <v>2663</v>
      </c>
      <c r="M2669" s="21">
        <v>47078.709169307811</v>
      </c>
      <c r="N2669" s="42">
        <v>50.794957211799456</v>
      </c>
      <c r="O2669" s="43">
        <v>14445.787613924922</v>
      </c>
    </row>
    <row r="2670" spans="12:15" x14ac:dyDescent="0.2">
      <c r="L2670" s="4">
        <v>2664</v>
      </c>
      <c r="M2670" s="21">
        <v>143085.84552590453</v>
      </c>
      <c r="N2670" s="42">
        <v>51.378038248107117</v>
      </c>
      <c r="O2670" s="43">
        <v>14900.408915135231</v>
      </c>
    </row>
    <row r="2671" spans="12:15" x14ac:dyDescent="0.2">
      <c r="L2671" s="4">
        <v>2665</v>
      </c>
      <c r="M2671" s="21">
        <v>-21290.526960451549</v>
      </c>
      <c r="N2671" s="42">
        <v>49.833174285106629</v>
      </c>
      <c r="O2671" s="43">
        <v>15836.054685959662</v>
      </c>
    </row>
    <row r="2672" spans="12:15" x14ac:dyDescent="0.2">
      <c r="L2672" s="4">
        <v>2666</v>
      </c>
      <c r="M2672" s="21">
        <v>-47786.279891221231</v>
      </c>
      <c r="N2672" s="42">
        <v>51.380829847781776</v>
      </c>
      <c r="O2672" s="43">
        <v>13043.18919117656</v>
      </c>
    </row>
    <row r="2673" spans="12:15" x14ac:dyDescent="0.2">
      <c r="L2673" s="4">
        <v>2667</v>
      </c>
      <c r="M2673" s="21">
        <v>-123797.17942772513</v>
      </c>
      <c r="N2673" s="42">
        <v>50.460259728846047</v>
      </c>
      <c r="O2673" s="43">
        <v>13500.38496811384</v>
      </c>
    </row>
    <row r="2674" spans="12:15" x14ac:dyDescent="0.2">
      <c r="L2674" s="4">
        <v>2668</v>
      </c>
      <c r="M2674" s="21">
        <v>-16521.181733650432</v>
      </c>
      <c r="N2674" s="42">
        <v>48.406410576013783</v>
      </c>
      <c r="O2674" s="43">
        <v>18298.923967638679</v>
      </c>
    </row>
    <row r="2675" spans="12:15" x14ac:dyDescent="0.2">
      <c r="L2675" s="4">
        <v>2669</v>
      </c>
      <c r="M2675" s="21">
        <v>144108.82130200585</v>
      </c>
      <c r="N2675" s="42">
        <v>49.051161989453682</v>
      </c>
      <c r="O2675" s="43">
        <v>16342.212559718835</v>
      </c>
    </row>
    <row r="2676" spans="12:15" x14ac:dyDescent="0.2">
      <c r="L2676" s="4">
        <v>2670</v>
      </c>
      <c r="M2676" s="21">
        <v>58723.783732952434</v>
      </c>
      <c r="N2676" s="42">
        <v>49.731493053391375</v>
      </c>
      <c r="O2676" s="43">
        <v>14008.892547519567</v>
      </c>
    </row>
    <row r="2677" spans="12:15" x14ac:dyDescent="0.2">
      <c r="L2677" s="4">
        <v>2671</v>
      </c>
      <c r="M2677" s="21">
        <v>61134.259630010609</v>
      </c>
      <c r="N2677" s="42">
        <v>50.035468994350367</v>
      </c>
      <c r="O2677" s="43">
        <v>16057.22875311564</v>
      </c>
    </row>
    <row r="2678" spans="12:15" x14ac:dyDescent="0.2">
      <c r="L2678" s="4">
        <v>2672</v>
      </c>
      <c r="M2678" s="21">
        <v>-44912.733970805872</v>
      </c>
      <c r="N2678" s="42">
        <v>51.104591946244469</v>
      </c>
      <c r="O2678" s="43">
        <v>12593.898050452262</v>
      </c>
    </row>
    <row r="2679" spans="12:15" x14ac:dyDescent="0.2">
      <c r="L2679" s="4">
        <v>2673</v>
      </c>
      <c r="M2679" s="21">
        <v>65475.636995712412</v>
      </c>
      <c r="N2679" s="42">
        <v>50.690857305499421</v>
      </c>
      <c r="O2679" s="43">
        <v>16032.502841256755</v>
      </c>
    </row>
    <row r="2680" spans="12:15" x14ac:dyDescent="0.2">
      <c r="L2680" s="4">
        <v>2674</v>
      </c>
      <c r="M2680" s="21">
        <v>12293.209946967196</v>
      </c>
      <c r="N2680" s="42">
        <v>47.78500134414098</v>
      </c>
      <c r="O2680" s="43">
        <v>16860.892446701382</v>
      </c>
    </row>
    <row r="2681" spans="12:15" x14ac:dyDescent="0.2">
      <c r="L2681" s="4">
        <v>2675</v>
      </c>
      <c r="M2681" s="21">
        <v>-12542.159402037578</v>
      </c>
      <c r="N2681" s="42">
        <v>48.836400953747535</v>
      </c>
      <c r="O2681" s="43">
        <v>15518.232474725814</v>
      </c>
    </row>
    <row r="2682" spans="12:15" x14ac:dyDescent="0.2">
      <c r="L2682" s="4">
        <v>2676</v>
      </c>
      <c r="M2682" s="21">
        <v>42570.131541810435</v>
      </c>
      <c r="N2682" s="42">
        <v>49.420663724074856</v>
      </c>
      <c r="O2682" s="43">
        <v>15232.674429086355</v>
      </c>
    </row>
    <row r="2683" spans="12:15" x14ac:dyDescent="0.2">
      <c r="L2683" s="4">
        <v>2677</v>
      </c>
      <c r="M2683" s="21">
        <v>-201606.40170978435</v>
      </c>
      <c r="N2683" s="42">
        <v>51.594904959876274</v>
      </c>
      <c r="O2683" s="43">
        <v>12004.1496208301</v>
      </c>
    </row>
    <row r="2684" spans="12:15" x14ac:dyDescent="0.2">
      <c r="L2684" s="4">
        <v>2678</v>
      </c>
      <c r="M2684" s="21">
        <v>138500.01830140938</v>
      </c>
      <c r="N2684" s="42">
        <v>49.216948331285714</v>
      </c>
      <c r="O2684" s="43">
        <v>16381.537204740584</v>
      </c>
    </row>
    <row r="2685" spans="12:15" x14ac:dyDescent="0.2">
      <c r="L2685" s="4">
        <v>2679</v>
      </c>
      <c r="M2685" s="21">
        <v>71210.485925593384</v>
      </c>
      <c r="N2685" s="42">
        <v>50.366558698827504</v>
      </c>
      <c r="O2685" s="43">
        <v>15578.127328211338</v>
      </c>
    </row>
    <row r="2686" spans="12:15" x14ac:dyDescent="0.2">
      <c r="L2686" s="4">
        <v>2680</v>
      </c>
      <c r="M2686" s="21">
        <v>-71289.180229031073</v>
      </c>
      <c r="N2686" s="42">
        <v>47.636053530800083</v>
      </c>
      <c r="O2686" s="43">
        <v>16016.829062911647</v>
      </c>
    </row>
    <row r="2687" spans="12:15" x14ac:dyDescent="0.2">
      <c r="L2687" s="4">
        <v>2681</v>
      </c>
      <c r="M2687" s="21">
        <v>2777.8997761917999</v>
      </c>
      <c r="N2687" s="42">
        <v>51.489810550293242</v>
      </c>
      <c r="O2687" s="43">
        <v>13112.835898825586</v>
      </c>
    </row>
    <row r="2688" spans="12:15" x14ac:dyDescent="0.2">
      <c r="L2688" s="4">
        <v>2682</v>
      </c>
      <c r="M2688" s="21">
        <v>82261.993658732768</v>
      </c>
      <c r="N2688" s="42">
        <v>48.028731527220152</v>
      </c>
      <c r="O2688" s="43">
        <v>17926.697545169736</v>
      </c>
    </row>
    <row r="2689" spans="12:15" x14ac:dyDescent="0.2">
      <c r="L2689" s="4">
        <v>2683</v>
      </c>
      <c r="M2689" s="21">
        <v>-24555.479708307394</v>
      </c>
      <c r="N2689" s="42">
        <v>50.879366410170306</v>
      </c>
      <c r="O2689" s="43">
        <v>13818.613979497293</v>
      </c>
    </row>
    <row r="2690" spans="12:15" x14ac:dyDescent="0.2">
      <c r="L2690" s="4">
        <v>2684</v>
      </c>
      <c r="M2690" s="21">
        <v>-287825.93269155652</v>
      </c>
      <c r="N2690" s="42">
        <v>46.256177299448815</v>
      </c>
      <c r="O2690" s="43">
        <v>15955.084539249014</v>
      </c>
    </row>
    <row r="2691" spans="12:15" x14ac:dyDescent="0.2">
      <c r="L2691" s="4">
        <v>2685</v>
      </c>
      <c r="M2691" s="21">
        <v>-197336.0892432711</v>
      </c>
      <c r="N2691" s="42">
        <v>47.699735103444382</v>
      </c>
      <c r="O2691" s="43">
        <v>13644.541583665359</v>
      </c>
    </row>
    <row r="2692" spans="12:15" x14ac:dyDescent="0.2">
      <c r="L2692" s="4">
        <v>2686</v>
      </c>
      <c r="M2692" s="21">
        <v>-9114.5416924113233</v>
      </c>
      <c r="N2692" s="42">
        <v>51.306245085757652</v>
      </c>
      <c r="O2692" s="43">
        <v>13409.114616365956</v>
      </c>
    </row>
    <row r="2693" spans="12:15" x14ac:dyDescent="0.2">
      <c r="L2693" s="4">
        <v>2687</v>
      </c>
      <c r="M2693" s="21">
        <v>-155963.45469195227</v>
      </c>
      <c r="N2693" s="42">
        <v>47.512975004567117</v>
      </c>
      <c r="O2693" s="43">
        <v>15527.167393661915</v>
      </c>
    </row>
    <row r="2694" spans="12:15" x14ac:dyDescent="0.2">
      <c r="L2694" s="4">
        <v>2688</v>
      </c>
      <c r="M2694" s="21">
        <v>241878.05621401625</v>
      </c>
      <c r="N2694" s="42">
        <v>50.118295389560991</v>
      </c>
      <c r="O2694" s="43">
        <v>16617.8979681768</v>
      </c>
    </row>
    <row r="2695" spans="12:15" x14ac:dyDescent="0.2">
      <c r="L2695" s="4">
        <v>2689</v>
      </c>
      <c r="M2695" s="21">
        <v>-94418.78116285021</v>
      </c>
      <c r="N2695" s="42">
        <v>48.690419819474165</v>
      </c>
      <c r="O2695" s="43">
        <v>17088.54485389909</v>
      </c>
    </row>
    <row r="2696" spans="12:15" x14ac:dyDescent="0.2">
      <c r="L2696" s="4">
        <v>2690</v>
      </c>
      <c r="M2696" s="21">
        <v>170270.43689569106</v>
      </c>
      <c r="N2696" s="42">
        <v>49.68708551926035</v>
      </c>
      <c r="O2696" s="43">
        <v>16116.200758928004</v>
      </c>
    </row>
    <row r="2697" spans="12:15" x14ac:dyDescent="0.2">
      <c r="L2697" s="4">
        <v>2691</v>
      </c>
      <c r="M2697" s="21">
        <v>-127646.99951598236</v>
      </c>
      <c r="N2697" s="42">
        <v>49.159779987454456</v>
      </c>
      <c r="O2697" s="43">
        <v>13075.799185309246</v>
      </c>
    </row>
    <row r="2698" spans="12:15" x14ac:dyDescent="0.2">
      <c r="L2698" s="4">
        <v>2692</v>
      </c>
      <c r="M2698" s="21">
        <v>9990.4495213700575</v>
      </c>
      <c r="N2698" s="42">
        <v>49.536010160377884</v>
      </c>
      <c r="O2698" s="43">
        <v>15502.473354753391</v>
      </c>
    </row>
    <row r="2699" spans="12:15" x14ac:dyDescent="0.2">
      <c r="L2699" s="4">
        <v>2693</v>
      </c>
      <c r="M2699" s="21">
        <v>-216223.092418694</v>
      </c>
      <c r="N2699" s="42">
        <v>48.120479504264672</v>
      </c>
      <c r="O2699" s="43">
        <v>15202.492909552355</v>
      </c>
    </row>
    <row r="2700" spans="12:15" x14ac:dyDescent="0.2">
      <c r="L2700" s="4">
        <v>2694</v>
      </c>
      <c r="M2700" s="21">
        <v>129978.02404820168</v>
      </c>
      <c r="N2700" s="42">
        <v>51.074665179655781</v>
      </c>
      <c r="O2700" s="43">
        <v>14536.31566052672</v>
      </c>
    </row>
    <row r="2701" spans="12:15" x14ac:dyDescent="0.2">
      <c r="L2701" s="4">
        <v>2695</v>
      </c>
      <c r="M2701" s="21">
        <v>97110.847490739485</v>
      </c>
      <c r="N2701" s="42">
        <v>49.758542357538687</v>
      </c>
      <c r="O2701" s="43">
        <v>14432.311751597392</v>
      </c>
    </row>
    <row r="2702" spans="12:15" x14ac:dyDescent="0.2">
      <c r="L2702" s="4">
        <v>2696</v>
      </c>
      <c r="M2702" s="21">
        <v>-129374.29701370028</v>
      </c>
      <c r="N2702" s="42">
        <v>48.930967772359899</v>
      </c>
      <c r="O2702" s="43">
        <v>13642.546335491703</v>
      </c>
    </row>
    <row r="2703" spans="12:15" x14ac:dyDescent="0.2">
      <c r="L2703" s="4">
        <v>2697</v>
      </c>
      <c r="M2703" s="21">
        <v>-77161.457917780135</v>
      </c>
      <c r="N2703" s="42">
        <v>50.858241221464191</v>
      </c>
      <c r="O2703" s="43">
        <v>12598.752821026412</v>
      </c>
    </row>
    <row r="2704" spans="12:15" x14ac:dyDescent="0.2">
      <c r="L2704" s="4">
        <v>2698</v>
      </c>
      <c r="M2704" s="21">
        <v>308012.73465399491</v>
      </c>
      <c r="N2704" s="42">
        <v>50.229731105018885</v>
      </c>
      <c r="O2704" s="43">
        <v>16998.441210026562</v>
      </c>
    </row>
    <row r="2705" spans="12:15" x14ac:dyDescent="0.2">
      <c r="L2705" s="4">
        <v>2699</v>
      </c>
      <c r="M2705" s="21">
        <v>157755.1602080389</v>
      </c>
      <c r="N2705" s="42">
        <v>48.054773646281134</v>
      </c>
      <c r="O2705" s="43">
        <v>18056.604699165786</v>
      </c>
    </row>
    <row r="2706" spans="12:15" x14ac:dyDescent="0.2">
      <c r="L2706" s="4">
        <v>2700</v>
      </c>
      <c r="M2706" s="21">
        <v>-79927.41784041436</v>
      </c>
      <c r="N2706" s="42">
        <v>50.693936588629356</v>
      </c>
      <c r="O2706" s="43">
        <v>13554.394781758283</v>
      </c>
    </row>
    <row r="2707" spans="12:15" x14ac:dyDescent="0.2">
      <c r="L2707" s="4">
        <v>2701</v>
      </c>
      <c r="M2707" s="21">
        <v>21227.674102534278</v>
      </c>
      <c r="N2707" s="42">
        <v>48.147365866759984</v>
      </c>
      <c r="O2707" s="43">
        <v>16362.195254980727</v>
      </c>
    </row>
    <row r="2708" spans="12:15" x14ac:dyDescent="0.2">
      <c r="L2708" s="4">
        <v>2702</v>
      </c>
      <c r="M2708" s="21">
        <v>71492.713914933556</v>
      </c>
      <c r="N2708" s="42">
        <v>47.863381112775549</v>
      </c>
      <c r="O2708" s="43">
        <v>16253.63423475681</v>
      </c>
    </row>
    <row r="2709" spans="12:15" x14ac:dyDescent="0.2">
      <c r="L2709" s="4">
        <v>2703</v>
      </c>
      <c r="M2709" s="21">
        <v>-68396.203068073606</v>
      </c>
      <c r="N2709" s="42">
        <v>47.595856886640391</v>
      </c>
      <c r="O2709" s="43">
        <v>14869.372760348562</v>
      </c>
    </row>
    <row r="2710" spans="12:15" x14ac:dyDescent="0.2">
      <c r="L2710" s="4">
        <v>2704</v>
      </c>
      <c r="M2710" s="21">
        <v>37655.756132913171</v>
      </c>
      <c r="N2710" s="42">
        <v>47.747452350525293</v>
      </c>
      <c r="O2710" s="43">
        <v>15255.919643160794</v>
      </c>
    </row>
    <row r="2711" spans="12:15" x14ac:dyDescent="0.2">
      <c r="L2711" s="4">
        <v>2705</v>
      </c>
      <c r="M2711" s="21">
        <v>63372.541253183183</v>
      </c>
      <c r="N2711" s="42">
        <v>50.916454475154922</v>
      </c>
      <c r="O2711" s="43">
        <v>14963.68778185773</v>
      </c>
    </row>
    <row r="2712" spans="12:15" x14ac:dyDescent="0.2">
      <c r="L2712" s="4">
        <v>2706</v>
      </c>
      <c r="M2712" s="21">
        <v>-163517.13703678461</v>
      </c>
      <c r="N2712" s="42">
        <v>47.614136608410945</v>
      </c>
      <c r="O2712" s="43">
        <v>15709.981595414758</v>
      </c>
    </row>
    <row r="2713" spans="12:15" x14ac:dyDescent="0.2">
      <c r="L2713" s="4">
        <v>2707</v>
      </c>
      <c r="M2713" s="21">
        <v>-28295.544421429833</v>
      </c>
      <c r="N2713" s="42">
        <v>51.257412284749009</v>
      </c>
      <c r="O2713" s="43">
        <v>13544.163366870158</v>
      </c>
    </row>
    <row r="2714" spans="12:15" x14ac:dyDescent="0.2">
      <c r="L2714" s="4">
        <v>2708</v>
      </c>
      <c r="M2714" s="21">
        <v>44126.218287909258</v>
      </c>
      <c r="N2714" s="42">
        <v>51.353936607573168</v>
      </c>
      <c r="O2714" s="43">
        <v>14731.637915314894</v>
      </c>
    </row>
    <row r="2715" spans="12:15" x14ac:dyDescent="0.2">
      <c r="L2715" s="4">
        <v>2709</v>
      </c>
      <c r="M2715" s="21">
        <v>-92894.902544929064</v>
      </c>
      <c r="N2715" s="42">
        <v>50.597515603044208</v>
      </c>
      <c r="O2715" s="43">
        <v>14267.514622408797</v>
      </c>
    </row>
    <row r="2716" spans="12:15" x14ac:dyDescent="0.2">
      <c r="L2716" s="4">
        <v>2710</v>
      </c>
      <c r="M2716" s="21">
        <v>-12799.752562063601</v>
      </c>
      <c r="N2716" s="42">
        <v>47.527732071253382</v>
      </c>
      <c r="O2716" s="43">
        <v>17473.160239154993</v>
      </c>
    </row>
    <row r="2717" spans="12:15" x14ac:dyDescent="0.2">
      <c r="L2717" s="4">
        <v>2711</v>
      </c>
      <c r="M2717" s="21">
        <v>-88343.338984080372</v>
      </c>
      <c r="N2717" s="42">
        <v>48.958706259482469</v>
      </c>
      <c r="O2717" s="43">
        <v>13893.685353640583</v>
      </c>
    </row>
    <row r="2718" spans="12:15" x14ac:dyDescent="0.2">
      <c r="L2718" s="4">
        <v>2712</v>
      </c>
      <c r="M2718" s="21">
        <v>185196.27505319816</v>
      </c>
      <c r="N2718" s="42">
        <v>51.081008351826725</v>
      </c>
      <c r="O2718" s="43">
        <v>14706.421661011402</v>
      </c>
    </row>
    <row r="2719" spans="12:15" x14ac:dyDescent="0.2">
      <c r="L2719" s="4">
        <v>2713</v>
      </c>
      <c r="M2719" s="21">
        <v>95128.710047699016</v>
      </c>
      <c r="N2719" s="42">
        <v>48.752312373163434</v>
      </c>
      <c r="O2719" s="43">
        <v>16364.287292360019</v>
      </c>
    </row>
    <row r="2720" spans="12:15" x14ac:dyDescent="0.2">
      <c r="L2720" s="4">
        <v>2714</v>
      </c>
      <c r="M2720" s="21">
        <v>-121009.22721961068</v>
      </c>
      <c r="N2720" s="42">
        <v>46.824009170123446</v>
      </c>
      <c r="O2720" s="43">
        <v>18048.649004464649</v>
      </c>
    </row>
    <row r="2721" spans="12:15" x14ac:dyDescent="0.2">
      <c r="L2721" s="4">
        <v>2715</v>
      </c>
      <c r="M2721" s="21">
        <v>-80462.703170003908</v>
      </c>
      <c r="N2721" s="42">
        <v>48.629862953292438</v>
      </c>
      <c r="O2721" s="43">
        <v>14720.824871957111</v>
      </c>
    </row>
    <row r="2722" spans="12:15" x14ac:dyDescent="0.2">
      <c r="L2722" s="4">
        <v>2716</v>
      </c>
      <c r="M2722" s="21">
        <v>-123238.38901558955</v>
      </c>
      <c r="N2722" s="42">
        <v>50.213841365299281</v>
      </c>
      <c r="O2722" s="43">
        <v>13508.389319275708</v>
      </c>
    </row>
    <row r="2723" spans="12:15" x14ac:dyDescent="0.2">
      <c r="L2723" s="4">
        <v>2717</v>
      </c>
      <c r="M2723" s="21">
        <v>-220175.8951420965</v>
      </c>
      <c r="N2723" s="42">
        <v>47.397813546749987</v>
      </c>
      <c r="O2723" s="43">
        <v>14055.75108707783</v>
      </c>
    </row>
    <row r="2724" spans="12:15" x14ac:dyDescent="0.2">
      <c r="L2724" s="4">
        <v>2718</v>
      </c>
      <c r="M2724" s="21">
        <v>-17069.180394033756</v>
      </c>
      <c r="N2724" s="42">
        <v>47.800288946760837</v>
      </c>
      <c r="O2724" s="43">
        <v>17496.968935628036</v>
      </c>
    </row>
    <row r="2725" spans="12:15" x14ac:dyDescent="0.2">
      <c r="L2725" s="4">
        <v>2719</v>
      </c>
      <c r="M2725" s="21">
        <v>190130.12346764631</v>
      </c>
      <c r="N2725" s="42">
        <v>50.746695387064193</v>
      </c>
      <c r="O2725" s="43">
        <v>15133.151067073597</v>
      </c>
    </row>
    <row r="2726" spans="12:15" x14ac:dyDescent="0.2">
      <c r="L2726" s="4">
        <v>2720</v>
      </c>
      <c r="M2726" s="21">
        <v>133439.05414334612</v>
      </c>
      <c r="N2726" s="42">
        <v>50.708702819887272</v>
      </c>
      <c r="O2726" s="43">
        <v>15277.64282212911</v>
      </c>
    </row>
    <row r="2727" spans="12:15" x14ac:dyDescent="0.2">
      <c r="L2727" s="4">
        <v>2721</v>
      </c>
      <c r="M2727" s="21">
        <v>343320.55535358144</v>
      </c>
      <c r="N2727" s="42">
        <v>50.163059488782558</v>
      </c>
      <c r="O2727" s="43">
        <v>17350.145489377825</v>
      </c>
    </row>
    <row r="2728" spans="12:15" x14ac:dyDescent="0.2">
      <c r="L2728" s="4">
        <v>2722</v>
      </c>
      <c r="M2728" s="21">
        <v>6687.9781825876853</v>
      </c>
      <c r="N2728" s="42">
        <v>51.510202333688014</v>
      </c>
      <c r="O2728" s="43">
        <v>14039.26575368151</v>
      </c>
    </row>
    <row r="2729" spans="12:15" x14ac:dyDescent="0.2">
      <c r="L2729" s="4">
        <v>2723</v>
      </c>
      <c r="M2729" s="21">
        <v>-119902.10933476311</v>
      </c>
      <c r="N2729" s="42">
        <v>51.27115057083163</v>
      </c>
      <c r="O2729" s="43">
        <v>12883.885215226048</v>
      </c>
    </row>
    <row r="2730" spans="12:15" x14ac:dyDescent="0.2">
      <c r="L2730" s="4">
        <v>2724</v>
      </c>
      <c r="M2730" s="21">
        <v>-94603.005731289639</v>
      </c>
      <c r="N2730" s="42">
        <v>51.17810162170364</v>
      </c>
      <c r="O2730" s="43">
        <v>12906.895762509208</v>
      </c>
    </row>
    <row r="2731" spans="12:15" x14ac:dyDescent="0.2">
      <c r="L2731" s="4">
        <v>2725</v>
      </c>
      <c r="M2731" s="21">
        <v>5891.9616096047685</v>
      </c>
      <c r="N2731" s="42">
        <v>50.839939183917899</v>
      </c>
      <c r="O2731" s="43">
        <v>13989.744766419193</v>
      </c>
    </row>
    <row r="2732" spans="12:15" x14ac:dyDescent="0.2">
      <c r="L2732" s="4">
        <v>2726</v>
      </c>
      <c r="M2732" s="21">
        <v>-150843.72647537221</v>
      </c>
      <c r="N2732" s="42">
        <v>50.500570822706472</v>
      </c>
      <c r="O2732" s="43">
        <v>11851.766674311912</v>
      </c>
    </row>
    <row r="2733" spans="12:15" x14ac:dyDescent="0.2">
      <c r="L2733" s="4">
        <v>2727</v>
      </c>
      <c r="M2733" s="21">
        <v>53073.775613970705</v>
      </c>
      <c r="N2733" s="42">
        <v>48.956410843098453</v>
      </c>
      <c r="O2733" s="43">
        <v>16021.549595624558</v>
      </c>
    </row>
    <row r="2734" spans="12:15" x14ac:dyDescent="0.2">
      <c r="L2734" s="4">
        <v>2728</v>
      </c>
      <c r="M2734" s="21">
        <v>65852.068257101986</v>
      </c>
      <c r="N2734" s="42">
        <v>49.02700749325026</v>
      </c>
      <c r="O2734" s="43">
        <v>15426.637624356945</v>
      </c>
    </row>
    <row r="2735" spans="12:15" x14ac:dyDescent="0.2">
      <c r="L2735" s="4">
        <v>2729</v>
      </c>
      <c r="M2735" s="21">
        <v>4201.5953496283328</v>
      </c>
      <c r="N2735" s="42">
        <v>49.852900054527993</v>
      </c>
      <c r="O2735" s="43">
        <v>16699.303027360798</v>
      </c>
    </row>
    <row r="2736" spans="12:15" x14ac:dyDescent="0.2">
      <c r="L2736" s="4">
        <v>2730</v>
      </c>
      <c r="M2736" s="21">
        <v>-7756.1398837073357</v>
      </c>
      <c r="N2736" s="42">
        <v>49.887709409048426</v>
      </c>
      <c r="O2736" s="43">
        <v>14061.536211756729</v>
      </c>
    </row>
    <row r="2737" spans="12:15" x14ac:dyDescent="0.2">
      <c r="L2737" s="4">
        <v>2731</v>
      </c>
      <c r="M2737" s="21">
        <v>-72059.141401198431</v>
      </c>
      <c r="N2737" s="42">
        <v>49.365532745253162</v>
      </c>
      <c r="O2737" s="43">
        <v>12857.812647766426</v>
      </c>
    </row>
    <row r="2738" spans="12:15" x14ac:dyDescent="0.2">
      <c r="L2738" s="4">
        <v>2732</v>
      </c>
      <c r="M2738" s="21">
        <v>-139512.47171277751</v>
      </c>
      <c r="N2738" s="42">
        <v>48.393880321282637</v>
      </c>
      <c r="O2738" s="43">
        <v>14442.622306479556</v>
      </c>
    </row>
    <row r="2739" spans="12:15" x14ac:dyDescent="0.2">
      <c r="L2739" s="4">
        <v>2733</v>
      </c>
      <c r="M2739" s="21">
        <v>130594.81317242302</v>
      </c>
      <c r="N2739" s="42">
        <v>49.870275089637481</v>
      </c>
      <c r="O2739" s="43">
        <v>17460.575611932036</v>
      </c>
    </row>
    <row r="2740" spans="12:15" x14ac:dyDescent="0.2">
      <c r="L2740" s="4">
        <v>2734</v>
      </c>
      <c r="M2740" s="21">
        <v>-146460.39740023069</v>
      </c>
      <c r="N2740" s="42">
        <v>50.782594788626348</v>
      </c>
      <c r="O2740" s="43">
        <v>12340.669907736357</v>
      </c>
    </row>
    <row r="2741" spans="12:15" x14ac:dyDescent="0.2">
      <c r="L2741" s="4">
        <v>2735</v>
      </c>
      <c r="M2741" s="21">
        <v>61754.185420576774</v>
      </c>
      <c r="N2741" s="42">
        <v>49.670708661998141</v>
      </c>
      <c r="O2741" s="43">
        <v>15597.579560839991</v>
      </c>
    </row>
    <row r="2742" spans="12:15" x14ac:dyDescent="0.2">
      <c r="L2742" s="4">
        <v>2736</v>
      </c>
      <c r="M2742" s="21">
        <v>68740.710420522082</v>
      </c>
      <c r="N2742" s="42">
        <v>49.349128336822268</v>
      </c>
      <c r="O2742" s="43">
        <v>16768.520279616874</v>
      </c>
    </row>
    <row r="2743" spans="12:15" x14ac:dyDescent="0.2">
      <c r="L2743" s="4">
        <v>2737</v>
      </c>
      <c r="M2743" s="21">
        <v>230426.43058557287</v>
      </c>
      <c r="N2743" s="42">
        <v>48.861085799543893</v>
      </c>
      <c r="O2743" s="43">
        <v>16076.225432145311</v>
      </c>
    </row>
    <row r="2744" spans="12:15" x14ac:dyDescent="0.2">
      <c r="L2744" s="4">
        <v>2738</v>
      </c>
      <c r="M2744" s="21">
        <v>-11938.707155117008</v>
      </c>
      <c r="N2744" s="42">
        <v>47.056606615029366</v>
      </c>
      <c r="O2744" s="43">
        <v>14677.814432937423</v>
      </c>
    </row>
    <row r="2745" spans="12:15" x14ac:dyDescent="0.2">
      <c r="L2745" s="4">
        <v>2739</v>
      </c>
      <c r="M2745" s="21">
        <v>-151212.797159854</v>
      </c>
      <c r="N2745" s="42">
        <v>48.430532563778456</v>
      </c>
      <c r="O2745" s="43">
        <v>13587.598892633172</v>
      </c>
    </row>
    <row r="2746" spans="12:15" x14ac:dyDescent="0.2">
      <c r="L2746" s="4">
        <v>2740</v>
      </c>
      <c r="M2746" s="21">
        <v>-13912.54287512516</v>
      </c>
      <c r="N2746" s="42">
        <v>51.407865186724848</v>
      </c>
      <c r="O2746" s="43">
        <v>14225.551706732498</v>
      </c>
    </row>
    <row r="2747" spans="12:15" x14ac:dyDescent="0.2">
      <c r="L2747" s="4">
        <v>2741</v>
      </c>
      <c r="M2747" s="21">
        <v>226120.60249274093</v>
      </c>
      <c r="N2747" s="42">
        <v>50.437551924446659</v>
      </c>
      <c r="O2747" s="43">
        <v>16270.5762006964</v>
      </c>
    </row>
    <row r="2748" spans="12:15" x14ac:dyDescent="0.2">
      <c r="L2748" s="4">
        <v>2742</v>
      </c>
      <c r="M2748" s="21">
        <v>72052.337292565091</v>
      </c>
      <c r="N2748" s="42">
        <v>48.763974686280221</v>
      </c>
      <c r="O2748" s="43">
        <v>18428.547821937704</v>
      </c>
    </row>
    <row r="2749" spans="12:15" x14ac:dyDescent="0.2">
      <c r="L2749" s="4">
        <v>2743</v>
      </c>
      <c r="M2749" s="21">
        <v>48166.046088844218</v>
      </c>
      <c r="N2749" s="42">
        <v>50.693317717465291</v>
      </c>
      <c r="O2749" s="43">
        <v>13074.945609096811</v>
      </c>
    </row>
    <row r="2750" spans="12:15" x14ac:dyDescent="0.2">
      <c r="L2750" s="4">
        <v>2744</v>
      </c>
      <c r="M2750" s="21">
        <v>88095.353729554103</v>
      </c>
      <c r="N2750" s="42">
        <v>51.128001816447849</v>
      </c>
      <c r="O2750" s="43">
        <v>14817.948031352849</v>
      </c>
    </row>
    <row r="2751" spans="12:15" x14ac:dyDescent="0.2">
      <c r="L2751" s="4">
        <v>2745</v>
      </c>
      <c r="M2751" s="21">
        <v>189925.62885862612</v>
      </c>
      <c r="N2751" s="42">
        <v>49.729463161286525</v>
      </c>
      <c r="O2751" s="43">
        <v>16075.848164185751</v>
      </c>
    </row>
    <row r="2752" spans="12:15" x14ac:dyDescent="0.2">
      <c r="L2752" s="4">
        <v>2746</v>
      </c>
      <c r="M2752" s="21">
        <v>-47206.477630323512</v>
      </c>
      <c r="N2752" s="42">
        <v>50.158749768062144</v>
      </c>
      <c r="O2752" s="43">
        <v>14335.454738008366</v>
      </c>
    </row>
    <row r="2753" spans="12:15" x14ac:dyDescent="0.2">
      <c r="L2753" s="4">
        <v>2747</v>
      </c>
      <c r="M2753" s="21">
        <v>-111875.42412318035</v>
      </c>
      <c r="N2753" s="42">
        <v>49.533726530591842</v>
      </c>
      <c r="O2753" s="43">
        <v>12913.053362865636</v>
      </c>
    </row>
    <row r="2754" spans="12:15" x14ac:dyDescent="0.2">
      <c r="L2754" s="4">
        <v>2748</v>
      </c>
      <c r="M2754" s="21">
        <v>51334.90665679134</v>
      </c>
      <c r="N2754" s="42">
        <v>51.50219837492218</v>
      </c>
      <c r="O2754" s="43">
        <v>14659.465744847223</v>
      </c>
    </row>
    <row r="2755" spans="12:15" x14ac:dyDescent="0.2">
      <c r="L2755" s="4">
        <v>2749</v>
      </c>
      <c r="M2755" s="21">
        <v>135939.85995172663</v>
      </c>
      <c r="N2755" s="42">
        <v>49.162116761433452</v>
      </c>
      <c r="O2755" s="43">
        <v>17187.979696089766</v>
      </c>
    </row>
    <row r="2756" spans="12:15" x14ac:dyDescent="0.2">
      <c r="L2756" s="4">
        <v>2750</v>
      </c>
      <c r="M2756" s="21">
        <v>65365.337393739261</v>
      </c>
      <c r="N2756" s="42">
        <v>48.796129782821332</v>
      </c>
      <c r="O2756" s="43">
        <v>17184.834156403296</v>
      </c>
    </row>
    <row r="2757" spans="12:15" x14ac:dyDescent="0.2">
      <c r="L2757" s="4">
        <v>2751</v>
      </c>
      <c r="M2757" s="21">
        <v>4861.2075074330787</v>
      </c>
      <c r="N2757" s="42">
        <v>49.879063909721005</v>
      </c>
      <c r="O2757" s="43">
        <v>14348.519326432783</v>
      </c>
    </row>
    <row r="2758" spans="12:15" x14ac:dyDescent="0.2">
      <c r="L2758" s="4">
        <v>2752</v>
      </c>
      <c r="M2758" s="21">
        <v>-245674.01563874874</v>
      </c>
      <c r="N2758" s="42">
        <v>49.395783641727192</v>
      </c>
      <c r="O2758" s="43">
        <v>13350.998809685581</v>
      </c>
    </row>
    <row r="2759" spans="12:15" x14ac:dyDescent="0.2">
      <c r="L2759" s="4">
        <v>2753</v>
      </c>
      <c r="M2759" s="21">
        <v>17321.300276095688</v>
      </c>
      <c r="N2759" s="42">
        <v>49.397430718746392</v>
      </c>
      <c r="O2759" s="43">
        <v>14380.906352156147</v>
      </c>
    </row>
    <row r="2760" spans="12:15" x14ac:dyDescent="0.2">
      <c r="L2760" s="4">
        <v>2754</v>
      </c>
      <c r="M2760" s="21">
        <v>20463.328057922947</v>
      </c>
      <c r="N2760" s="42">
        <v>47.530988598021708</v>
      </c>
      <c r="O2760" s="43">
        <v>17902.871556457485</v>
      </c>
    </row>
    <row r="2761" spans="12:15" x14ac:dyDescent="0.2">
      <c r="L2761" s="4">
        <v>2755</v>
      </c>
      <c r="M2761" s="21">
        <v>-184537.66899611964</v>
      </c>
      <c r="N2761" s="42">
        <v>46.49621651196253</v>
      </c>
      <c r="O2761" s="43">
        <v>14730.948464506446</v>
      </c>
    </row>
    <row r="2762" spans="12:15" x14ac:dyDescent="0.2">
      <c r="L2762" s="4">
        <v>2756</v>
      </c>
      <c r="M2762" s="21">
        <v>-1605.4869852996198</v>
      </c>
      <c r="N2762" s="42">
        <v>49.258646670817193</v>
      </c>
      <c r="O2762" s="43">
        <v>15023.638838273573</v>
      </c>
    </row>
    <row r="2763" spans="12:15" x14ac:dyDescent="0.2">
      <c r="L2763" s="4">
        <v>2757</v>
      </c>
      <c r="M2763" s="21">
        <v>106867.74269909723</v>
      </c>
      <c r="N2763" s="42">
        <v>48.223311741785999</v>
      </c>
      <c r="O2763" s="43">
        <v>17504.20864823462</v>
      </c>
    </row>
    <row r="2764" spans="12:15" x14ac:dyDescent="0.2">
      <c r="L2764" s="4">
        <v>2758</v>
      </c>
      <c r="M2764" s="21">
        <v>-159782.88367951295</v>
      </c>
      <c r="N2764" s="42">
        <v>49.985163032673881</v>
      </c>
      <c r="O2764" s="43">
        <v>13998.296268904671</v>
      </c>
    </row>
    <row r="2765" spans="12:15" x14ac:dyDescent="0.2">
      <c r="L2765" s="4">
        <v>2759</v>
      </c>
      <c r="M2765" s="21">
        <v>67844.425705623667</v>
      </c>
      <c r="N2765" s="42">
        <v>46.477656268591083</v>
      </c>
      <c r="O2765" s="43">
        <v>16009.885005317754</v>
      </c>
    </row>
    <row r="2766" spans="12:15" x14ac:dyDescent="0.2">
      <c r="L2766" s="4">
        <v>2760</v>
      </c>
      <c r="M2766" s="21">
        <v>204676.87054375192</v>
      </c>
      <c r="N2766" s="42">
        <v>49.722974714000074</v>
      </c>
      <c r="O2766" s="43">
        <v>15894.316698936216</v>
      </c>
    </row>
    <row r="2767" spans="12:15" x14ac:dyDescent="0.2">
      <c r="L2767" s="4">
        <v>2761</v>
      </c>
      <c r="M2767" s="21">
        <v>-93960.057539604677</v>
      </c>
      <c r="N2767" s="42">
        <v>46.607302462186446</v>
      </c>
      <c r="O2767" s="43">
        <v>16492.081350282988</v>
      </c>
    </row>
    <row r="2768" spans="12:15" x14ac:dyDescent="0.2">
      <c r="L2768" s="4">
        <v>2762</v>
      </c>
      <c r="M2768" s="21">
        <v>3855.2974938231637</v>
      </c>
      <c r="N2768" s="42">
        <v>50.809758969590092</v>
      </c>
      <c r="O2768" s="43">
        <v>14889.77103346042</v>
      </c>
    </row>
    <row r="2769" spans="12:15" x14ac:dyDescent="0.2">
      <c r="L2769" s="4">
        <v>2763</v>
      </c>
      <c r="M2769" s="21">
        <v>8828.522366774996</v>
      </c>
      <c r="N2769" s="42">
        <v>51.020880542534684</v>
      </c>
      <c r="O2769" s="43">
        <v>13296.972845414344</v>
      </c>
    </row>
    <row r="2770" spans="12:15" x14ac:dyDescent="0.2">
      <c r="L2770" s="4">
        <v>2764</v>
      </c>
      <c r="M2770" s="21">
        <v>-23197.631973756768</v>
      </c>
      <c r="N2770" s="42">
        <v>49.624291074536643</v>
      </c>
      <c r="O2770" s="43">
        <v>15607.220561490889</v>
      </c>
    </row>
    <row r="2771" spans="12:15" x14ac:dyDescent="0.2">
      <c r="L2771" s="4">
        <v>2765</v>
      </c>
      <c r="M2771" s="21">
        <v>14814.406113224715</v>
      </c>
      <c r="N2771" s="42">
        <v>47.589296353239845</v>
      </c>
      <c r="O2771" s="43">
        <v>16459.4696742409</v>
      </c>
    </row>
    <row r="2772" spans="12:15" x14ac:dyDescent="0.2">
      <c r="L2772" s="4">
        <v>2766</v>
      </c>
      <c r="M2772" s="21">
        <v>134565.17631653722</v>
      </c>
      <c r="N2772" s="42">
        <v>49.62711600445428</v>
      </c>
      <c r="O2772" s="43">
        <v>15013.129977463683</v>
      </c>
    </row>
    <row r="2773" spans="12:15" x14ac:dyDescent="0.2">
      <c r="L2773" s="4">
        <v>2767</v>
      </c>
      <c r="M2773" s="21">
        <v>-20492.044457414202</v>
      </c>
      <c r="N2773" s="42">
        <v>50.617609950824558</v>
      </c>
      <c r="O2773" s="43">
        <v>14715.945367001694</v>
      </c>
    </row>
    <row r="2774" spans="12:15" x14ac:dyDescent="0.2">
      <c r="L2774" s="4">
        <v>2768</v>
      </c>
      <c r="M2774" s="21">
        <v>-240202.04995679916</v>
      </c>
      <c r="N2774" s="42">
        <v>49.046195226533698</v>
      </c>
      <c r="O2774" s="43">
        <v>13310.095854954716</v>
      </c>
    </row>
    <row r="2775" spans="12:15" x14ac:dyDescent="0.2">
      <c r="L2775" s="4">
        <v>2769</v>
      </c>
      <c r="M2775" s="21">
        <v>-58188.068439348674</v>
      </c>
      <c r="N2775" s="42">
        <v>51.041562625307982</v>
      </c>
      <c r="O2775" s="43">
        <v>13689.257876183014</v>
      </c>
    </row>
    <row r="2776" spans="12:15" x14ac:dyDescent="0.2">
      <c r="L2776" s="4">
        <v>2770</v>
      </c>
      <c r="M2776" s="21">
        <v>-38255.743062617621</v>
      </c>
      <c r="N2776" s="42">
        <v>49.698725637810981</v>
      </c>
      <c r="O2776" s="43">
        <v>13966.646119126841</v>
      </c>
    </row>
    <row r="2777" spans="12:15" x14ac:dyDescent="0.2">
      <c r="L2777" s="4">
        <v>2771</v>
      </c>
      <c r="M2777" s="21">
        <v>-165844.9219013713</v>
      </c>
      <c r="N2777" s="42">
        <v>48.557371484227524</v>
      </c>
      <c r="O2777" s="43">
        <v>13408.010833172984</v>
      </c>
    </row>
    <row r="2778" spans="12:15" x14ac:dyDescent="0.2">
      <c r="L2778" s="4">
        <v>2772</v>
      </c>
      <c r="M2778" s="21">
        <v>-6673.2746742581221</v>
      </c>
      <c r="N2778" s="42">
        <v>50.317721769898114</v>
      </c>
      <c r="O2778" s="43">
        <v>15535.725853388003</v>
      </c>
    </row>
    <row r="2779" spans="12:15" x14ac:dyDescent="0.2">
      <c r="L2779" s="4">
        <v>2773</v>
      </c>
      <c r="M2779" s="21">
        <v>-187231.43972333911</v>
      </c>
      <c r="N2779" s="42">
        <v>49.220187988889336</v>
      </c>
      <c r="O2779" s="43">
        <v>12576.429325356617</v>
      </c>
    </row>
    <row r="2780" spans="12:15" x14ac:dyDescent="0.2">
      <c r="L2780" s="4">
        <v>2774</v>
      </c>
      <c r="M2780" s="21">
        <v>-93974.425789129091</v>
      </c>
      <c r="N2780" s="42">
        <v>50.180018166453848</v>
      </c>
      <c r="O2780" s="43">
        <v>13771.601248846782</v>
      </c>
    </row>
    <row r="2781" spans="12:15" x14ac:dyDescent="0.2">
      <c r="L2781" s="4">
        <v>2775</v>
      </c>
      <c r="M2781" s="21">
        <v>-89980.277112760028</v>
      </c>
      <c r="N2781" s="42">
        <v>48.414784580291418</v>
      </c>
      <c r="O2781" s="43">
        <v>14381.555253199931</v>
      </c>
    </row>
    <row r="2782" spans="12:15" x14ac:dyDescent="0.2">
      <c r="L2782" s="4">
        <v>2776</v>
      </c>
      <c r="M2782" s="21">
        <v>43449.540206193575</v>
      </c>
      <c r="N2782" s="42">
        <v>50.854821568690213</v>
      </c>
      <c r="O2782" s="43">
        <v>14720.332968217164</v>
      </c>
    </row>
    <row r="2783" spans="12:15" x14ac:dyDescent="0.2">
      <c r="L2783" s="4">
        <v>2777</v>
      </c>
      <c r="M2783" s="21">
        <v>-124285.92472766033</v>
      </c>
      <c r="N2783" s="42">
        <v>47.732627921621443</v>
      </c>
      <c r="O2783" s="43">
        <v>14875.019790661945</v>
      </c>
    </row>
    <row r="2784" spans="12:15" x14ac:dyDescent="0.2">
      <c r="L2784" s="4">
        <v>2778</v>
      </c>
      <c r="M2784" s="21">
        <v>-27124.509202442394</v>
      </c>
      <c r="N2784" s="42">
        <v>49.58674030084962</v>
      </c>
      <c r="O2784" s="43">
        <v>14658.861071482956</v>
      </c>
    </row>
    <row r="2785" spans="12:15" x14ac:dyDescent="0.2">
      <c r="L2785" s="4">
        <v>2779</v>
      </c>
      <c r="M2785" s="21">
        <v>-341484.64538071363</v>
      </c>
      <c r="N2785" s="42">
        <v>48.433521906368284</v>
      </c>
      <c r="O2785" s="43">
        <v>12082.969850087882</v>
      </c>
    </row>
    <row r="2786" spans="12:15" x14ac:dyDescent="0.2">
      <c r="L2786" s="4">
        <v>2780</v>
      </c>
      <c r="M2786" s="21">
        <v>46691.781725493784</v>
      </c>
      <c r="N2786" s="42">
        <v>51.479048577666852</v>
      </c>
      <c r="O2786" s="43">
        <v>14872.338273399806</v>
      </c>
    </row>
    <row r="2787" spans="12:15" x14ac:dyDescent="0.2">
      <c r="L2787" s="4">
        <v>2781</v>
      </c>
      <c r="M2787" s="21">
        <v>186771.241917354</v>
      </c>
      <c r="N2787" s="42">
        <v>49.0510116327021</v>
      </c>
      <c r="O2787" s="43">
        <v>16042.710729231898</v>
      </c>
    </row>
    <row r="2788" spans="12:15" x14ac:dyDescent="0.2">
      <c r="L2788" s="4">
        <v>2782</v>
      </c>
      <c r="M2788" s="21">
        <v>-66415.374149172276</v>
      </c>
      <c r="N2788" s="42">
        <v>50.88341361499463</v>
      </c>
      <c r="O2788" s="43">
        <v>13653.836382135094</v>
      </c>
    </row>
    <row r="2789" spans="12:15" x14ac:dyDescent="0.2">
      <c r="L2789" s="4">
        <v>2783</v>
      </c>
      <c r="M2789" s="21">
        <v>216794.90798298485</v>
      </c>
      <c r="N2789" s="42">
        <v>50.036006621447029</v>
      </c>
      <c r="O2789" s="43">
        <v>17390.486997154505</v>
      </c>
    </row>
    <row r="2790" spans="12:15" x14ac:dyDescent="0.2">
      <c r="L2790" s="4">
        <v>2784</v>
      </c>
      <c r="M2790" s="21">
        <v>-175775.3257902115</v>
      </c>
      <c r="N2790" s="42">
        <v>50.508486091838598</v>
      </c>
      <c r="O2790" s="43">
        <v>12796.811517573467</v>
      </c>
    </row>
    <row r="2791" spans="12:15" x14ac:dyDescent="0.2">
      <c r="L2791" s="4">
        <v>2785</v>
      </c>
      <c r="M2791" s="21">
        <v>-221225.02945330943</v>
      </c>
      <c r="N2791" s="42">
        <v>48.735981762476598</v>
      </c>
      <c r="O2791" s="43">
        <v>12132.910711418084</v>
      </c>
    </row>
    <row r="2792" spans="12:15" x14ac:dyDescent="0.2">
      <c r="L2792" s="4">
        <v>2786</v>
      </c>
      <c r="M2792" s="21">
        <v>43888.587844213995</v>
      </c>
      <c r="N2792" s="42">
        <v>49.026310156446861</v>
      </c>
      <c r="O2792" s="43">
        <v>14962.321413493082</v>
      </c>
    </row>
    <row r="2793" spans="12:15" x14ac:dyDescent="0.2">
      <c r="L2793" s="4">
        <v>2787</v>
      </c>
      <c r="M2793" s="21">
        <v>2795.280327985558</v>
      </c>
      <c r="N2793" s="42">
        <v>47.21807923185353</v>
      </c>
      <c r="O2793" s="43">
        <v>16277.44180300792</v>
      </c>
    </row>
    <row r="2794" spans="12:15" x14ac:dyDescent="0.2">
      <c r="L2794" s="4">
        <v>2788</v>
      </c>
      <c r="M2794" s="21">
        <v>-134235.62062079238</v>
      </c>
      <c r="N2794" s="42">
        <v>50.509036284491216</v>
      </c>
      <c r="O2794" s="43">
        <v>14188.942550304017</v>
      </c>
    </row>
    <row r="2795" spans="12:15" x14ac:dyDescent="0.2">
      <c r="L2795" s="4">
        <v>2789</v>
      </c>
      <c r="M2795" s="21">
        <v>73267.584789140616</v>
      </c>
      <c r="N2795" s="42">
        <v>49.707925061944039</v>
      </c>
      <c r="O2795" s="43">
        <v>15107.082848389968</v>
      </c>
    </row>
    <row r="2796" spans="12:15" x14ac:dyDescent="0.2">
      <c r="L2796" s="4">
        <v>2790</v>
      </c>
      <c r="M2796" s="21">
        <v>33555.53039313553</v>
      </c>
      <c r="N2796" s="42">
        <v>48.118628723113453</v>
      </c>
      <c r="O2796" s="43">
        <v>16422.257349196279</v>
      </c>
    </row>
    <row r="2797" spans="12:15" x14ac:dyDescent="0.2">
      <c r="L2797" s="4">
        <v>2791</v>
      </c>
      <c r="M2797" s="21">
        <v>-190479.21106011176</v>
      </c>
      <c r="N2797" s="42">
        <v>50.498343415849789</v>
      </c>
      <c r="O2797" s="43">
        <v>11853.027424988886</v>
      </c>
    </row>
    <row r="2798" spans="12:15" x14ac:dyDescent="0.2">
      <c r="L2798" s="4">
        <v>2792</v>
      </c>
      <c r="M2798" s="21">
        <v>-52344.487879465873</v>
      </c>
      <c r="N2798" s="42">
        <v>49.928630607778317</v>
      </c>
      <c r="O2798" s="43">
        <v>14188.671036724518</v>
      </c>
    </row>
    <row r="2799" spans="12:15" x14ac:dyDescent="0.2">
      <c r="L2799" s="4">
        <v>2793</v>
      </c>
      <c r="M2799" s="21">
        <v>-108018.28682621606</v>
      </c>
      <c r="N2799" s="42">
        <v>50.675206558970345</v>
      </c>
      <c r="O2799" s="43">
        <v>13775.855445068421</v>
      </c>
    </row>
    <row r="2800" spans="12:15" x14ac:dyDescent="0.2">
      <c r="L2800" s="4">
        <v>2794</v>
      </c>
      <c r="M2800" s="21">
        <v>-82147.527551551349</v>
      </c>
      <c r="N2800" s="42">
        <v>49.559447924391904</v>
      </c>
      <c r="O2800" s="43">
        <v>14955.169440832564</v>
      </c>
    </row>
    <row r="2801" spans="12:15" x14ac:dyDescent="0.2">
      <c r="L2801" s="4">
        <v>2795</v>
      </c>
      <c r="M2801" s="21">
        <v>-78665.758495136193</v>
      </c>
      <c r="N2801" s="42">
        <v>50.62519136568325</v>
      </c>
      <c r="O2801" s="43">
        <v>12982.138055451594</v>
      </c>
    </row>
    <row r="2802" spans="12:15" x14ac:dyDescent="0.2">
      <c r="L2802" s="4">
        <v>2796</v>
      </c>
      <c r="M2802" s="21">
        <v>78689.430145123333</v>
      </c>
      <c r="N2802" s="42">
        <v>49.673996638408305</v>
      </c>
      <c r="O2802" s="43">
        <v>15699.450334639454</v>
      </c>
    </row>
    <row r="2803" spans="12:15" x14ac:dyDescent="0.2">
      <c r="L2803" s="4">
        <v>2797</v>
      </c>
      <c r="M2803" s="21">
        <v>134697.01577079314</v>
      </c>
      <c r="N2803" s="42">
        <v>49.297575133663351</v>
      </c>
      <c r="O2803" s="43">
        <v>16868.601710430186</v>
      </c>
    </row>
    <row r="2804" spans="12:15" x14ac:dyDescent="0.2">
      <c r="L2804" s="4">
        <v>2798</v>
      </c>
      <c r="M2804" s="21">
        <v>-54273.010621457666</v>
      </c>
      <c r="N2804" s="42">
        <v>50.794182533713524</v>
      </c>
      <c r="O2804" s="43">
        <v>15740.585595794097</v>
      </c>
    </row>
    <row r="2805" spans="12:15" x14ac:dyDescent="0.2">
      <c r="L2805" s="4">
        <v>2799</v>
      </c>
      <c r="M2805" s="21">
        <v>35966.429107697244</v>
      </c>
      <c r="N2805" s="42">
        <v>50.751974225722257</v>
      </c>
      <c r="O2805" s="43">
        <v>14204.761855796016</v>
      </c>
    </row>
    <row r="2806" spans="12:15" x14ac:dyDescent="0.2">
      <c r="L2806" s="4">
        <v>2800</v>
      </c>
      <c r="M2806" s="21">
        <v>55493.208661767858</v>
      </c>
      <c r="N2806" s="42">
        <v>49.130308380467902</v>
      </c>
      <c r="O2806" s="43">
        <v>16254.95968153411</v>
      </c>
    </row>
    <row r="2807" spans="12:15" x14ac:dyDescent="0.2">
      <c r="L2807" s="4">
        <v>2801</v>
      </c>
      <c r="M2807" s="21">
        <v>171990.9152729385</v>
      </c>
      <c r="N2807" s="42">
        <v>51.190275928237973</v>
      </c>
      <c r="O2807" s="43">
        <v>15229.787286115963</v>
      </c>
    </row>
    <row r="2808" spans="12:15" x14ac:dyDescent="0.2">
      <c r="L2808" s="4">
        <v>2802</v>
      </c>
      <c r="M2808" s="21">
        <v>118542.73505326116</v>
      </c>
      <c r="N2808" s="42">
        <v>47.618721590616445</v>
      </c>
      <c r="O2808" s="43">
        <v>16978.631898266274</v>
      </c>
    </row>
    <row r="2809" spans="12:15" x14ac:dyDescent="0.2">
      <c r="L2809" s="4">
        <v>2803</v>
      </c>
      <c r="M2809" s="21">
        <v>294702.70196483046</v>
      </c>
      <c r="N2809" s="42">
        <v>50.197128591270712</v>
      </c>
      <c r="O2809" s="43">
        <v>16390.42921514075</v>
      </c>
    </row>
    <row r="2810" spans="12:15" x14ac:dyDescent="0.2">
      <c r="L2810" s="4">
        <v>2804</v>
      </c>
      <c r="M2810" s="21">
        <v>148545.2469497532</v>
      </c>
      <c r="N2810" s="42">
        <v>49.259829335321172</v>
      </c>
      <c r="O2810" s="43">
        <v>16955.080054267321</v>
      </c>
    </row>
    <row r="2811" spans="12:15" x14ac:dyDescent="0.2">
      <c r="L2811" s="4">
        <v>2805</v>
      </c>
      <c r="M2811" s="21">
        <v>72946.911855926475</v>
      </c>
      <c r="N2811" s="42">
        <v>50.829543382635528</v>
      </c>
      <c r="O2811" s="43">
        <v>15093.211297797221</v>
      </c>
    </row>
    <row r="2812" spans="12:15" x14ac:dyDescent="0.2">
      <c r="L2812" s="4">
        <v>2806</v>
      </c>
      <c r="M2812" s="21">
        <v>125575.39948368332</v>
      </c>
      <c r="N2812" s="42">
        <v>48.800406670197063</v>
      </c>
      <c r="O2812" s="43">
        <v>17039.768683231352</v>
      </c>
    </row>
    <row r="2813" spans="12:15" x14ac:dyDescent="0.2">
      <c r="L2813" s="4">
        <v>2807</v>
      </c>
      <c r="M2813" s="21">
        <v>-24603.42138897418</v>
      </c>
      <c r="N2813" s="42">
        <v>47.484405736429814</v>
      </c>
      <c r="O2813" s="43">
        <v>15247.046654414497</v>
      </c>
    </row>
    <row r="2814" spans="12:15" x14ac:dyDescent="0.2">
      <c r="L2814" s="4">
        <v>2808</v>
      </c>
      <c r="M2814" s="21">
        <v>-176833.06325760193</v>
      </c>
      <c r="N2814" s="42">
        <v>50.760495962400384</v>
      </c>
      <c r="O2814" s="43">
        <v>13550.169091602305</v>
      </c>
    </row>
    <row r="2815" spans="12:15" x14ac:dyDescent="0.2">
      <c r="L2815" s="4">
        <v>2809</v>
      </c>
      <c r="M2815" s="21">
        <v>-153197.76351280289</v>
      </c>
      <c r="N2815" s="42">
        <v>47.729385432353283</v>
      </c>
      <c r="O2815" s="43">
        <v>13867.774106432396</v>
      </c>
    </row>
    <row r="2816" spans="12:15" x14ac:dyDescent="0.2">
      <c r="L2816" s="4">
        <v>2810</v>
      </c>
      <c r="M2816" s="21">
        <v>-182392.80665932404</v>
      </c>
      <c r="N2816" s="42">
        <v>51.625553937248853</v>
      </c>
      <c r="O2816" s="43">
        <v>10731.167406223056</v>
      </c>
    </row>
    <row r="2817" spans="12:15" x14ac:dyDescent="0.2">
      <c r="L2817" s="4">
        <v>2811</v>
      </c>
      <c r="M2817" s="21">
        <v>55541.374095569772</v>
      </c>
      <c r="N2817" s="42">
        <v>49.996991440623027</v>
      </c>
      <c r="O2817" s="43">
        <v>14254.377834758045</v>
      </c>
    </row>
    <row r="2818" spans="12:15" x14ac:dyDescent="0.2">
      <c r="L2818" s="4">
        <v>2812</v>
      </c>
      <c r="M2818" s="21">
        <v>-259795.4410666108</v>
      </c>
      <c r="N2818" s="42">
        <v>50.412028303159047</v>
      </c>
      <c r="O2818" s="43">
        <v>12691.18968141052</v>
      </c>
    </row>
    <row r="2819" spans="12:15" x14ac:dyDescent="0.2">
      <c r="L2819" s="4">
        <v>2813</v>
      </c>
      <c r="M2819" s="21">
        <v>-13275.288311870594</v>
      </c>
      <c r="N2819" s="42">
        <v>49.246179777961224</v>
      </c>
      <c r="O2819" s="43">
        <v>14809.459481543454</v>
      </c>
    </row>
    <row r="2820" spans="12:15" x14ac:dyDescent="0.2">
      <c r="L2820" s="4">
        <v>2814</v>
      </c>
      <c r="M2820" s="21">
        <v>-19701.202287770473</v>
      </c>
      <c r="N2820" s="42">
        <v>47.094233281990022</v>
      </c>
      <c r="O2820" s="43">
        <v>17918.994915112104</v>
      </c>
    </row>
    <row r="2821" spans="12:15" x14ac:dyDescent="0.2">
      <c r="L2821" s="4">
        <v>2815</v>
      </c>
      <c r="M2821" s="21">
        <v>27330.789695158601</v>
      </c>
      <c r="N2821" s="42">
        <v>47.83970015328331</v>
      </c>
      <c r="O2821" s="43">
        <v>15030.447085086507</v>
      </c>
    </row>
    <row r="2822" spans="12:15" x14ac:dyDescent="0.2">
      <c r="L2822" s="4">
        <v>2816</v>
      </c>
      <c r="M2822" s="21">
        <v>85656.784390003129</v>
      </c>
      <c r="N2822" s="42">
        <v>48.640120661005724</v>
      </c>
      <c r="O2822" s="43">
        <v>15894.577501122372</v>
      </c>
    </row>
    <row r="2823" spans="12:15" x14ac:dyDescent="0.2">
      <c r="L2823" s="4">
        <v>2817</v>
      </c>
      <c r="M2823" s="21">
        <v>-3522.0156299569644</v>
      </c>
      <c r="N2823" s="42">
        <v>49.568027562916853</v>
      </c>
      <c r="O2823" s="43">
        <v>16537.254926637557</v>
      </c>
    </row>
    <row r="2824" spans="12:15" x14ac:dyDescent="0.2">
      <c r="L2824" s="4">
        <v>2818</v>
      </c>
      <c r="M2824" s="21">
        <v>-115486.70925429398</v>
      </c>
      <c r="N2824" s="42">
        <v>50.59940762102552</v>
      </c>
      <c r="O2824" s="43">
        <v>14102.787581886172</v>
      </c>
    </row>
    <row r="2825" spans="12:15" x14ac:dyDescent="0.2">
      <c r="L2825" s="4">
        <v>2819</v>
      </c>
      <c r="M2825" s="21">
        <v>-86240.037185499081</v>
      </c>
      <c r="N2825" s="42">
        <v>49.661700674725566</v>
      </c>
      <c r="O2825" s="43">
        <v>14815.677454439587</v>
      </c>
    </row>
    <row r="2826" spans="12:15" x14ac:dyDescent="0.2">
      <c r="L2826" s="4">
        <v>2820</v>
      </c>
      <c r="M2826" s="21">
        <v>52747.839954348747</v>
      </c>
      <c r="N2826" s="42">
        <v>49.459282316788375</v>
      </c>
      <c r="O2826" s="43">
        <v>15295.964313490411</v>
      </c>
    </row>
    <row r="2827" spans="12:15" x14ac:dyDescent="0.2">
      <c r="L2827" s="4">
        <v>2821</v>
      </c>
      <c r="M2827" s="21">
        <v>-16139.642385443629</v>
      </c>
      <c r="N2827" s="42">
        <v>49.653884924202643</v>
      </c>
      <c r="O2827" s="43">
        <v>14910.238141835282</v>
      </c>
    </row>
    <row r="2828" spans="12:15" x14ac:dyDescent="0.2">
      <c r="L2828" s="4">
        <v>2822</v>
      </c>
      <c r="M2828" s="21">
        <v>33143.537666125078</v>
      </c>
      <c r="N2828" s="42">
        <v>49.677398412515572</v>
      </c>
      <c r="O2828" s="43">
        <v>14265.687913317446</v>
      </c>
    </row>
    <row r="2829" spans="12:15" x14ac:dyDescent="0.2">
      <c r="L2829" s="4">
        <v>2823</v>
      </c>
      <c r="M2829" s="21">
        <v>143127.49755526948</v>
      </c>
      <c r="N2829" s="42">
        <v>50.991548185968995</v>
      </c>
      <c r="O2829" s="43">
        <v>15602.653907062651</v>
      </c>
    </row>
    <row r="2830" spans="12:15" x14ac:dyDescent="0.2">
      <c r="L2830" s="4">
        <v>2824</v>
      </c>
      <c r="M2830" s="21">
        <v>67543.86829219872</v>
      </c>
      <c r="N2830" s="42">
        <v>51.469219143062091</v>
      </c>
      <c r="O2830" s="43">
        <v>14944.899427375623</v>
      </c>
    </row>
    <row r="2831" spans="12:15" x14ac:dyDescent="0.2">
      <c r="L2831" s="4">
        <v>2825</v>
      </c>
      <c r="M2831" s="21">
        <v>95361.182238060108</v>
      </c>
      <c r="N2831" s="42">
        <v>49.397018499202872</v>
      </c>
      <c r="O2831" s="43">
        <v>15381.035966978367</v>
      </c>
    </row>
    <row r="2832" spans="12:15" x14ac:dyDescent="0.2">
      <c r="L2832" s="4">
        <v>2826</v>
      </c>
      <c r="M2832" s="21">
        <v>-131619.78261941671</v>
      </c>
      <c r="N2832" s="42">
        <v>50.26135918477668</v>
      </c>
      <c r="O2832" s="43">
        <v>13037.322006137449</v>
      </c>
    </row>
    <row r="2833" spans="12:15" x14ac:dyDescent="0.2">
      <c r="L2833" s="4">
        <v>2827</v>
      </c>
      <c r="M2833" s="21">
        <v>-23090.448746568145</v>
      </c>
      <c r="N2833" s="42">
        <v>47.505170089431765</v>
      </c>
      <c r="O2833" s="43">
        <v>16563.829734108287</v>
      </c>
    </row>
    <row r="2834" spans="12:15" x14ac:dyDescent="0.2">
      <c r="L2834" s="4">
        <v>2828</v>
      </c>
      <c r="M2834" s="21">
        <v>-6598.4031865327852</v>
      </c>
      <c r="N2834" s="42">
        <v>49.935841165529823</v>
      </c>
      <c r="O2834" s="43">
        <v>14862.532103728783</v>
      </c>
    </row>
    <row r="2835" spans="12:15" x14ac:dyDescent="0.2">
      <c r="L2835" s="4">
        <v>2829</v>
      </c>
      <c r="M2835" s="21">
        <v>199250.11544616608</v>
      </c>
      <c r="N2835" s="42">
        <v>48.120829584731815</v>
      </c>
      <c r="O2835" s="43">
        <v>17661.101938197109</v>
      </c>
    </row>
    <row r="2836" spans="12:15" x14ac:dyDescent="0.2">
      <c r="L2836" s="4">
        <v>2830</v>
      </c>
      <c r="M2836" s="21">
        <v>411.2366163788829</v>
      </c>
      <c r="N2836" s="42">
        <v>50.549077295703604</v>
      </c>
      <c r="O2836" s="43">
        <v>13054.674749225273</v>
      </c>
    </row>
    <row r="2837" spans="12:15" x14ac:dyDescent="0.2">
      <c r="L2837" s="4">
        <v>2831</v>
      </c>
      <c r="M2837" s="21">
        <v>168395.47662048496</v>
      </c>
      <c r="N2837" s="42">
        <v>50.478784314719952</v>
      </c>
      <c r="O2837" s="43">
        <v>15201.32070942151</v>
      </c>
    </row>
    <row r="2838" spans="12:15" x14ac:dyDescent="0.2">
      <c r="L2838" s="4">
        <v>2832</v>
      </c>
      <c r="M2838" s="21">
        <v>109477.57821355941</v>
      </c>
      <c r="N2838" s="42">
        <v>47.689408318330869</v>
      </c>
      <c r="O2838" s="43">
        <v>15857.459174517549</v>
      </c>
    </row>
    <row r="2839" spans="12:15" x14ac:dyDescent="0.2">
      <c r="L2839" s="4">
        <v>2833</v>
      </c>
      <c r="M2839" s="21">
        <v>98328.411349843314</v>
      </c>
      <c r="N2839" s="42">
        <v>49.042917360290097</v>
      </c>
      <c r="O2839" s="43">
        <v>14103.757688309193</v>
      </c>
    </row>
    <row r="2840" spans="12:15" x14ac:dyDescent="0.2">
      <c r="L2840" s="4">
        <v>2834</v>
      </c>
      <c r="M2840" s="21">
        <v>-252.08850283750508</v>
      </c>
      <c r="N2840" s="42">
        <v>47.546177718766657</v>
      </c>
      <c r="O2840" s="43">
        <v>17163.019675085445</v>
      </c>
    </row>
    <row r="2841" spans="12:15" x14ac:dyDescent="0.2">
      <c r="L2841" s="4">
        <v>2835</v>
      </c>
      <c r="M2841" s="21">
        <v>-75975.326285454168</v>
      </c>
      <c r="N2841" s="42">
        <v>49.353984002942802</v>
      </c>
      <c r="O2841" s="43">
        <v>14696.000604763825</v>
      </c>
    </row>
    <row r="2842" spans="12:15" x14ac:dyDescent="0.2">
      <c r="L2842" s="4">
        <v>2836</v>
      </c>
      <c r="M2842" s="21">
        <v>200352.41871253159</v>
      </c>
      <c r="N2842" s="42">
        <v>51.912185483038456</v>
      </c>
      <c r="O2842" s="43">
        <v>14806.156475452322</v>
      </c>
    </row>
    <row r="2843" spans="12:15" x14ac:dyDescent="0.2">
      <c r="L2843" s="4">
        <v>2837</v>
      </c>
      <c r="M2843" s="21">
        <v>64958.402538517432</v>
      </c>
      <c r="N2843" s="42">
        <v>48.204169986583899</v>
      </c>
      <c r="O2843" s="43">
        <v>17109.989502373446</v>
      </c>
    </row>
    <row r="2844" spans="12:15" x14ac:dyDescent="0.2">
      <c r="L2844" s="4">
        <v>2838</v>
      </c>
      <c r="M2844" s="21">
        <v>79233.700303777528</v>
      </c>
      <c r="N2844" s="42">
        <v>50.466173687878324</v>
      </c>
      <c r="O2844" s="43">
        <v>15926.694607012727</v>
      </c>
    </row>
    <row r="2845" spans="12:15" x14ac:dyDescent="0.2">
      <c r="L2845" s="4">
        <v>2839</v>
      </c>
      <c r="M2845" s="21">
        <v>57559.768369971891</v>
      </c>
      <c r="N2845" s="42">
        <v>48.94534913087351</v>
      </c>
      <c r="O2845" s="43">
        <v>15447.124242129135</v>
      </c>
    </row>
    <row r="2846" spans="12:15" x14ac:dyDescent="0.2">
      <c r="L2846" s="4">
        <v>2840</v>
      </c>
      <c r="M2846" s="21">
        <v>-89241.609907875478</v>
      </c>
      <c r="N2846" s="42">
        <v>48.226089558676271</v>
      </c>
      <c r="O2846" s="43">
        <v>13867.785419861721</v>
      </c>
    </row>
    <row r="2847" spans="12:15" x14ac:dyDescent="0.2">
      <c r="L2847" s="4">
        <v>2841</v>
      </c>
      <c r="M2847" s="21">
        <v>-74270.671039738954</v>
      </c>
      <c r="N2847" s="42">
        <v>50.77551504920033</v>
      </c>
      <c r="O2847" s="43">
        <v>14426.187252270583</v>
      </c>
    </row>
    <row r="2848" spans="12:15" x14ac:dyDescent="0.2">
      <c r="L2848" s="4">
        <v>2842</v>
      </c>
      <c r="M2848" s="21">
        <v>-3314.1185408070742</v>
      </c>
      <c r="N2848" s="42">
        <v>50.19199045798424</v>
      </c>
      <c r="O2848" s="43">
        <v>13963.777680061072</v>
      </c>
    </row>
    <row r="2849" spans="12:15" x14ac:dyDescent="0.2">
      <c r="L2849" s="4">
        <v>2843</v>
      </c>
      <c r="M2849" s="21">
        <v>73146.264987769478</v>
      </c>
      <c r="N2849" s="42">
        <v>51.518343003395685</v>
      </c>
      <c r="O2849" s="43">
        <v>14777.957392854327</v>
      </c>
    </row>
    <row r="2850" spans="12:15" x14ac:dyDescent="0.2">
      <c r="L2850" s="4">
        <v>2844</v>
      </c>
      <c r="M2850" s="21">
        <v>11430.763052854018</v>
      </c>
      <c r="N2850" s="42">
        <v>51.937080245291881</v>
      </c>
      <c r="O2850" s="43">
        <v>13329.25006367252</v>
      </c>
    </row>
    <row r="2851" spans="12:15" x14ac:dyDescent="0.2">
      <c r="L2851" s="4">
        <v>2845</v>
      </c>
      <c r="M2851" s="21">
        <v>199499.25872342623</v>
      </c>
      <c r="N2851" s="42">
        <v>50.903704155736456</v>
      </c>
      <c r="O2851" s="43">
        <v>14850.594213977965</v>
      </c>
    </row>
    <row r="2852" spans="12:15" x14ac:dyDescent="0.2">
      <c r="L2852" s="4">
        <v>2846</v>
      </c>
      <c r="M2852" s="21">
        <v>64136.891252156667</v>
      </c>
      <c r="N2852" s="42">
        <v>47.399248117316439</v>
      </c>
      <c r="O2852" s="43">
        <v>15912.153363920992</v>
      </c>
    </row>
    <row r="2853" spans="12:15" x14ac:dyDescent="0.2">
      <c r="L2853" s="4">
        <v>2847</v>
      </c>
      <c r="M2853" s="21">
        <v>-108738.08928073157</v>
      </c>
      <c r="N2853" s="42">
        <v>47.387046206551403</v>
      </c>
      <c r="O2853" s="43">
        <v>16465.383969872488</v>
      </c>
    </row>
    <row r="2854" spans="12:15" x14ac:dyDescent="0.2">
      <c r="L2854" s="4">
        <v>2848</v>
      </c>
      <c r="M2854" s="21">
        <v>125453.36981017049</v>
      </c>
      <c r="N2854" s="42">
        <v>49.490255280696829</v>
      </c>
      <c r="O2854" s="43">
        <v>16642.119864418597</v>
      </c>
    </row>
    <row r="2855" spans="12:15" x14ac:dyDescent="0.2">
      <c r="L2855" s="4">
        <v>2849</v>
      </c>
      <c r="M2855" s="21">
        <v>254727.3206437919</v>
      </c>
      <c r="N2855" s="42">
        <v>48.412247007864899</v>
      </c>
      <c r="O2855" s="43">
        <v>16589.033043362786</v>
      </c>
    </row>
    <row r="2856" spans="12:15" x14ac:dyDescent="0.2">
      <c r="L2856" s="4">
        <v>2850</v>
      </c>
      <c r="M2856" s="21">
        <v>119082.50648665882</v>
      </c>
      <c r="N2856" s="42">
        <v>50.075179718569061</v>
      </c>
      <c r="O2856" s="43">
        <v>14795.494257695265</v>
      </c>
    </row>
    <row r="2857" spans="12:15" x14ac:dyDescent="0.2">
      <c r="L2857" s="4">
        <v>2851</v>
      </c>
      <c r="M2857" s="21">
        <v>-33468.801657601041</v>
      </c>
      <c r="N2857" s="42">
        <v>50.973927062452447</v>
      </c>
      <c r="O2857" s="43">
        <v>11976.293988337708</v>
      </c>
    </row>
    <row r="2858" spans="12:15" x14ac:dyDescent="0.2">
      <c r="L2858" s="4">
        <v>2852</v>
      </c>
      <c r="M2858" s="21">
        <v>8405.6879483740486</v>
      </c>
      <c r="N2858" s="42">
        <v>49.066024632701598</v>
      </c>
      <c r="O2858" s="43">
        <v>15288.049550720056</v>
      </c>
    </row>
    <row r="2859" spans="12:15" x14ac:dyDescent="0.2">
      <c r="L2859" s="4">
        <v>2853</v>
      </c>
      <c r="M2859" s="21">
        <v>-157701.84530419038</v>
      </c>
      <c r="N2859" s="42">
        <v>47.31540437064141</v>
      </c>
      <c r="O2859" s="43">
        <v>15760.03320779907</v>
      </c>
    </row>
    <row r="2860" spans="12:15" x14ac:dyDescent="0.2">
      <c r="L2860" s="4">
        <v>2854</v>
      </c>
      <c r="M2860" s="21">
        <v>-19451.873897271609</v>
      </c>
      <c r="N2860" s="42">
        <v>49.197596914373619</v>
      </c>
      <c r="O2860" s="43">
        <v>15423.554156739096</v>
      </c>
    </row>
    <row r="2861" spans="12:15" x14ac:dyDescent="0.2">
      <c r="L2861" s="4">
        <v>2855</v>
      </c>
      <c r="M2861" s="21">
        <v>116025.40888052981</v>
      </c>
      <c r="N2861" s="42">
        <v>49.412095316227521</v>
      </c>
      <c r="O2861" s="43">
        <v>16735.412095827403</v>
      </c>
    </row>
    <row r="2862" spans="12:15" x14ac:dyDescent="0.2">
      <c r="L2862" s="4">
        <v>2856</v>
      </c>
      <c r="M2862" s="21">
        <v>214580.10351033657</v>
      </c>
      <c r="N2862" s="42">
        <v>50.974909099630132</v>
      </c>
      <c r="O2862" s="43">
        <v>16112.804679160314</v>
      </c>
    </row>
    <row r="2863" spans="12:15" x14ac:dyDescent="0.2">
      <c r="L2863" s="4">
        <v>2857</v>
      </c>
      <c r="M2863" s="21">
        <v>-32829.282031166236</v>
      </c>
      <c r="N2863" s="42">
        <v>50.769125629158815</v>
      </c>
      <c r="O2863" s="43">
        <v>14531.77976478677</v>
      </c>
    </row>
    <row r="2864" spans="12:15" x14ac:dyDescent="0.2">
      <c r="L2864" s="4">
        <v>2858</v>
      </c>
      <c r="M2864" s="21">
        <v>147273.72011496121</v>
      </c>
      <c r="N2864" s="42">
        <v>50.650961730568056</v>
      </c>
      <c r="O2864" s="43">
        <v>15174.52801718399</v>
      </c>
    </row>
    <row r="2865" spans="12:15" x14ac:dyDescent="0.2">
      <c r="L2865" s="4">
        <v>2859</v>
      </c>
      <c r="M2865" s="21">
        <v>109434.18317766456</v>
      </c>
      <c r="N2865" s="42">
        <v>47.323782975372637</v>
      </c>
      <c r="O2865" s="43">
        <v>16209.28044749004</v>
      </c>
    </row>
    <row r="2866" spans="12:15" x14ac:dyDescent="0.2">
      <c r="L2866" s="4">
        <v>2860</v>
      </c>
      <c r="M2866" s="21">
        <v>-101324.46687213023</v>
      </c>
      <c r="N2866" s="42">
        <v>50.026806764216374</v>
      </c>
      <c r="O2866" s="43">
        <v>12935.222410684995</v>
      </c>
    </row>
    <row r="2867" spans="12:15" x14ac:dyDescent="0.2">
      <c r="L2867" s="4">
        <v>2861</v>
      </c>
      <c r="M2867" s="21">
        <v>9397.6454970244085</v>
      </c>
      <c r="N2867" s="42">
        <v>47.505512467841903</v>
      </c>
      <c r="O2867" s="43">
        <v>15132.614023871338</v>
      </c>
    </row>
    <row r="2868" spans="12:15" x14ac:dyDescent="0.2">
      <c r="L2868" s="4">
        <v>2862</v>
      </c>
      <c r="M2868" s="21">
        <v>-50861.335431393964</v>
      </c>
      <c r="N2868" s="42">
        <v>50.640202494686626</v>
      </c>
      <c r="O2868" s="43">
        <v>13370.700062624666</v>
      </c>
    </row>
    <row r="2869" spans="12:15" x14ac:dyDescent="0.2">
      <c r="L2869" s="4">
        <v>2863</v>
      </c>
      <c r="M2869" s="21">
        <v>-100123.45752281185</v>
      </c>
      <c r="N2869" s="42">
        <v>49.203441271588666</v>
      </c>
      <c r="O2869" s="43">
        <v>14538.15826879089</v>
      </c>
    </row>
    <row r="2870" spans="12:15" x14ac:dyDescent="0.2">
      <c r="L2870" s="4">
        <v>2864</v>
      </c>
      <c r="M2870" s="21">
        <v>-46787.062153481616</v>
      </c>
      <c r="N2870" s="42">
        <v>50.848164839873441</v>
      </c>
      <c r="O2870" s="43">
        <v>15622.937784092932</v>
      </c>
    </row>
    <row r="2871" spans="12:15" x14ac:dyDescent="0.2">
      <c r="L2871" s="4">
        <v>2865</v>
      </c>
      <c r="M2871" s="21">
        <v>-63038.948166783754</v>
      </c>
      <c r="N2871" s="42">
        <v>48.35474402423371</v>
      </c>
      <c r="O2871" s="43">
        <v>15487.651798556384</v>
      </c>
    </row>
    <row r="2872" spans="12:15" x14ac:dyDescent="0.2">
      <c r="L2872" s="4">
        <v>2866</v>
      </c>
      <c r="M2872" s="21">
        <v>-108933.32821520291</v>
      </c>
      <c r="N2872" s="42">
        <v>48.261043244653848</v>
      </c>
      <c r="O2872" s="43">
        <v>14543.020447181954</v>
      </c>
    </row>
    <row r="2873" spans="12:15" x14ac:dyDescent="0.2">
      <c r="L2873" s="4">
        <v>2867</v>
      </c>
      <c r="M2873" s="21">
        <v>-107243.59600598199</v>
      </c>
      <c r="N2873" s="42">
        <v>49.993381411915124</v>
      </c>
      <c r="O2873" s="43">
        <v>13061.727042131564</v>
      </c>
    </row>
    <row r="2874" spans="12:15" x14ac:dyDescent="0.2">
      <c r="L2874" s="4">
        <v>2868</v>
      </c>
      <c r="M2874" s="21">
        <v>-146578.61005488603</v>
      </c>
      <c r="N2874" s="42">
        <v>48.29306417308463</v>
      </c>
      <c r="O2874" s="43">
        <v>14185.647202091801</v>
      </c>
    </row>
    <row r="2875" spans="12:15" x14ac:dyDescent="0.2">
      <c r="L2875" s="4">
        <v>2869</v>
      </c>
      <c r="M2875" s="21">
        <v>68609.656343241455</v>
      </c>
      <c r="N2875" s="42">
        <v>48.960689140138001</v>
      </c>
      <c r="O2875" s="43">
        <v>15029.92182211599</v>
      </c>
    </row>
    <row r="2876" spans="12:15" x14ac:dyDescent="0.2">
      <c r="L2876" s="4">
        <v>2870</v>
      </c>
      <c r="M2876" s="21">
        <v>259900.95411072209</v>
      </c>
      <c r="N2876" s="42">
        <v>50.55115013042051</v>
      </c>
      <c r="O2876" s="43">
        <v>16250.797976561995</v>
      </c>
    </row>
    <row r="2877" spans="12:15" x14ac:dyDescent="0.2">
      <c r="L2877" s="4">
        <v>2871</v>
      </c>
      <c r="M2877" s="21">
        <v>13712.562915255345</v>
      </c>
      <c r="N2877" s="42">
        <v>50.663661362462456</v>
      </c>
      <c r="O2877" s="43">
        <v>13237.806084128082</v>
      </c>
    </row>
    <row r="2878" spans="12:15" x14ac:dyDescent="0.2">
      <c r="L2878" s="4">
        <v>2872</v>
      </c>
      <c r="M2878" s="21">
        <v>202745.24531720416</v>
      </c>
      <c r="N2878" s="42">
        <v>49.507551528801535</v>
      </c>
      <c r="O2878" s="43">
        <v>16532.889320011902</v>
      </c>
    </row>
    <row r="2879" spans="12:15" x14ac:dyDescent="0.2">
      <c r="L2879" s="4">
        <v>2873</v>
      </c>
      <c r="M2879" s="21">
        <v>76262.584421835258</v>
      </c>
      <c r="N2879" s="42">
        <v>48.662947858563506</v>
      </c>
      <c r="O2879" s="43">
        <v>15042.386370166912</v>
      </c>
    </row>
    <row r="2880" spans="12:15" x14ac:dyDescent="0.2">
      <c r="L2880" s="4">
        <v>2874</v>
      </c>
      <c r="M2880" s="21">
        <v>76390.475610569934</v>
      </c>
      <c r="N2880" s="42">
        <v>48.526465668644953</v>
      </c>
      <c r="O2880" s="43">
        <v>16761.256866180534</v>
      </c>
    </row>
    <row r="2881" spans="12:15" x14ac:dyDescent="0.2">
      <c r="L2881" s="4">
        <v>2875</v>
      </c>
      <c r="M2881" s="21">
        <v>87147.97049301333</v>
      </c>
      <c r="N2881" s="42">
        <v>50.68425016802918</v>
      </c>
      <c r="O2881" s="43">
        <v>15368.954544486474</v>
      </c>
    </row>
    <row r="2882" spans="12:15" x14ac:dyDescent="0.2">
      <c r="L2882" s="4">
        <v>2876</v>
      </c>
      <c r="M2882" s="21">
        <v>-149752.43335855781</v>
      </c>
      <c r="N2882" s="42">
        <v>49.732589443284844</v>
      </c>
      <c r="O2882" s="43">
        <v>13003.314075579325</v>
      </c>
    </row>
    <row r="2883" spans="12:15" x14ac:dyDescent="0.2">
      <c r="L2883" s="4">
        <v>2877</v>
      </c>
      <c r="M2883" s="21">
        <v>-177583.1702059707</v>
      </c>
      <c r="N2883" s="42">
        <v>48.225396360395372</v>
      </c>
      <c r="O2883" s="43">
        <v>15073.258994051654</v>
      </c>
    </row>
    <row r="2884" spans="12:15" x14ac:dyDescent="0.2">
      <c r="L2884" s="4">
        <v>2878</v>
      </c>
      <c r="M2884" s="21">
        <v>121949.53623013446</v>
      </c>
      <c r="N2884" s="42">
        <v>50.267179278816691</v>
      </c>
      <c r="O2884" s="43">
        <v>14679.350049689927</v>
      </c>
    </row>
    <row r="2885" spans="12:15" x14ac:dyDescent="0.2">
      <c r="L2885" s="4">
        <v>2879</v>
      </c>
      <c r="M2885" s="21">
        <v>28514.917136413365</v>
      </c>
      <c r="N2885" s="42">
        <v>47.767337837271242</v>
      </c>
      <c r="O2885" s="43">
        <v>16292.257751751042</v>
      </c>
    </row>
    <row r="2886" spans="12:15" x14ac:dyDescent="0.2">
      <c r="L2886" s="4">
        <v>2880</v>
      </c>
      <c r="M2886" s="21">
        <v>-58966.691152407118</v>
      </c>
      <c r="N2886" s="42">
        <v>47.441696460455908</v>
      </c>
      <c r="O2886" s="43">
        <v>13907.545448203458</v>
      </c>
    </row>
    <row r="2887" spans="12:15" x14ac:dyDescent="0.2">
      <c r="L2887" s="4">
        <v>2881</v>
      </c>
      <c r="M2887" s="21">
        <v>-274080.33079386113</v>
      </c>
      <c r="N2887" s="42">
        <v>47.025095083186081</v>
      </c>
      <c r="O2887" s="43">
        <v>12853.442311451707</v>
      </c>
    </row>
    <row r="2888" spans="12:15" x14ac:dyDescent="0.2">
      <c r="L2888" s="4">
        <v>2882</v>
      </c>
      <c r="M2888" s="21">
        <v>79845.024969973601</v>
      </c>
      <c r="N2888" s="42">
        <v>47.646838344995075</v>
      </c>
      <c r="O2888" s="43">
        <v>15856.518172912751</v>
      </c>
    </row>
    <row r="2889" spans="12:15" x14ac:dyDescent="0.2">
      <c r="L2889" s="4">
        <v>2883</v>
      </c>
      <c r="M2889" s="21">
        <v>118167.73653067462</v>
      </c>
      <c r="N2889" s="42">
        <v>51.106113685489888</v>
      </c>
      <c r="O2889" s="43">
        <v>14767.69233972672</v>
      </c>
    </row>
    <row r="2890" spans="12:15" x14ac:dyDescent="0.2">
      <c r="L2890" s="4">
        <v>2884</v>
      </c>
      <c r="M2890" s="21">
        <v>-239982.82740999933</v>
      </c>
      <c r="N2890" s="42">
        <v>51.363792301254108</v>
      </c>
      <c r="O2890" s="43">
        <v>11239.031647414435</v>
      </c>
    </row>
    <row r="2891" spans="12:15" x14ac:dyDescent="0.2">
      <c r="L2891" s="4">
        <v>2885</v>
      </c>
      <c r="M2891" s="21">
        <v>101045.13890615563</v>
      </c>
      <c r="N2891" s="42">
        <v>49.960125974654076</v>
      </c>
      <c r="O2891" s="43">
        <v>16881.66514908419</v>
      </c>
    </row>
    <row r="2892" spans="12:15" x14ac:dyDescent="0.2">
      <c r="L2892" s="4">
        <v>2886</v>
      </c>
      <c r="M2892" s="21">
        <v>104940.7603852168</v>
      </c>
      <c r="N2892" s="42">
        <v>51.050554995170863</v>
      </c>
      <c r="O2892" s="43">
        <v>15905.138997423923</v>
      </c>
    </row>
    <row r="2893" spans="12:15" x14ac:dyDescent="0.2">
      <c r="L2893" s="4">
        <v>2887</v>
      </c>
      <c r="M2893" s="21">
        <v>-140142.32982881216</v>
      </c>
      <c r="N2893" s="42">
        <v>48.567680585725043</v>
      </c>
      <c r="O2893" s="43">
        <v>15004.377917968101</v>
      </c>
    </row>
    <row r="2894" spans="12:15" x14ac:dyDescent="0.2">
      <c r="L2894" s="4">
        <v>2888</v>
      </c>
      <c r="M2894" s="21">
        <v>27639.807033698045</v>
      </c>
      <c r="N2894" s="42">
        <v>45.978410816839045</v>
      </c>
      <c r="O2894" s="43">
        <v>17777.05623853494</v>
      </c>
    </row>
    <row r="2895" spans="12:15" x14ac:dyDescent="0.2">
      <c r="L2895" s="4">
        <v>2889</v>
      </c>
      <c r="M2895" s="21">
        <v>-25692.966082338942</v>
      </c>
      <c r="N2895" s="42">
        <v>51.103735364482617</v>
      </c>
      <c r="O2895" s="43">
        <v>12532.480674496046</v>
      </c>
    </row>
    <row r="2896" spans="12:15" x14ac:dyDescent="0.2">
      <c r="L2896" s="4">
        <v>2890</v>
      </c>
      <c r="M2896" s="21">
        <v>-64840.534355193769</v>
      </c>
      <c r="N2896" s="42">
        <v>49.859707573974255</v>
      </c>
      <c r="O2896" s="43">
        <v>12988.558459971424</v>
      </c>
    </row>
    <row r="2897" spans="12:15" x14ac:dyDescent="0.2">
      <c r="L2897" s="4">
        <v>2891</v>
      </c>
      <c r="M2897" s="21">
        <v>-11586.648818616915</v>
      </c>
      <c r="N2897" s="42">
        <v>50.071892279403187</v>
      </c>
      <c r="O2897" s="43">
        <v>14690.872854156312</v>
      </c>
    </row>
    <row r="2898" spans="12:15" x14ac:dyDescent="0.2">
      <c r="L2898" s="4">
        <v>2892</v>
      </c>
      <c r="M2898" s="21">
        <v>-199557.37323016231</v>
      </c>
      <c r="N2898" s="42">
        <v>50.21050391690482</v>
      </c>
      <c r="O2898" s="43">
        <v>12661.924686998587</v>
      </c>
    </row>
    <row r="2899" spans="12:15" x14ac:dyDescent="0.2">
      <c r="L2899" s="4">
        <v>2893</v>
      </c>
      <c r="M2899" s="21">
        <v>67234.262376394123</v>
      </c>
      <c r="N2899" s="42">
        <v>49.09341042924418</v>
      </c>
      <c r="O2899" s="43">
        <v>16583.301973518381</v>
      </c>
    </row>
    <row r="2900" spans="12:15" x14ac:dyDescent="0.2">
      <c r="L2900" s="4">
        <v>2894</v>
      </c>
      <c r="M2900" s="21">
        <v>56667.102138615825</v>
      </c>
      <c r="N2900" s="42">
        <v>51.63851903103582</v>
      </c>
      <c r="O2900" s="43">
        <v>14004.549380340011</v>
      </c>
    </row>
    <row r="2901" spans="12:15" x14ac:dyDescent="0.2">
      <c r="L2901" s="4">
        <v>2895</v>
      </c>
      <c r="M2901" s="21">
        <v>-159046.17611615604</v>
      </c>
      <c r="N2901" s="42">
        <v>47.32381291477337</v>
      </c>
      <c r="O2901" s="43">
        <v>18351.247050179594</v>
      </c>
    </row>
    <row r="2902" spans="12:15" x14ac:dyDescent="0.2">
      <c r="L2902" s="4">
        <v>2896</v>
      </c>
      <c r="M2902" s="21">
        <v>-33668.66645057351</v>
      </c>
      <c r="N2902" s="42">
        <v>49.894811139633326</v>
      </c>
      <c r="O2902" s="43">
        <v>13643.664684731921</v>
      </c>
    </row>
    <row r="2903" spans="12:15" x14ac:dyDescent="0.2">
      <c r="L2903" s="4">
        <v>2897</v>
      </c>
      <c r="M2903" s="21">
        <v>107292.4191794052</v>
      </c>
      <c r="N2903" s="42">
        <v>50.202295470403953</v>
      </c>
      <c r="O2903" s="43">
        <v>15702.346099766764</v>
      </c>
    </row>
    <row r="2904" spans="12:15" x14ac:dyDescent="0.2">
      <c r="L2904" s="4">
        <v>2898</v>
      </c>
      <c r="M2904" s="21">
        <v>32053.390088023996</v>
      </c>
      <c r="N2904" s="42">
        <v>47.384454418331401</v>
      </c>
      <c r="O2904" s="43">
        <v>17062.131423130304</v>
      </c>
    </row>
    <row r="2905" spans="12:15" x14ac:dyDescent="0.2">
      <c r="L2905" s="4">
        <v>2899</v>
      </c>
      <c r="M2905" s="21">
        <v>122149.13143647887</v>
      </c>
      <c r="N2905" s="42">
        <v>51.111284956564127</v>
      </c>
      <c r="O2905" s="43">
        <v>16027.082611412246</v>
      </c>
    </row>
    <row r="2906" spans="12:15" x14ac:dyDescent="0.2">
      <c r="L2906" s="4">
        <v>2900</v>
      </c>
      <c r="M2906" s="21">
        <v>108990.63384763093</v>
      </c>
      <c r="N2906" s="42">
        <v>50.176744345825881</v>
      </c>
      <c r="O2906" s="43">
        <v>15656.629623283425</v>
      </c>
    </row>
    <row r="2907" spans="12:15" x14ac:dyDescent="0.2">
      <c r="L2907" s="4">
        <v>2901</v>
      </c>
      <c r="M2907" s="21">
        <v>-79040.31547440296</v>
      </c>
      <c r="N2907" s="42">
        <v>50.222691654151888</v>
      </c>
      <c r="O2907" s="43">
        <v>13409.728747676376</v>
      </c>
    </row>
    <row r="2908" spans="12:15" x14ac:dyDescent="0.2">
      <c r="L2908" s="4">
        <v>2902</v>
      </c>
      <c r="M2908" s="21">
        <v>206081.28826895548</v>
      </c>
      <c r="N2908" s="42">
        <v>50.258050508258229</v>
      </c>
      <c r="O2908" s="43">
        <v>16617.501298915213</v>
      </c>
    </row>
    <row r="2909" spans="12:15" x14ac:dyDescent="0.2">
      <c r="L2909" s="4">
        <v>2903</v>
      </c>
      <c r="M2909" s="21">
        <v>61126.120591416722</v>
      </c>
      <c r="N2909" s="42">
        <v>47.635526264139457</v>
      </c>
      <c r="O2909" s="43">
        <v>16975.40626998751</v>
      </c>
    </row>
    <row r="2910" spans="12:15" x14ac:dyDescent="0.2">
      <c r="L2910" s="4">
        <v>2904</v>
      </c>
      <c r="M2910" s="21">
        <v>5027.9423707744863</v>
      </c>
      <c r="N2910" s="42">
        <v>48.83089001100408</v>
      </c>
      <c r="O2910" s="43">
        <v>15777.672123234694</v>
      </c>
    </row>
    <row r="2911" spans="12:15" x14ac:dyDescent="0.2">
      <c r="L2911" s="4">
        <v>2905</v>
      </c>
      <c r="M2911" s="21">
        <v>138789.46133087002</v>
      </c>
      <c r="N2911" s="42">
        <v>50.47493808254422</v>
      </c>
      <c r="O2911" s="43">
        <v>15043.374987381345</v>
      </c>
    </row>
    <row r="2912" spans="12:15" x14ac:dyDescent="0.2">
      <c r="L2912" s="4">
        <v>2906</v>
      </c>
      <c r="M2912" s="21">
        <v>122042.78414227295</v>
      </c>
      <c r="N2912" s="42">
        <v>50.000564301716793</v>
      </c>
      <c r="O2912" s="43">
        <v>15836.716627040651</v>
      </c>
    </row>
    <row r="2913" spans="12:15" x14ac:dyDescent="0.2">
      <c r="L2913" s="4">
        <v>2907</v>
      </c>
      <c r="M2913" s="21">
        <v>210432.26705593112</v>
      </c>
      <c r="N2913" s="42">
        <v>50.418061676280551</v>
      </c>
      <c r="O2913" s="43">
        <v>15394.792988125997</v>
      </c>
    </row>
    <row r="2914" spans="12:15" x14ac:dyDescent="0.2">
      <c r="L2914" s="4">
        <v>2908</v>
      </c>
      <c r="M2914" s="21">
        <v>39501.377376276301</v>
      </c>
      <c r="N2914" s="42">
        <v>50.771752836244154</v>
      </c>
      <c r="O2914" s="43">
        <v>14624.669491439447</v>
      </c>
    </row>
    <row r="2915" spans="12:15" x14ac:dyDescent="0.2">
      <c r="L2915" s="4">
        <v>2909</v>
      </c>
      <c r="M2915" s="21">
        <v>84438.409118207142</v>
      </c>
      <c r="N2915" s="42">
        <v>47.672064937285718</v>
      </c>
      <c r="O2915" s="43">
        <v>18436.652629998702</v>
      </c>
    </row>
    <row r="2916" spans="12:15" x14ac:dyDescent="0.2">
      <c r="L2916" s="4">
        <v>2910</v>
      </c>
      <c r="M2916" s="21">
        <v>94997.355314541928</v>
      </c>
      <c r="N2916" s="42">
        <v>49.268865957117782</v>
      </c>
      <c r="O2916" s="43">
        <v>14157.4876515425</v>
      </c>
    </row>
    <row r="2917" spans="12:15" x14ac:dyDescent="0.2">
      <c r="L2917" s="4">
        <v>2911</v>
      </c>
      <c r="M2917" s="21">
        <v>-57881.647404885895</v>
      </c>
      <c r="N2917" s="42">
        <v>50.27761505469131</v>
      </c>
      <c r="O2917" s="43">
        <v>12883.85306394783</v>
      </c>
    </row>
    <row r="2918" spans="12:15" x14ac:dyDescent="0.2">
      <c r="L2918" s="4">
        <v>2912</v>
      </c>
      <c r="M2918" s="21">
        <v>68805.197177684982</v>
      </c>
      <c r="N2918" s="42">
        <v>49.506706243081183</v>
      </c>
      <c r="O2918" s="43">
        <v>16933.965502937666</v>
      </c>
    </row>
    <row r="2919" spans="12:15" x14ac:dyDescent="0.2">
      <c r="L2919" s="4">
        <v>2913</v>
      </c>
      <c r="M2919" s="21">
        <v>-22924.779783282283</v>
      </c>
      <c r="N2919" s="42">
        <v>51.515736588056861</v>
      </c>
      <c r="O2919" s="43">
        <v>14294.965010058735</v>
      </c>
    </row>
    <row r="2920" spans="12:15" x14ac:dyDescent="0.2">
      <c r="L2920" s="4">
        <v>2914</v>
      </c>
      <c r="M2920" s="21">
        <v>7876.1685203083907</v>
      </c>
      <c r="N2920" s="42">
        <v>50.821368503338704</v>
      </c>
      <c r="O2920" s="43">
        <v>13884.196129205195</v>
      </c>
    </row>
    <row r="2921" spans="12:15" x14ac:dyDescent="0.2">
      <c r="L2921" s="4">
        <v>2915</v>
      </c>
      <c r="M2921" s="21">
        <v>60756.183625610633</v>
      </c>
      <c r="N2921" s="42">
        <v>48.411827931610702</v>
      </c>
      <c r="O2921" s="43">
        <v>14724.675663828326</v>
      </c>
    </row>
    <row r="2922" spans="12:15" x14ac:dyDescent="0.2">
      <c r="L2922" s="4">
        <v>2916</v>
      </c>
      <c r="M2922" s="21">
        <v>-40971.988032069115</v>
      </c>
      <c r="N2922" s="42">
        <v>51.272357224997705</v>
      </c>
      <c r="O2922" s="43">
        <v>13151.94287132828</v>
      </c>
    </row>
    <row r="2923" spans="12:15" x14ac:dyDescent="0.2">
      <c r="L2923" s="4">
        <v>2917</v>
      </c>
      <c r="M2923" s="21">
        <v>-70213.172655889852</v>
      </c>
      <c r="N2923" s="42">
        <v>49.890358532095789</v>
      </c>
      <c r="O2923" s="43">
        <v>14102.022583562151</v>
      </c>
    </row>
    <row r="2924" spans="12:15" x14ac:dyDescent="0.2">
      <c r="L2924" s="4">
        <v>2918</v>
      </c>
      <c r="M2924" s="21">
        <v>-150343.10914540401</v>
      </c>
      <c r="N2924" s="42">
        <v>49.440532405697745</v>
      </c>
      <c r="O2924" s="43">
        <v>13326.503236950808</v>
      </c>
    </row>
    <row r="2925" spans="12:15" x14ac:dyDescent="0.2">
      <c r="L2925" s="4">
        <v>2919</v>
      </c>
      <c r="M2925" s="21">
        <v>-110863.06862556524</v>
      </c>
      <c r="N2925" s="42">
        <v>47.31516998332539</v>
      </c>
      <c r="O2925" s="43">
        <v>15514.788732113859</v>
      </c>
    </row>
    <row r="2926" spans="12:15" x14ac:dyDescent="0.2">
      <c r="L2926" s="4">
        <v>2920</v>
      </c>
      <c r="M2926" s="21">
        <v>4055.2490188630181</v>
      </c>
      <c r="N2926" s="42">
        <v>47.470803737227271</v>
      </c>
      <c r="O2926" s="43">
        <v>16724.810278886347</v>
      </c>
    </row>
    <row r="2927" spans="12:15" x14ac:dyDescent="0.2">
      <c r="L2927" s="4">
        <v>2921</v>
      </c>
      <c r="M2927" s="21">
        <v>102251.96400503916</v>
      </c>
      <c r="N2927" s="42">
        <v>49.241511082494227</v>
      </c>
      <c r="O2927" s="43">
        <v>16110.160307102868</v>
      </c>
    </row>
    <row r="2928" spans="12:15" x14ac:dyDescent="0.2">
      <c r="L2928" s="4">
        <v>2922</v>
      </c>
      <c r="M2928" s="21">
        <v>119104.89680175378</v>
      </c>
      <c r="N2928" s="42">
        <v>49.392830449156229</v>
      </c>
      <c r="O2928" s="43">
        <v>17173.242888390578</v>
      </c>
    </row>
    <row r="2929" spans="12:15" x14ac:dyDescent="0.2">
      <c r="L2929" s="4">
        <v>2923</v>
      </c>
      <c r="M2929" s="21">
        <v>36481.041053708439</v>
      </c>
      <c r="N2929" s="42">
        <v>49.941570116450407</v>
      </c>
      <c r="O2929" s="43">
        <v>14345.38294181021</v>
      </c>
    </row>
    <row r="2930" spans="12:15" x14ac:dyDescent="0.2">
      <c r="L2930" s="4">
        <v>2924</v>
      </c>
      <c r="M2930" s="21">
        <v>-94085.200511400952</v>
      </c>
      <c r="N2930" s="42">
        <v>45.273233457460492</v>
      </c>
      <c r="O2930" s="43">
        <v>18102.860424129416</v>
      </c>
    </row>
    <row r="2931" spans="12:15" x14ac:dyDescent="0.2">
      <c r="L2931" s="4">
        <v>2925</v>
      </c>
      <c r="M2931" s="21">
        <v>184649.54658722825</v>
      </c>
      <c r="N2931" s="42">
        <v>48.440779548220185</v>
      </c>
      <c r="O2931" s="43">
        <v>17076.611340952491</v>
      </c>
    </row>
    <row r="2932" spans="12:15" x14ac:dyDescent="0.2">
      <c r="L2932" s="4">
        <v>2926</v>
      </c>
      <c r="M2932" s="21">
        <v>241701.94534690341</v>
      </c>
      <c r="N2932" s="42">
        <v>49.76452650658613</v>
      </c>
      <c r="O2932" s="43">
        <v>16636.409677312404</v>
      </c>
    </row>
    <row r="2933" spans="12:15" x14ac:dyDescent="0.2">
      <c r="L2933" s="4">
        <v>2927</v>
      </c>
      <c r="M2933" s="21">
        <v>-126130.77497330875</v>
      </c>
      <c r="N2933" s="42">
        <v>51.536226533557645</v>
      </c>
      <c r="O2933" s="43">
        <v>12447.896315497903</v>
      </c>
    </row>
    <row r="2934" spans="12:15" x14ac:dyDescent="0.2">
      <c r="L2934" s="4">
        <v>2928</v>
      </c>
      <c r="M2934" s="21">
        <v>15355.711552351218</v>
      </c>
      <c r="N2934" s="42">
        <v>50.601420024653201</v>
      </c>
      <c r="O2934" s="43">
        <v>13879.984882973682</v>
      </c>
    </row>
    <row r="2935" spans="12:15" x14ac:dyDescent="0.2">
      <c r="L2935" s="4">
        <v>2929</v>
      </c>
      <c r="M2935" s="21">
        <v>-75205.363584548104</v>
      </c>
      <c r="N2935" s="42">
        <v>51.547054280626448</v>
      </c>
      <c r="O2935" s="43">
        <v>13167.562997829715</v>
      </c>
    </row>
    <row r="2936" spans="12:15" x14ac:dyDescent="0.2">
      <c r="L2936" s="4">
        <v>2930</v>
      </c>
      <c r="M2936" s="21">
        <v>-101876.58929351479</v>
      </c>
      <c r="N2936" s="42">
        <v>51.894889199429947</v>
      </c>
      <c r="O2936" s="43">
        <v>11600.204351594008</v>
      </c>
    </row>
    <row r="2937" spans="12:15" x14ac:dyDescent="0.2">
      <c r="L2937" s="4">
        <v>2931</v>
      </c>
      <c r="M2937" s="21">
        <v>-160010.66585260406</v>
      </c>
      <c r="N2937" s="42">
        <v>47.613165073678253</v>
      </c>
      <c r="O2937" s="43">
        <v>15663.442780435527</v>
      </c>
    </row>
    <row r="2938" spans="12:15" x14ac:dyDescent="0.2">
      <c r="L2938" s="4">
        <v>2932</v>
      </c>
      <c r="M2938" s="21">
        <v>-80705.367509806849</v>
      </c>
      <c r="N2938" s="42">
        <v>49.967336626091004</v>
      </c>
      <c r="O2938" s="43">
        <v>12913.226158236193</v>
      </c>
    </row>
    <row r="2939" spans="12:15" x14ac:dyDescent="0.2">
      <c r="L2939" s="4">
        <v>2933</v>
      </c>
      <c r="M2939" s="21">
        <v>-212419.49569612718</v>
      </c>
      <c r="N2939" s="42">
        <v>46.718962280340087</v>
      </c>
      <c r="O2939" s="43">
        <v>13352.165511826337</v>
      </c>
    </row>
    <row r="2940" spans="12:15" x14ac:dyDescent="0.2">
      <c r="L2940" s="4">
        <v>2934</v>
      </c>
      <c r="M2940" s="21">
        <v>37128.241013884486</v>
      </c>
      <c r="N2940" s="42">
        <v>50.143743975226329</v>
      </c>
      <c r="O2940" s="43">
        <v>14626.150351860158</v>
      </c>
    </row>
    <row r="2941" spans="12:15" x14ac:dyDescent="0.2">
      <c r="L2941" s="4">
        <v>2935</v>
      </c>
      <c r="M2941" s="21">
        <v>-313062.56044547679</v>
      </c>
      <c r="N2941" s="42">
        <v>48.35763670708053</v>
      </c>
      <c r="O2941" s="43">
        <v>11493.745141183457</v>
      </c>
    </row>
    <row r="2942" spans="12:15" x14ac:dyDescent="0.2">
      <c r="L2942" s="4">
        <v>2936</v>
      </c>
      <c r="M2942" s="21">
        <v>50587.188337583037</v>
      </c>
      <c r="N2942" s="42">
        <v>50.48572997089093</v>
      </c>
      <c r="O2942" s="43">
        <v>14851.48593343418</v>
      </c>
    </row>
    <row r="2943" spans="12:15" x14ac:dyDescent="0.2">
      <c r="L2943" s="4">
        <v>2937</v>
      </c>
      <c r="M2943" s="21">
        <v>-129117.33399815849</v>
      </c>
      <c r="N2943" s="42">
        <v>47.896907583665879</v>
      </c>
      <c r="O2943" s="43">
        <v>15354.731145880345</v>
      </c>
    </row>
    <row r="2944" spans="12:15" x14ac:dyDescent="0.2">
      <c r="L2944" s="4">
        <v>2938</v>
      </c>
      <c r="M2944" s="21">
        <v>30683.101157407014</v>
      </c>
      <c r="N2944" s="42">
        <v>51.429111692910773</v>
      </c>
      <c r="O2944" s="43">
        <v>13521.470405186616</v>
      </c>
    </row>
    <row r="2945" spans="12:15" x14ac:dyDescent="0.2">
      <c r="L2945" s="4">
        <v>2939</v>
      </c>
      <c r="M2945" s="21">
        <v>-28011.42401596508</v>
      </c>
      <c r="N2945" s="42">
        <v>50.453603047831386</v>
      </c>
      <c r="O2945" s="43">
        <v>13717.067539419197</v>
      </c>
    </row>
    <row r="2946" spans="12:15" x14ac:dyDescent="0.2">
      <c r="L2946" s="4">
        <v>2940</v>
      </c>
      <c r="M2946" s="21">
        <v>-102700.88309446017</v>
      </c>
      <c r="N2946" s="42">
        <v>46.460320853088731</v>
      </c>
      <c r="O2946" s="43">
        <v>16229.358961618329</v>
      </c>
    </row>
    <row r="2947" spans="12:15" x14ac:dyDescent="0.2">
      <c r="L2947" s="4">
        <v>2941</v>
      </c>
      <c r="M2947" s="21">
        <v>32370.600536465587</v>
      </c>
      <c r="N2947" s="42">
        <v>48.707656723968434</v>
      </c>
      <c r="O2947" s="43">
        <v>16194.794172945149</v>
      </c>
    </row>
    <row r="2948" spans="12:15" x14ac:dyDescent="0.2">
      <c r="L2948" s="4">
        <v>2942</v>
      </c>
      <c r="M2948" s="21">
        <v>-122276.81432727032</v>
      </c>
      <c r="N2948" s="42">
        <v>49.741875951249462</v>
      </c>
      <c r="O2948" s="43">
        <v>13060.595767745564</v>
      </c>
    </row>
    <row r="2949" spans="12:15" x14ac:dyDescent="0.2">
      <c r="L2949" s="4">
        <v>2943</v>
      </c>
      <c r="M2949" s="21">
        <v>-24225.651631324916</v>
      </c>
      <c r="N2949" s="42">
        <v>49.056556731237805</v>
      </c>
      <c r="O2949" s="43">
        <v>14009.238800112378</v>
      </c>
    </row>
    <row r="2950" spans="12:15" x14ac:dyDescent="0.2">
      <c r="L2950" s="4">
        <v>2944</v>
      </c>
      <c r="M2950" s="21">
        <v>18814.689133280073</v>
      </c>
      <c r="N2950" s="42">
        <v>47.304354254473807</v>
      </c>
      <c r="O2950" s="43">
        <v>16283.588123185844</v>
      </c>
    </row>
    <row r="2951" spans="12:15" x14ac:dyDescent="0.2">
      <c r="L2951" s="4">
        <v>2945</v>
      </c>
      <c r="M2951" s="21">
        <v>-18010.199563743532</v>
      </c>
      <c r="N2951" s="42">
        <v>47.234440256655311</v>
      </c>
      <c r="O2951" s="43">
        <v>16619.508014046587</v>
      </c>
    </row>
    <row r="2952" spans="12:15" x14ac:dyDescent="0.2">
      <c r="L2952" s="4">
        <v>2946</v>
      </c>
      <c r="M2952" s="21">
        <v>426808.71704783943</v>
      </c>
      <c r="N2952" s="42">
        <v>51.413759401007155</v>
      </c>
      <c r="O2952" s="43">
        <v>16549.063657691328</v>
      </c>
    </row>
    <row r="2953" spans="12:15" x14ac:dyDescent="0.2">
      <c r="L2953" s="4">
        <v>2947</v>
      </c>
      <c r="M2953" s="21">
        <v>-75714.146775033791</v>
      </c>
      <c r="N2953" s="42">
        <v>50.707442678249528</v>
      </c>
      <c r="O2953" s="43">
        <v>13418.321614698305</v>
      </c>
    </row>
    <row r="2954" spans="12:15" x14ac:dyDescent="0.2">
      <c r="L2954" s="4">
        <v>2948</v>
      </c>
      <c r="M2954" s="21">
        <v>-94392.853552480228</v>
      </c>
      <c r="N2954" s="42">
        <v>51.16193222581515</v>
      </c>
      <c r="O2954" s="43">
        <v>12970.516080904406</v>
      </c>
    </row>
    <row r="2955" spans="12:15" x14ac:dyDescent="0.2">
      <c r="L2955" s="4">
        <v>2949</v>
      </c>
      <c r="M2955" s="21">
        <v>-319687.565711106</v>
      </c>
      <c r="N2955" s="42">
        <v>46.521805360862139</v>
      </c>
      <c r="O2955" s="43">
        <v>13976.398548356981</v>
      </c>
    </row>
    <row r="2956" spans="12:15" x14ac:dyDescent="0.2">
      <c r="L2956" s="4">
        <v>2950</v>
      </c>
      <c r="M2956" s="21">
        <v>181378.52437506503</v>
      </c>
      <c r="N2956" s="42">
        <v>48.711256855520759</v>
      </c>
      <c r="O2956" s="43">
        <v>16802.998625758486</v>
      </c>
    </row>
    <row r="2957" spans="12:15" x14ac:dyDescent="0.2">
      <c r="L2957" s="4">
        <v>2951</v>
      </c>
      <c r="M2957" s="21">
        <v>-127845.45744043701</v>
      </c>
      <c r="N2957" s="42">
        <v>47.923448853512824</v>
      </c>
      <c r="O2957" s="43">
        <v>14864.103222720321</v>
      </c>
    </row>
    <row r="2958" spans="12:15" x14ac:dyDescent="0.2">
      <c r="L2958" s="4">
        <v>2952</v>
      </c>
      <c r="M2958" s="21">
        <v>40841.410036622634</v>
      </c>
      <c r="N2958" s="42">
        <v>50.163059331877534</v>
      </c>
      <c r="O2958" s="43">
        <v>14471.299328468036</v>
      </c>
    </row>
    <row r="2959" spans="12:15" x14ac:dyDescent="0.2">
      <c r="L2959" s="4">
        <v>2953</v>
      </c>
      <c r="M2959" s="21">
        <v>-116116.00521321064</v>
      </c>
      <c r="N2959" s="42">
        <v>50.001801306563081</v>
      </c>
      <c r="O2959" s="43">
        <v>12945.44993476152</v>
      </c>
    </row>
    <row r="2960" spans="12:15" x14ac:dyDescent="0.2">
      <c r="L2960" s="4">
        <v>2954</v>
      </c>
      <c r="M2960" s="21">
        <v>-7603.4043543003791</v>
      </c>
      <c r="N2960" s="42">
        <v>48.091722546392333</v>
      </c>
      <c r="O2960" s="43">
        <v>14911.851619282887</v>
      </c>
    </row>
    <row r="2961" spans="12:15" x14ac:dyDescent="0.2">
      <c r="L2961" s="4">
        <v>2955</v>
      </c>
      <c r="M2961" s="21">
        <v>-29420.07446322577</v>
      </c>
      <c r="N2961" s="42">
        <v>49.656656388712612</v>
      </c>
      <c r="O2961" s="43">
        <v>13685.971646809186</v>
      </c>
    </row>
    <row r="2962" spans="12:15" x14ac:dyDescent="0.2">
      <c r="L2962" s="4">
        <v>2956</v>
      </c>
      <c r="M2962" s="21">
        <v>166992.29972003232</v>
      </c>
      <c r="N2962" s="42">
        <v>49.288570927735073</v>
      </c>
      <c r="O2962" s="43">
        <v>16654.706686111418</v>
      </c>
    </row>
    <row r="2963" spans="12:15" x14ac:dyDescent="0.2">
      <c r="L2963" s="4">
        <v>2957</v>
      </c>
      <c r="M2963" s="21">
        <v>11225.422285171953</v>
      </c>
      <c r="N2963" s="42">
        <v>49.396530626719418</v>
      </c>
      <c r="O2963" s="43">
        <v>15132.553692577294</v>
      </c>
    </row>
    <row r="2964" spans="12:15" x14ac:dyDescent="0.2">
      <c r="L2964" s="4">
        <v>2958</v>
      </c>
      <c r="M2964" s="21">
        <v>198478.95241281932</v>
      </c>
      <c r="N2964" s="42">
        <v>51.141108280268156</v>
      </c>
      <c r="O2964" s="43">
        <v>15350.568569982415</v>
      </c>
    </row>
    <row r="2965" spans="12:15" x14ac:dyDescent="0.2">
      <c r="L2965" s="4">
        <v>2959</v>
      </c>
      <c r="M2965" s="21">
        <v>-141051.33655974333</v>
      </c>
      <c r="N2965" s="42">
        <v>49.340771968402727</v>
      </c>
      <c r="O2965" s="43">
        <v>13454.15484851433</v>
      </c>
    </row>
    <row r="2966" spans="12:15" x14ac:dyDescent="0.2">
      <c r="L2966" s="4">
        <v>2960</v>
      </c>
      <c r="M2966" s="21">
        <v>231607.23792545067</v>
      </c>
      <c r="N2966" s="42">
        <v>51.602898840179932</v>
      </c>
      <c r="O2966" s="43">
        <v>15293.091692896065</v>
      </c>
    </row>
    <row r="2967" spans="12:15" x14ac:dyDescent="0.2">
      <c r="L2967" s="4">
        <v>2961</v>
      </c>
      <c r="M2967" s="21">
        <v>51147.747466200613</v>
      </c>
      <c r="N2967" s="42">
        <v>50.604630979001442</v>
      </c>
      <c r="O2967" s="43">
        <v>14168.163137248488</v>
      </c>
    </row>
    <row r="2968" spans="12:15" x14ac:dyDescent="0.2">
      <c r="L2968" s="4">
        <v>2962</v>
      </c>
      <c r="M2968" s="21">
        <v>69132.58458923921</v>
      </c>
      <c r="N2968" s="42">
        <v>49.921419931481232</v>
      </c>
      <c r="O2968" s="43">
        <v>15629.672509747814</v>
      </c>
    </row>
    <row r="2969" spans="12:15" x14ac:dyDescent="0.2">
      <c r="L2969" s="4">
        <v>2963</v>
      </c>
      <c r="M2969" s="21">
        <v>289534.03518612299</v>
      </c>
      <c r="N2969" s="42">
        <v>51.125934040759418</v>
      </c>
      <c r="O2969" s="43">
        <v>15535.726816680466</v>
      </c>
    </row>
    <row r="2970" spans="12:15" x14ac:dyDescent="0.2">
      <c r="L2970" s="4">
        <v>2964</v>
      </c>
      <c r="M2970" s="21">
        <v>-51575.4163359878</v>
      </c>
      <c r="N2970" s="42">
        <v>50.060974276442629</v>
      </c>
      <c r="O2970" s="43">
        <v>14515.216271434403</v>
      </c>
    </row>
    <row r="2971" spans="12:15" x14ac:dyDescent="0.2">
      <c r="L2971" s="4">
        <v>2965</v>
      </c>
      <c r="M2971" s="21">
        <v>105197.88903552294</v>
      </c>
      <c r="N2971" s="42">
        <v>50.10036278993897</v>
      </c>
      <c r="O2971" s="43">
        <v>14922.329978641499</v>
      </c>
    </row>
    <row r="2972" spans="12:15" x14ac:dyDescent="0.2">
      <c r="L2972" s="4">
        <v>2966</v>
      </c>
      <c r="M2972" s="21">
        <v>-180618.03137269552</v>
      </c>
      <c r="N2972" s="42">
        <v>46.742735008203752</v>
      </c>
      <c r="O2972" s="43">
        <v>16179.4510459584</v>
      </c>
    </row>
    <row r="2973" spans="12:15" x14ac:dyDescent="0.2">
      <c r="L2973" s="4">
        <v>2967</v>
      </c>
      <c r="M2973" s="21">
        <v>-59939.661844291026</v>
      </c>
      <c r="N2973" s="42">
        <v>48.796638420909531</v>
      </c>
      <c r="O2973" s="43">
        <v>14703.585309478729</v>
      </c>
    </row>
    <row r="2974" spans="12:15" x14ac:dyDescent="0.2">
      <c r="L2974" s="4">
        <v>2968</v>
      </c>
      <c r="M2974" s="21">
        <v>-78323.087805096162</v>
      </c>
      <c r="N2974" s="42">
        <v>48.164232165232256</v>
      </c>
      <c r="O2974" s="43">
        <v>16488.928510620517</v>
      </c>
    </row>
    <row r="2975" spans="12:15" x14ac:dyDescent="0.2">
      <c r="L2975" s="4">
        <v>2969</v>
      </c>
      <c r="M2975" s="21">
        <v>106196.96515641746</v>
      </c>
      <c r="N2975" s="42">
        <v>50.035480247361576</v>
      </c>
      <c r="O2975" s="43">
        <v>14697.370399697254</v>
      </c>
    </row>
    <row r="2976" spans="12:15" x14ac:dyDescent="0.2">
      <c r="L2976" s="4">
        <v>2970</v>
      </c>
      <c r="M2976" s="21">
        <v>-230616.62143436738</v>
      </c>
      <c r="N2976" s="42">
        <v>50.706964508637085</v>
      </c>
      <c r="O2976" s="43">
        <v>11480.921057283114</v>
      </c>
    </row>
    <row r="2977" spans="12:15" x14ac:dyDescent="0.2">
      <c r="L2977" s="4">
        <v>2971</v>
      </c>
      <c r="M2977" s="21">
        <v>64865.29110696225</v>
      </c>
      <c r="N2977" s="42">
        <v>49.912376680728158</v>
      </c>
      <c r="O2977" s="43">
        <v>15672.496903670823</v>
      </c>
    </row>
    <row r="2978" spans="12:15" x14ac:dyDescent="0.2">
      <c r="L2978" s="4">
        <v>2972</v>
      </c>
      <c r="M2978" s="21">
        <v>-174582.4989671791</v>
      </c>
      <c r="N2978" s="42">
        <v>50.034374749993219</v>
      </c>
      <c r="O2978" s="43">
        <v>13863.678306446438</v>
      </c>
    </row>
    <row r="2979" spans="12:15" x14ac:dyDescent="0.2">
      <c r="L2979" s="4">
        <v>2973</v>
      </c>
      <c r="M2979" s="21">
        <v>53705.683974268351</v>
      </c>
      <c r="N2979" s="42">
        <v>51.391717914396558</v>
      </c>
      <c r="O2979" s="43">
        <v>14653.890072863163</v>
      </c>
    </row>
    <row r="2980" spans="12:15" x14ac:dyDescent="0.2">
      <c r="L2980" s="4">
        <v>2974</v>
      </c>
      <c r="M2980" s="21">
        <v>158759.52290906981</v>
      </c>
      <c r="N2980" s="42">
        <v>50.939470975129595</v>
      </c>
      <c r="O2980" s="43">
        <v>15420.195226862643</v>
      </c>
    </row>
    <row r="2981" spans="12:15" x14ac:dyDescent="0.2">
      <c r="L2981" s="4">
        <v>2975</v>
      </c>
      <c r="M2981" s="21">
        <v>-140707.3808297427</v>
      </c>
      <c r="N2981" s="42">
        <v>48.47907672068451</v>
      </c>
      <c r="O2981" s="43">
        <v>13911.642233027327</v>
      </c>
    </row>
    <row r="2982" spans="12:15" x14ac:dyDescent="0.2">
      <c r="L2982" s="4">
        <v>2976</v>
      </c>
      <c r="M2982" s="21">
        <v>138267.2119614284</v>
      </c>
      <c r="N2982" s="42">
        <v>49.886714235633761</v>
      </c>
      <c r="O2982" s="43">
        <v>16361.623923920639</v>
      </c>
    </row>
    <row r="2983" spans="12:15" x14ac:dyDescent="0.2">
      <c r="L2983" s="4">
        <v>2977</v>
      </c>
      <c r="M2983" s="21">
        <v>11214.667311639903</v>
      </c>
      <c r="N2983" s="42">
        <v>50.223128259103447</v>
      </c>
      <c r="O2983" s="43">
        <v>14106.437813012197</v>
      </c>
    </row>
    <row r="2984" spans="12:15" x14ac:dyDescent="0.2">
      <c r="L2984" s="4">
        <v>2978</v>
      </c>
      <c r="M2984" s="21">
        <v>-102523.22859941972</v>
      </c>
      <c r="N2984" s="42">
        <v>50.616895317072348</v>
      </c>
      <c r="O2984" s="43">
        <v>12259.567159263846</v>
      </c>
    </row>
    <row r="2985" spans="12:15" x14ac:dyDescent="0.2">
      <c r="L2985" s="4">
        <v>2979</v>
      </c>
      <c r="M2985" s="21">
        <v>66926.40068651858</v>
      </c>
      <c r="N2985" s="42">
        <v>48.275719472602333</v>
      </c>
      <c r="O2985" s="43">
        <v>17058.927928872057</v>
      </c>
    </row>
    <row r="2986" spans="12:15" x14ac:dyDescent="0.2">
      <c r="L2986" s="4">
        <v>2980</v>
      </c>
      <c r="M2986" s="21">
        <v>-108877.92889330129</v>
      </c>
      <c r="N2986" s="42">
        <v>47.067883033203756</v>
      </c>
      <c r="O2986" s="43">
        <v>15524.476744228679</v>
      </c>
    </row>
    <row r="2987" spans="12:15" x14ac:dyDescent="0.2">
      <c r="L2987" s="4">
        <v>2981</v>
      </c>
      <c r="M2987" s="21">
        <v>40734.553440639982</v>
      </c>
      <c r="N2987" s="42">
        <v>51.160107496922635</v>
      </c>
      <c r="O2987" s="43">
        <v>15125.01661968316</v>
      </c>
    </row>
    <row r="2988" spans="12:15" x14ac:dyDescent="0.2">
      <c r="L2988" s="4">
        <v>2982</v>
      </c>
      <c r="M2988" s="21">
        <v>24822.917881082045</v>
      </c>
      <c r="N2988" s="42">
        <v>49.890692601155152</v>
      </c>
      <c r="O2988" s="43">
        <v>15528.574568543092</v>
      </c>
    </row>
    <row r="2989" spans="12:15" x14ac:dyDescent="0.2">
      <c r="L2989" s="4">
        <v>2983</v>
      </c>
      <c r="M2989" s="21">
        <v>-33402.698681704205</v>
      </c>
      <c r="N2989" s="42">
        <v>50.041115139578537</v>
      </c>
      <c r="O2989" s="43">
        <v>13870.469994823548</v>
      </c>
    </row>
    <row r="2990" spans="12:15" x14ac:dyDescent="0.2">
      <c r="L2990" s="4">
        <v>2984</v>
      </c>
      <c r="M2990" s="21">
        <v>85923.651642482553</v>
      </c>
      <c r="N2990" s="42">
        <v>49.475319060778631</v>
      </c>
      <c r="O2990" s="43">
        <v>17607.334741505263</v>
      </c>
    </row>
    <row r="2991" spans="12:15" x14ac:dyDescent="0.2">
      <c r="L2991" s="4">
        <v>2985</v>
      </c>
      <c r="M2991" s="21">
        <v>9695.3929769557144</v>
      </c>
      <c r="N2991" s="42">
        <v>48.703450939362149</v>
      </c>
      <c r="O2991" s="43">
        <v>15623.606435463475</v>
      </c>
    </row>
    <row r="2992" spans="12:15" x14ac:dyDescent="0.2">
      <c r="L2992" s="4">
        <v>2986</v>
      </c>
      <c r="M2992" s="21">
        <v>-97099.355942193855</v>
      </c>
      <c r="N2992" s="42">
        <v>49.486854838656896</v>
      </c>
      <c r="O2992" s="43">
        <v>13722.535559447304</v>
      </c>
    </row>
    <row r="2993" spans="12:15" x14ac:dyDescent="0.2">
      <c r="L2993" s="4">
        <v>2987</v>
      </c>
      <c r="M2993" s="21">
        <v>36512.166670878563</v>
      </c>
      <c r="N2993" s="42">
        <v>47.916736904835702</v>
      </c>
      <c r="O2993" s="43">
        <v>15094.529778130287</v>
      </c>
    </row>
    <row r="2994" spans="12:15" x14ac:dyDescent="0.2">
      <c r="L2994" s="4">
        <v>2988</v>
      </c>
      <c r="M2994" s="21">
        <v>171089.3635688533</v>
      </c>
      <c r="N2994" s="42">
        <v>49.384366411761121</v>
      </c>
      <c r="O2994" s="43">
        <v>14842.357602105947</v>
      </c>
    </row>
    <row r="2995" spans="12:15" x14ac:dyDescent="0.2">
      <c r="L2995" s="4">
        <v>2989</v>
      </c>
      <c r="M2995" s="21">
        <v>82174.678952192771</v>
      </c>
      <c r="N2995" s="42">
        <v>49.4186897151598</v>
      </c>
      <c r="O2995" s="43">
        <v>14985.283530387534</v>
      </c>
    </row>
    <row r="2996" spans="12:15" x14ac:dyDescent="0.2">
      <c r="L2996" s="4">
        <v>2990</v>
      </c>
      <c r="M2996" s="21">
        <v>181049.8902053363</v>
      </c>
      <c r="N2996" s="42">
        <v>50.266658753374173</v>
      </c>
      <c r="O2996" s="43">
        <v>15078.860224263577</v>
      </c>
    </row>
    <row r="2997" spans="12:15" x14ac:dyDescent="0.2">
      <c r="L2997" s="4">
        <v>2991</v>
      </c>
      <c r="M2997" s="21">
        <v>27272.719512269628</v>
      </c>
      <c r="N2997" s="42">
        <v>50.365679818678984</v>
      </c>
      <c r="O2997" s="43">
        <v>14750.212457675745</v>
      </c>
    </row>
    <row r="2998" spans="12:15" x14ac:dyDescent="0.2">
      <c r="L2998" s="4">
        <v>2992</v>
      </c>
      <c r="M2998" s="21">
        <v>96902.519054265402</v>
      </c>
      <c r="N2998" s="42">
        <v>50.008351302998676</v>
      </c>
      <c r="O2998" s="43">
        <v>14494.311908711374</v>
      </c>
    </row>
    <row r="2999" spans="12:15" x14ac:dyDescent="0.2">
      <c r="L2999" s="4">
        <v>2993</v>
      </c>
      <c r="M2999" s="21">
        <v>-169397.81856370083</v>
      </c>
      <c r="N2999" s="42">
        <v>45.9133570787899</v>
      </c>
      <c r="O2999" s="43">
        <v>16907.785543681101</v>
      </c>
    </row>
    <row r="3000" spans="12:15" x14ac:dyDescent="0.2">
      <c r="L3000" s="4">
        <v>2994</v>
      </c>
      <c r="M3000" s="21">
        <v>-58419.409710582055</v>
      </c>
      <c r="N3000" s="42">
        <v>49.402140313000103</v>
      </c>
      <c r="O3000" s="43">
        <v>13638.929238865516</v>
      </c>
    </row>
    <row r="3001" spans="12:15" x14ac:dyDescent="0.2">
      <c r="L3001" s="4">
        <v>2995</v>
      </c>
      <c r="M3001" s="21">
        <v>-5116.1265034983226</v>
      </c>
      <c r="N3001" s="42">
        <v>51.364367991792847</v>
      </c>
      <c r="O3001" s="43">
        <v>12803.941332654353</v>
      </c>
    </row>
    <row r="3002" spans="12:15" x14ac:dyDescent="0.2">
      <c r="L3002" s="4">
        <v>2996</v>
      </c>
      <c r="M3002" s="21">
        <v>56397.502623162087</v>
      </c>
      <c r="N3002" s="42">
        <v>48.6333282307112</v>
      </c>
      <c r="O3002" s="43">
        <v>17088.923967740677</v>
      </c>
    </row>
    <row r="3003" spans="12:15" x14ac:dyDescent="0.2">
      <c r="L3003" s="4">
        <v>2997</v>
      </c>
      <c r="M3003" s="21">
        <v>3382.9236579119752</v>
      </c>
      <c r="N3003" s="42">
        <v>48.694211156476214</v>
      </c>
      <c r="O3003" s="43">
        <v>16579.712788412773</v>
      </c>
    </row>
    <row r="3004" spans="12:15" x14ac:dyDescent="0.2">
      <c r="L3004" s="4">
        <v>2998</v>
      </c>
      <c r="M3004" s="21">
        <v>-156306.38302797993</v>
      </c>
      <c r="N3004" s="42">
        <v>50.584294427426222</v>
      </c>
      <c r="O3004" s="43">
        <v>13220.040481821597</v>
      </c>
    </row>
    <row r="3005" spans="12:15" x14ac:dyDescent="0.2">
      <c r="L3005" s="4">
        <v>2999</v>
      </c>
      <c r="M3005" s="21">
        <v>-27992.2241025189</v>
      </c>
      <c r="N3005" s="42">
        <v>48.549817438701155</v>
      </c>
      <c r="O3005" s="43">
        <v>16037.139057217117</v>
      </c>
    </row>
    <row r="3006" spans="12:15" x14ac:dyDescent="0.2">
      <c r="L3006" s="4">
        <v>3000</v>
      </c>
      <c r="M3006" s="21">
        <v>-150177.68089386262</v>
      </c>
      <c r="N3006" s="42">
        <v>47.809433567968085</v>
      </c>
      <c r="O3006" s="43">
        <v>15627.209531683833</v>
      </c>
    </row>
    <row r="3007" spans="12:15" x14ac:dyDescent="0.2">
      <c r="L3007" s="4">
        <v>3001</v>
      </c>
      <c r="M3007" s="21">
        <v>-40117.89719617524</v>
      </c>
      <c r="N3007" s="42">
        <v>50.233464957343742</v>
      </c>
      <c r="O3007" s="43">
        <v>16224.847529494184</v>
      </c>
    </row>
    <row r="3008" spans="12:15" x14ac:dyDescent="0.2">
      <c r="L3008" s="4">
        <v>3002</v>
      </c>
      <c r="M3008" s="21">
        <v>97319.955260188988</v>
      </c>
      <c r="N3008" s="42">
        <v>47.669084465836704</v>
      </c>
      <c r="O3008" s="43">
        <v>18088.725774611135</v>
      </c>
    </row>
    <row r="3009" spans="12:15" x14ac:dyDescent="0.2">
      <c r="L3009" s="4">
        <v>3003</v>
      </c>
      <c r="M3009" s="21">
        <v>-218407.07865879888</v>
      </c>
      <c r="N3009" s="42">
        <v>49.78499150375869</v>
      </c>
      <c r="O3009" s="43">
        <v>13375.339778564221</v>
      </c>
    </row>
    <row r="3010" spans="12:15" x14ac:dyDescent="0.2">
      <c r="L3010" s="4">
        <v>3004</v>
      </c>
      <c r="M3010" s="21">
        <v>-31541.136105435973</v>
      </c>
      <c r="N3010" s="42">
        <v>49.014139996726897</v>
      </c>
      <c r="O3010" s="43">
        <v>15568.642245030049</v>
      </c>
    </row>
    <row r="3011" spans="12:15" x14ac:dyDescent="0.2">
      <c r="L3011" s="4">
        <v>3005</v>
      </c>
      <c r="M3011" s="21">
        <v>-97866.242474969447</v>
      </c>
      <c r="N3011" s="42">
        <v>49.251782534357318</v>
      </c>
      <c r="O3011" s="43">
        <v>14397.538756328073</v>
      </c>
    </row>
    <row r="3012" spans="12:15" x14ac:dyDescent="0.2">
      <c r="L3012" s="4">
        <v>3006</v>
      </c>
      <c r="M3012" s="21">
        <v>105725.16622685091</v>
      </c>
      <c r="N3012" s="42">
        <v>48.700477504957639</v>
      </c>
      <c r="O3012" s="43">
        <v>16429.504894554106</v>
      </c>
    </row>
    <row r="3013" spans="12:15" x14ac:dyDescent="0.2">
      <c r="L3013" s="4">
        <v>3007</v>
      </c>
      <c r="M3013" s="21">
        <v>-102540.25170889018</v>
      </c>
      <c r="N3013" s="42">
        <v>48.426953575564355</v>
      </c>
      <c r="O3013" s="43">
        <v>15345.757441184631</v>
      </c>
    </row>
    <row r="3014" spans="12:15" x14ac:dyDescent="0.2">
      <c r="L3014" s="4">
        <v>3008</v>
      </c>
      <c r="M3014" s="21">
        <v>-13820.367622640493</v>
      </c>
      <c r="N3014" s="42">
        <v>48.348827879817726</v>
      </c>
      <c r="O3014" s="43">
        <v>16039.465936613666</v>
      </c>
    </row>
    <row r="3015" spans="12:15" x14ac:dyDescent="0.2">
      <c r="L3015" s="4">
        <v>3009</v>
      </c>
      <c r="M3015" s="21">
        <v>192656.46356009867</v>
      </c>
      <c r="N3015" s="42">
        <v>47.449594134604347</v>
      </c>
      <c r="O3015" s="43">
        <v>16491.387344992709</v>
      </c>
    </row>
    <row r="3016" spans="12:15" x14ac:dyDescent="0.2">
      <c r="L3016" s="4">
        <v>3010</v>
      </c>
      <c r="M3016" s="21">
        <v>-332416.02986577502</v>
      </c>
      <c r="N3016" s="42">
        <v>47.56349789478702</v>
      </c>
      <c r="O3016" s="43">
        <v>14310.397228811536</v>
      </c>
    </row>
    <row r="3017" spans="12:15" x14ac:dyDescent="0.2">
      <c r="L3017" s="4">
        <v>3011</v>
      </c>
      <c r="M3017" s="21">
        <v>-155954.17677148053</v>
      </c>
      <c r="N3017" s="42">
        <v>48.982180798359764</v>
      </c>
      <c r="O3017" s="43">
        <v>14293.647159689213</v>
      </c>
    </row>
    <row r="3018" spans="12:15" x14ac:dyDescent="0.2">
      <c r="L3018" s="4">
        <v>3012</v>
      </c>
      <c r="M3018" s="21">
        <v>28392.339602759166</v>
      </c>
      <c r="N3018" s="42">
        <v>49.977317823271335</v>
      </c>
      <c r="O3018" s="43">
        <v>14514.039748116335</v>
      </c>
    </row>
    <row r="3019" spans="12:15" x14ac:dyDescent="0.2">
      <c r="L3019" s="4">
        <v>3013</v>
      </c>
      <c r="M3019" s="21">
        <v>34696.644860488101</v>
      </c>
      <c r="N3019" s="42">
        <v>47.219395334804233</v>
      </c>
      <c r="O3019" s="43">
        <v>16951.037064305325</v>
      </c>
    </row>
    <row r="3020" spans="12:15" x14ac:dyDescent="0.2">
      <c r="L3020" s="4">
        <v>3014</v>
      </c>
      <c r="M3020" s="21">
        <v>-44093.813740194295</v>
      </c>
      <c r="N3020" s="42">
        <v>50.892709435354888</v>
      </c>
      <c r="O3020" s="43">
        <v>13306.164471711692</v>
      </c>
    </row>
    <row r="3021" spans="12:15" x14ac:dyDescent="0.2">
      <c r="L3021" s="4">
        <v>3015</v>
      </c>
      <c r="M3021" s="21">
        <v>-56146.396353093587</v>
      </c>
      <c r="N3021" s="42">
        <v>50.204390188421996</v>
      </c>
      <c r="O3021" s="43">
        <v>13964.498497617145</v>
      </c>
    </row>
    <row r="3022" spans="12:15" x14ac:dyDescent="0.2">
      <c r="L3022" s="4">
        <v>3016</v>
      </c>
      <c r="M3022" s="21">
        <v>-80425.448009468164</v>
      </c>
      <c r="N3022" s="42">
        <v>47.413184758229136</v>
      </c>
      <c r="O3022" s="43">
        <v>16670.530867933387</v>
      </c>
    </row>
    <row r="3023" spans="12:15" x14ac:dyDescent="0.2">
      <c r="L3023" s="4">
        <v>3017</v>
      </c>
      <c r="M3023" s="21">
        <v>-59510.748856677354</v>
      </c>
      <c r="N3023" s="42">
        <v>49.303683706104152</v>
      </c>
      <c r="O3023" s="43">
        <v>13296.10157326236</v>
      </c>
    </row>
    <row r="3024" spans="12:15" x14ac:dyDescent="0.2">
      <c r="L3024" s="4">
        <v>3018</v>
      </c>
      <c r="M3024" s="21">
        <v>-79914.223635326416</v>
      </c>
      <c r="N3024" s="42">
        <v>49.757424312977733</v>
      </c>
      <c r="O3024" s="43">
        <v>13097.020566152674</v>
      </c>
    </row>
    <row r="3025" spans="12:15" x14ac:dyDescent="0.2">
      <c r="L3025" s="4">
        <v>3019</v>
      </c>
      <c r="M3025" s="21">
        <v>72721.073473180906</v>
      </c>
      <c r="N3025" s="42">
        <v>51.439628850059798</v>
      </c>
      <c r="O3025" s="43">
        <v>13858.18819532996</v>
      </c>
    </row>
    <row r="3026" spans="12:15" x14ac:dyDescent="0.2">
      <c r="L3026" s="4">
        <v>3020</v>
      </c>
      <c r="M3026" s="21">
        <v>72752.215686630516</v>
      </c>
      <c r="N3026" s="42">
        <v>48.587971622276903</v>
      </c>
      <c r="O3026" s="43">
        <v>16825.783315915818</v>
      </c>
    </row>
    <row r="3027" spans="12:15" x14ac:dyDescent="0.2">
      <c r="L3027" s="4">
        <v>3021</v>
      </c>
      <c r="M3027" s="21">
        <v>39031.62809495331</v>
      </c>
      <c r="N3027" s="42">
        <v>50.866810263312061</v>
      </c>
      <c r="O3027" s="43">
        <v>14206.620597710244</v>
      </c>
    </row>
    <row r="3028" spans="12:15" x14ac:dyDescent="0.2">
      <c r="L3028" s="4">
        <v>3022</v>
      </c>
      <c r="M3028" s="21">
        <v>79186.649596083502</v>
      </c>
      <c r="N3028" s="42">
        <v>50.331243236512258</v>
      </c>
      <c r="O3028" s="43">
        <v>15057.178379129949</v>
      </c>
    </row>
    <row r="3029" spans="12:15" x14ac:dyDescent="0.2">
      <c r="L3029" s="4">
        <v>3023</v>
      </c>
      <c r="M3029" s="21">
        <v>-117370.59211445015</v>
      </c>
      <c r="N3029" s="42">
        <v>50.226632407022535</v>
      </c>
      <c r="O3029" s="43">
        <v>11894.541483039371</v>
      </c>
    </row>
    <row r="3030" spans="12:15" x14ac:dyDescent="0.2">
      <c r="L3030" s="4">
        <v>3024</v>
      </c>
      <c r="M3030" s="21">
        <v>83290.936618631706</v>
      </c>
      <c r="N3030" s="42">
        <v>51.230597863514717</v>
      </c>
      <c r="O3030" s="43">
        <v>15343.308868720082</v>
      </c>
    </row>
    <row r="3031" spans="12:15" x14ac:dyDescent="0.2">
      <c r="L3031" s="4">
        <v>3025</v>
      </c>
      <c r="M3031" s="21">
        <v>-55418.588550555374</v>
      </c>
      <c r="N3031" s="42">
        <v>48.297607377083239</v>
      </c>
      <c r="O3031" s="43">
        <v>13989.973785366145</v>
      </c>
    </row>
    <row r="3032" spans="12:15" x14ac:dyDescent="0.2">
      <c r="L3032" s="4">
        <v>3026</v>
      </c>
      <c r="M3032" s="21">
        <v>-83108.520571919158</v>
      </c>
      <c r="N3032" s="42">
        <v>47.564412535332217</v>
      </c>
      <c r="O3032" s="43">
        <v>16161.506880371149</v>
      </c>
    </row>
    <row r="3033" spans="12:15" x14ac:dyDescent="0.2">
      <c r="L3033" s="4">
        <v>3027</v>
      </c>
      <c r="M3033" s="21">
        <v>-105217.3428535635</v>
      </c>
      <c r="N3033" s="42">
        <v>46.734811333475747</v>
      </c>
      <c r="O3033" s="43">
        <v>17406.293945695041</v>
      </c>
    </row>
    <row r="3034" spans="12:15" x14ac:dyDescent="0.2">
      <c r="L3034" s="4">
        <v>3028</v>
      </c>
      <c r="M3034" s="21">
        <v>-7270.544196736053</v>
      </c>
      <c r="N3034" s="42">
        <v>50.526226121935409</v>
      </c>
      <c r="O3034" s="43">
        <v>14418.956474213097</v>
      </c>
    </row>
    <row r="3035" spans="12:15" x14ac:dyDescent="0.2">
      <c r="L3035" s="4">
        <v>3029</v>
      </c>
      <c r="M3035" s="21">
        <v>-44047.435892685171</v>
      </c>
      <c r="N3035" s="42">
        <v>49.523488836399459</v>
      </c>
      <c r="O3035" s="43">
        <v>14713.106786162147</v>
      </c>
    </row>
    <row r="3036" spans="12:15" x14ac:dyDescent="0.2">
      <c r="L3036" s="4">
        <v>3030</v>
      </c>
      <c r="M3036" s="21">
        <v>-78998.580474091519</v>
      </c>
      <c r="N3036" s="42">
        <v>50.476087725357253</v>
      </c>
      <c r="O3036" s="43">
        <v>13403.819254694188</v>
      </c>
    </row>
    <row r="3037" spans="12:15" x14ac:dyDescent="0.2">
      <c r="L3037" s="4">
        <v>3031</v>
      </c>
      <c r="M3037" s="21">
        <v>-120810.25174873167</v>
      </c>
      <c r="N3037" s="42">
        <v>45.843668310235458</v>
      </c>
      <c r="O3037" s="43">
        <v>17362.695740039173</v>
      </c>
    </row>
    <row r="3038" spans="12:15" x14ac:dyDescent="0.2">
      <c r="L3038" s="4">
        <v>3032</v>
      </c>
      <c r="M3038" s="21">
        <v>-107340.87669101563</v>
      </c>
      <c r="N3038" s="42">
        <v>49.808629290348193</v>
      </c>
      <c r="O3038" s="43">
        <v>13280.964968967402</v>
      </c>
    </row>
    <row r="3039" spans="12:15" x14ac:dyDescent="0.2">
      <c r="L3039" s="4">
        <v>3033</v>
      </c>
      <c r="M3039" s="21">
        <v>-48284.016736531004</v>
      </c>
      <c r="N3039" s="42">
        <v>51.766869874385876</v>
      </c>
      <c r="O3039" s="43">
        <v>14075.04777191504</v>
      </c>
    </row>
    <row r="3040" spans="12:15" x14ac:dyDescent="0.2">
      <c r="L3040" s="4">
        <v>3034</v>
      </c>
      <c r="M3040" s="21">
        <v>100226.07197152794</v>
      </c>
      <c r="N3040" s="42">
        <v>50.239796142564501</v>
      </c>
      <c r="O3040" s="43">
        <v>15765.115360360509</v>
      </c>
    </row>
    <row r="3041" spans="12:15" x14ac:dyDescent="0.2">
      <c r="L3041" s="4">
        <v>3035</v>
      </c>
      <c r="M3041" s="21">
        <v>-129848.36371430274</v>
      </c>
      <c r="N3041" s="42">
        <v>48.264764538870701</v>
      </c>
      <c r="O3041" s="43">
        <v>13762.599193325565</v>
      </c>
    </row>
    <row r="3042" spans="12:15" x14ac:dyDescent="0.2">
      <c r="L3042" s="4">
        <v>3036</v>
      </c>
      <c r="M3042" s="21">
        <v>-238483.87139572788</v>
      </c>
      <c r="N3042" s="42">
        <v>47.631302543247969</v>
      </c>
      <c r="O3042" s="43">
        <v>14469.616742342878</v>
      </c>
    </row>
    <row r="3043" spans="12:15" x14ac:dyDescent="0.2">
      <c r="L3043" s="4">
        <v>3037</v>
      </c>
      <c r="M3043" s="21">
        <v>-65405.240865508735</v>
      </c>
      <c r="N3043" s="42">
        <v>50.2631430712172</v>
      </c>
      <c r="O3043" s="43">
        <v>13211.698208421638</v>
      </c>
    </row>
    <row r="3044" spans="12:15" x14ac:dyDescent="0.2">
      <c r="L3044" s="4">
        <v>3038</v>
      </c>
      <c r="M3044" s="21">
        <v>-187957.33008658301</v>
      </c>
      <c r="N3044" s="42">
        <v>50.36342757601458</v>
      </c>
      <c r="O3044" s="43">
        <v>12689.171449127172</v>
      </c>
    </row>
    <row r="3045" spans="12:15" x14ac:dyDescent="0.2">
      <c r="L3045" s="4">
        <v>3039</v>
      </c>
      <c r="M3045" s="21">
        <v>-191316.18586155417</v>
      </c>
      <c r="N3045" s="42">
        <v>51.785033791849607</v>
      </c>
      <c r="O3045" s="43">
        <v>12408.916009693792</v>
      </c>
    </row>
    <row r="3046" spans="12:15" x14ac:dyDescent="0.2">
      <c r="L3046" s="4">
        <v>3040</v>
      </c>
      <c r="M3046" s="21">
        <v>177779.031392117</v>
      </c>
      <c r="N3046" s="42">
        <v>49.531583367560899</v>
      </c>
      <c r="O3046" s="43">
        <v>16390.187300811296</v>
      </c>
    </row>
    <row r="3047" spans="12:15" x14ac:dyDescent="0.2">
      <c r="L3047" s="4">
        <v>3041</v>
      </c>
      <c r="M3047" s="21">
        <v>-133195.29357251077</v>
      </c>
      <c r="N3047" s="42">
        <v>49.166837144681494</v>
      </c>
      <c r="O3047" s="43">
        <v>14300.858545421233</v>
      </c>
    </row>
    <row r="3048" spans="12:15" x14ac:dyDescent="0.2">
      <c r="L3048" s="4">
        <v>3042</v>
      </c>
      <c r="M3048" s="21">
        <v>37375.199227328732</v>
      </c>
      <c r="N3048" s="42">
        <v>50.883003432857443</v>
      </c>
      <c r="O3048" s="43">
        <v>13766.692731522267</v>
      </c>
    </row>
    <row r="3049" spans="12:15" x14ac:dyDescent="0.2">
      <c r="L3049" s="4">
        <v>3043</v>
      </c>
      <c r="M3049" s="21">
        <v>153179.11013934025</v>
      </c>
      <c r="N3049" s="42">
        <v>50.237165138735257</v>
      </c>
      <c r="O3049" s="43">
        <v>16025.439964919606</v>
      </c>
    </row>
    <row r="3050" spans="12:15" x14ac:dyDescent="0.2">
      <c r="L3050" s="4">
        <v>3044</v>
      </c>
      <c r="M3050" s="21">
        <v>-106324.56188723842</v>
      </c>
      <c r="N3050" s="42">
        <v>47.084403317129151</v>
      </c>
      <c r="O3050" s="43">
        <v>13701.623973650261</v>
      </c>
    </row>
    <row r="3051" spans="12:15" x14ac:dyDescent="0.2">
      <c r="L3051" s="4">
        <v>3045</v>
      </c>
      <c r="M3051" s="21">
        <v>-126806.01569922276</v>
      </c>
      <c r="N3051" s="42">
        <v>47.502321670929327</v>
      </c>
      <c r="O3051" s="43">
        <v>16281.942266591945</v>
      </c>
    </row>
    <row r="3052" spans="12:15" x14ac:dyDescent="0.2">
      <c r="L3052" s="4">
        <v>3046</v>
      </c>
      <c r="M3052" s="21">
        <v>-102712.70032798209</v>
      </c>
      <c r="N3052" s="42">
        <v>50.29857129049558</v>
      </c>
      <c r="O3052" s="43">
        <v>14570.640121682653</v>
      </c>
    </row>
    <row r="3053" spans="12:15" x14ac:dyDescent="0.2">
      <c r="L3053" s="4">
        <v>3047</v>
      </c>
      <c r="M3053" s="21">
        <v>115511.14528098053</v>
      </c>
      <c r="N3053" s="42">
        <v>49.589162455280942</v>
      </c>
      <c r="O3053" s="43">
        <v>17406.407874559896</v>
      </c>
    </row>
    <row r="3054" spans="12:15" x14ac:dyDescent="0.2">
      <c r="L3054" s="4">
        <v>3048</v>
      </c>
      <c r="M3054" s="21">
        <v>-17598.886933374612</v>
      </c>
      <c r="N3054" s="42">
        <v>48.47145322218671</v>
      </c>
      <c r="O3054" s="43">
        <v>15461.750638461554</v>
      </c>
    </row>
    <row r="3055" spans="12:15" x14ac:dyDescent="0.2">
      <c r="L3055" s="4">
        <v>3049</v>
      </c>
      <c r="M3055" s="21">
        <v>-108540.16554730684</v>
      </c>
      <c r="N3055" s="42">
        <v>50.576294455126899</v>
      </c>
      <c r="O3055" s="43">
        <v>12733.620594313772</v>
      </c>
    </row>
    <row r="3056" spans="12:15" x14ac:dyDescent="0.2">
      <c r="L3056" s="4">
        <v>3050</v>
      </c>
      <c r="M3056" s="21">
        <v>-174525.44340975789</v>
      </c>
      <c r="N3056" s="42">
        <v>48.604531513314264</v>
      </c>
      <c r="O3056" s="43">
        <v>12441.897943575954</v>
      </c>
    </row>
    <row r="3057" spans="12:15" x14ac:dyDescent="0.2">
      <c r="L3057" s="4">
        <v>3051</v>
      </c>
      <c r="M3057" s="21">
        <v>71816.463827667903</v>
      </c>
      <c r="N3057" s="42">
        <v>49.728231793006287</v>
      </c>
      <c r="O3057" s="43">
        <v>14566.688236580796</v>
      </c>
    </row>
    <row r="3058" spans="12:15" x14ac:dyDescent="0.2">
      <c r="L3058" s="4">
        <v>3052</v>
      </c>
      <c r="M3058" s="21">
        <v>145410.03355139389</v>
      </c>
      <c r="N3058" s="42">
        <v>50.253571307464767</v>
      </c>
      <c r="O3058" s="43">
        <v>15893.328859278541</v>
      </c>
    </row>
    <row r="3059" spans="12:15" x14ac:dyDescent="0.2">
      <c r="L3059" s="4">
        <v>3053</v>
      </c>
      <c r="M3059" s="21">
        <v>38724.190371076518</v>
      </c>
      <c r="N3059" s="42">
        <v>48.825902138739842</v>
      </c>
      <c r="O3059" s="43">
        <v>15912.641211047903</v>
      </c>
    </row>
    <row r="3060" spans="12:15" x14ac:dyDescent="0.2">
      <c r="L3060" s="4">
        <v>3054</v>
      </c>
      <c r="M3060" s="21">
        <v>-81292.253457554572</v>
      </c>
      <c r="N3060" s="42">
        <v>51.266353465054209</v>
      </c>
      <c r="O3060" s="43">
        <v>11588.66938001247</v>
      </c>
    </row>
    <row r="3061" spans="12:15" x14ac:dyDescent="0.2">
      <c r="L3061" s="4">
        <v>3055</v>
      </c>
      <c r="M3061" s="21">
        <v>31303.824511667917</v>
      </c>
      <c r="N3061" s="42">
        <v>50.322210855930521</v>
      </c>
      <c r="O3061" s="43">
        <v>13761.380706726542</v>
      </c>
    </row>
    <row r="3062" spans="12:15" x14ac:dyDescent="0.2">
      <c r="L3062" s="4">
        <v>3056</v>
      </c>
      <c r="M3062" s="21">
        <v>76073.678210270766</v>
      </c>
      <c r="N3062" s="42">
        <v>47.837676546720623</v>
      </c>
      <c r="O3062" s="43">
        <v>18248.15641430116</v>
      </c>
    </row>
    <row r="3063" spans="12:15" x14ac:dyDescent="0.2">
      <c r="L3063" s="4">
        <v>3057</v>
      </c>
      <c r="M3063" s="21">
        <v>-346551.1529207509</v>
      </c>
      <c r="N3063" s="42">
        <v>46.015687075414313</v>
      </c>
      <c r="O3063" s="43">
        <v>13818.879262714139</v>
      </c>
    </row>
    <row r="3064" spans="12:15" x14ac:dyDescent="0.2">
      <c r="L3064" s="4">
        <v>3058</v>
      </c>
      <c r="M3064" s="21">
        <v>32745.650457612996</v>
      </c>
      <c r="N3064" s="42">
        <v>50.727539143974511</v>
      </c>
      <c r="O3064" s="43">
        <v>14784.990037589392</v>
      </c>
    </row>
    <row r="3065" spans="12:15" x14ac:dyDescent="0.2">
      <c r="L3065" s="4">
        <v>3059</v>
      </c>
      <c r="M3065" s="21">
        <v>102606.0679012035</v>
      </c>
      <c r="N3065" s="42">
        <v>51.053498737329818</v>
      </c>
      <c r="O3065" s="43">
        <v>15180.458354182698</v>
      </c>
    </row>
    <row r="3066" spans="12:15" x14ac:dyDescent="0.2">
      <c r="L3066" s="4">
        <v>3060</v>
      </c>
      <c r="M3066" s="21">
        <v>18112.749295764021</v>
      </c>
      <c r="N3066" s="42">
        <v>51.087448154241493</v>
      </c>
      <c r="O3066" s="43">
        <v>13273.164888401323</v>
      </c>
    </row>
    <row r="3067" spans="12:15" x14ac:dyDescent="0.2">
      <c r="L3067" s="4">
        <v>3061</v>
      </c>
      <c r="M3067" s="21">
        <v>81678.512077193562</v>
      </c>
      <c r="N3067" s="42">
        <v>49.537017523782367</v>
      </c>
      <c r="O3067" s="43">
        <v>15263.5944698782</v>
      </c>
    </row>
    <row r="3068" spans="12:15" x14ac:dyDescent="0.2">
      <c r="L3068" s="4">
        <v>3062</v>
      </c>
      <c r="M3068" s="21">
        <v>-256088.02213860562</v>
      </c>
      <c r="N3068" s="42">
        <v>47.907658577990432</v>
      </c>
      <c r="O3068" s="43">
        <v>13324.165806793262</v>
      </c>
    </row>
    <row r="3069" spans="12:15" x14ac:dyDescent="0.2">
      <c r="L3069" s="4">
        <v>3063</v>
      </c>
      <c r="M3069" s="21">
        <v>-288640.16101163143</v>
      </c>
      <c r="N3069" s="42">
        <v>46.898837583895663</v>
      </c>
      <c r="O3069" s="43">
        <v>14875.790363360644</v>
      </c>
    </row>
    <row r="3070" spans="12:15" x14ac:dyDescent="0.2">
      <c r="L3070" s="4">
        <v>3064</v>
      </c>
      <c r="M3070" s="21">
        <v>128981.80559759532</v>
      </c>
      <c r="N3070" s="42">
        <v>49.034263526999197</v>
      </c>
      <c r="O3070" s="43">
        <v>15482.121672268822</v>
      </c>
    </row>
    <row r="3071" spans="12:15" x14ac:dyDescent="0.2">
      <c r="L3071" s="4">
        <v>3065</v>
      </c>
      <c r="M3071" s="21">
        <v>-19368.365750531055</v>
      </c>
      <c r="N3071" s="42">
        <v>48.603914591187014</v>
      </c>
      <c r="O3071" s="43">
        <v>15316.16430026419</v>
      </c>
    </row>
    <row r="3072" spans="12:15" x14ac:dyDescent="0.2">
      <c r="L3072" s="4">
        <v>3066</v>
      </c>
      <c r="M3072" s="21">
        <v>124188.27843970011</v>
      </c>
      <c r="N3072" s="42">
        <v>49.650405786701107</v>
      </c>
      <c r="O3072" s="43">
        <v>16827.245067623375</v>
      </c>
    </row>
    <row r="3073" spans="12:15" x14ac:dyDescent="0.2">
      <c r="L3073" s="4">
        <v>3067</v>
      </c>
      <c r="M3073" s="21">
        <v>21973.170282527106</v>
      </c>
      <c r="N3073" s="42">
        <v>51.009587619215608</v>
      </c>
      <c r="O3073" s="43">
        <v>14006.955230220201</v>
      </c>
    </row>
    <row r="3074" spans="12:15" x14ac:dyDescent="0.2">
      <c r="L3074" s="4">
        <v>3068</v>
      </c>
      <c r="M3074" s="21">
        <v>-153785.02198963513</v>
      </c>
      <c r="N3074" s="42">
        <v>50.650641152911852</v>
      </c>
      <c r="O3074" s="43">
        <v>11817.64714866237</v>
      </c>
    </row>
    <row r="3075" spans="12:15" x14ac:dyDescent="0.2">
      <c r="L3075" s="4">
        <v>3069</v>
      </c>
      <c r="M3075" s="21">
        <v>91394.575078296446</v>
      </c>
      <c r="N3075" s="42">
        <v>50.56268077909327</v>
      </c>
      <c r="O3075" s="43">
        <v>16515.680122166879</v>
      </c>
    </row>
    <row r="3076" spans="12:15" x14ac:dyDescent="0.2">
      <c r="L3076" s="4">
        <v>3070</v>
      </c>
      <c r="M3076" s="21">
        <v>14749.253977182147</v>
      </c>
      <c r="N3076" s="42">
        <v>46.803812324351597</v>
      </c>
      <c r="O3076" s="43">
        <v>16670.421321257589</v>
      </c>
    </row>
    <row r="3077" spans="12:15" x14ac:dyDescent="0.2">
      <c r="L3077" s="4">
        <v>3071</v>
      </c>
      <c r="M3077" s="21">
        <v>9431.0003768948955</v>
      </c>
      <c r="N3077" s="42">
        <v>46.83991744586298</v>
      </c>
      <c r="O3077" s="43">
        <v>17404.616026315882</v>
      </c>
    </row>
    <row r="3078" spans="12:15" x14ac:dyDescent="0.2">
      <c r="L3078" s="4">
        <v>3072</v>
      </c>
      <c r="M3078" s="21">
        <v>144011.02739266411</v>
      </c>
      <c r="N3078" s="42">
        <v>49.346703642067482</v>
      </c>
      <c r="O3078" s="43">
        <v>15461.203243999566</v>
      </c>
    </row>
    <row r="3079" spans="12:15" x14ac:dyDescent="0.2">
      <c r="L3079" s="4">
        <v>3073</v>
      </c>
      <c r="M3079" s="21">
        <v>-84283.374312481057</v>
      </c>
      <c r="N3079" s="42">
        <v>48.109062690696483</v>
      </c>
      <c r="O3079" s="43">
        <v>15392.093720871992</v>
      </c>
    </row>
    <row r="3080" spans="12:15" x14ac:dyDescent="0.2">
      <c r="L3080" s="4">
        <v>3074</v>
      </c>
      <c r="M3080" s="21">
        <v>70307.866665864916</v>
      </c>
      <c r="N3080" s="42">
        <v>50.365804279376178</v>
      </c>
      <c r="O3080" s="43">
        <v>15041.397710236382</v>
      </c>
    </row>
    <row r="3081" spans="12:15" x14ac:dyDescent="0.2">
      <c r="L3081" s="4">
        <v>3075</v>
      </c>
      <c r="M3081" s="21">
        <v>-171802.6495558059</v>
      </c>
      <c r="N3081" s="42">
        <v>49.372976578129638</v>
      </c>
      <c r="O3081" s="43">
        <v>13525.28690818145</v>
      </c>
    </row>
    <row r="3082" spans="12:15" x14ac:dyDescent="0.2">
      <c r="L3082" s="4">
        <v>3076</v>
      </c>
      <c r="M3082" s="21">
        <v>26537.046377203485</v>
      </c>
      <c r="N3082" s="42">
        <v>48.375637467625815</v>
      </c>
      <c r="O3082" s="43">
        <v>17227.934775483183</v>
      </c>
    </row>
    <row r="3083" spans="12:15" x14ac:dyDescent="0.2">
      <c r="L3083" s="4">
        <v>3077</v>
      </c>
      <c r="M3083" s="21">
        <v>-119379.72600330936</v>
      </c>
      <c r="N3083" s="42">
        <v>48.348124314047496</v>
      </c>
      <c r="O3083" s="43">
        <v>14841.250706083865</v>
      </c>
    </row>
    <row r="3084" spans="12:15" x14ac:dyDescent="0.2">
      <c r="L3084" s="4">
        <v>3078</v>
      </c>
      <c r="M3084" s="21">
        <v>-43168.04474139947</v>
      </c>
      <c r="N3084" s="42">
        <v>47.40304068924933</v>
      </c>
      <c r="O3084" s="43">
        <v>17380.981165651225</v>
      </c>
    </row>
    <row r="3085" spans="12:15" x14ac:dyDescent="0.2">
      <c r="L3085" s="4">
        <v>3079</v>
      </c>
      <c r="M3085" s="21">
        <v>-156507.88840176282</v>
      </c>
      <c r="N3085" s="42">
        <v>49.948615090927895</v>
      </c>
      <c r="O3085" s="43">
        <v>13487.130188748344</v>
      </c>
    </row>
    <row r="3086" spans="12:15" x14ac:dyDescent="0.2">
      <c r="L3086" s="4">
        <v>3080</v>
      </c>
      <c r="M3086" s="21">
        <v>91907.434314835176</v>
      </c>
      <c r="N3086" s="42">
        <v>49.913519412599918</v>
      </c>
      <c r="O3086" s="43">
        <v>14667.184500693334</v>
      </c>
    </row>
    <row r="3087" spans="12:15" x14ac:dyDescent="0.2">
      <c r="L3087" s="4">
        <v>3081</v>
      </c>
      <c r="M3087" s="21">
        <v>-112758.94845582158</v>
      </c>
      <c r="N3087" s="42">
        <v>48.82284035711001</v>
      </c>
      <c r="O3087" s="43">
        <v>14672.841670920481</v>
      </c>
    </row>
    <row r="3088" spans="12:15" x14ac:dyDescent="0.2">
      <c r="L3088" s="4">
        <v>3082</v>
      </c>
      <c r="M3088" s="21">
        <v>-12735.057561789581</v>
      </c>
      <c r="N3088" s="42">
        <v>48.308287220727074</v>
      </c>
      <c r="O3088" s="43">
        <v>15452.246863964807</v>
      </c>
    </row>
    <row r="3089" spans="12:15" x14ac:dyDescent="0.2">
      <c r="L3089" s="4">
        <v>3083</v>
      </c>
      <c r="M3089" s="21">
        <v>142485.36396132564</v>
      </c>
      <c r="N3089" s="42">
        <v>51.225088626192182</v>
      </c>
      <c r="O3089" s="43">
        <v>15391.543006725939</v>
      </c>
    </row>
    <row r="3090" spans="12:15" x14ac:dyDescent="0.2">
      <c r="L3090" s="4">
        <v>3084</v>
      </c>
      <c r="M3090" s="21">
        <v>-49445.723358482748</v>
      </c>
      <c r="N3090" s="42">
        <v>51.233228331050221</v>
      </c>
      <c r="O3090" s="43">
        <v>13326.142208862662</v>
      </c>
    </row>
    <row r="3091" spans="12:15" x14ac:dyDescent="0.2">
      <c r="L3091" s="4">
        <v>3085</v>
      </c>
      <c r="M3091" s="21">
        <v>-18480.762897146138</v>
      </c>
      <c r="N3091" s="42">
        <v>49.021744303151692</v>
      </c>
      <c r="O3091" s="43">
        <v>14493.623598759272</v>
      </c>
    </row>
    <row r="3092" spans="12:15" x14ac:dyDescent="0.2">
      <c r="L3092" s="4">
        <v>3086</v>
      </c>
      <c r="M3092" s="21">
        <v>-91333.810849611313</v>
      </c>
      <c r="N3092" s="42">
        <v>50.09431600917852</v>
      </c>
      <c r="O3092" s="43">
        <v>13270.494662558995</v>
      </c>
    </row>
    <row r="3093" spans="12:15" x14ac:dyDescent="0.2">
      <c r="L3093" s="4">
        <v>3087</v>
      </c>
      <c r="M3093" s="21">
        <v>3110.0801486285054</v>
      </c>
      <c r="N3093" s="42">
        <v>46.917135588564342</v>
      </c>
      <c r="O3093" s="43">
        <v>16591.175576747937</v>
      </c>
    </row>
    <row r="3094" spans="12:15" x14ac:dyDescent="0.2">
      <c r="L3094" s="4">
        <v>3088</v>
      </c>
      <c r="M3094" s="21">
        <v>89360.04828740604</v>
      </c>
      <c r="N3094" s="42">
        <v>51.178407377113182</v>
      </c>
      <c r="O3094" s="43">
        <v>14053.233164389296</v>
      </c>
    </row>
    <row r="3095" spans="12:15" x14ac:dyDescent="0.2">
      <c r="L3095" s="4">
        <v>3089</v>
      </c>
      <c r="M3095" s="21">
        <v>-30879.879363036598</v>
      </c>
      <c r="N3095" s="42">
        <v>49.69901959032196</v>
      </c>
      <c r="O3095" s="43">
        <v>14164.27553690381</v>
      </c>
    </row>
    <row r="3096" spans="12:15" x14ac:dyDescent="0.2">
      <c r="L3096" s="4">
        <v>3090</v>
      </c>
      <c r="M3096" s="21">
        <v>50057.520310198888</v>
      </c>
      <c r="N3096" s="42">
        <v>50.834756427406944</v>
      </c>
      <c r="O3096" s="43">
        <v>13295.368275731615</v>
      </c>
    </row>
    <row r="3097" spans="12:15" x14ac:dyDescent="0.2">
      <c r="L3097" s="4">
        <v>3091</v>
      </c>
      <c r="M3097" s="21">
        <v>92258.105750559072</v>
      </c>
      <c r="N3097" s="42">
        <v>48.911807700391563</v>
      </c>
      <c r="O3097" s="43">
        <v>17024.273821852927</v>
      </c>
    </row>
    <row r="3098" spans="12:15" x14ac:dyDescent="0.2">
      <c r="L3098" s="4">
        <v>3092</v>
      </c>
      <c r="M3098" s="21">
        <v>-55965.46794223132</v>
      </c>
      <c r="N3098" s="42">
        <v>48.390230367953485</v>
      </c>
      <c r="O3098" s="43">
        <v>16037.149698536912</v>
      </c>
    </row>
    <row r="3099" spans="12:15" x14ac:dyDescent="0.2">
      <c r="L3099" s="4">
        <v>3093</v>
      </c>
      <c r="M3099" s="21">
        <v>-42743.045544827954</v>
      </c>
      <c r="N3099" s="42">
        <v>48.214914832285352</v>
      </c>
      <c r="O3099" s="43">
        <v>15543.156475519192</v>
      </c>
    </row>
    <row r="3100" spans="12:15" x14ac:dyDescent="0.2">
      <c r="L3100" s="4">
        <v>3094</v>
      </c>
      <c r="M3100" s="21">
        <v>82210.178324074834</v>
      </c>
      <c r="N3100" s="42">
        <v>49.770595245170156</v>
      </c>
      <c r="O3100" s="43">
        <v>16150.607640248003</v>
      </c>
    </row>
    <row r="3101" spans="12:15" x14ac:dyDescent="0.2">
      <c r="L3101" s="4">
        <v>3095</v>
      </c>
      <c r="M3101" s="21">
        <v>-174390.59406509425</v>
      </c>
      <c r="N3101" s="42">
        <v>49.251255859292577</v>
      </c>
      <c r="O3101" s="43">
        <v>13713.750860388609</v>
      </c>
    </row>
    <row r="3102" spans="12:15" x14ac:dyDescent="0.2">
      <c r="L3102" s="4">
        <v>3096</v>
      </c>
      <c r="M3102" s="21">
        <v>35412.44266925822</v>
      </c>
      <c r="N3102" s="42">
        <v>48.192848146644614</v>
      </c>
      <c r="O3102" s="43">
        <v>16208.269197562076</v>
      </c>
    </row>
    <row r="3103" spans="12:15" x14ac:dyDescent="0.2">
      <c r="L3103" s="4">
        <v>3097</v>
      </c>
      <c r="M3103" s="21">
        <v>232838.59031403656</v>
      </c>
      <c r="N3103" s="42">
        <v>49.482994778748981</v>
      </c>
      <c r="O3103" s="43">
        <v>17183.969884483649</v>
      </c>
    </row>
    <row r="3104" spans="12:15" x14ac:dyDescent="0.2">
      <c r="L3104" s="4">
        <v>3098</v>
      </c>
      <c r="M3104" s="21">
        <v>-361261.97287170606</v>
      </c>
      <c r="N3104" s="42">
        <v>50.462814869154201</v>
      </c>
      <c r="O3104" s="43">
        <v>9610.5547616208351</v>
      </c>
    </row>
    <row r="3105" spans="12:15" x14ac:dyDescent="0.2">
      <c r="L3105" s="4">
        <v>3099</v>
      </c>
      <c r="M3105" s="21">
        <v>-45299.449108418019</v>
      </c>
      <c r="N3105" s="42">
        <v>49.908326129471149</v>
      </c>
      <c r="O3105" s="43">
        <v>13364.70903286256</v>
      </c>
    </row>
    <row r="3106" spans="12:15" x14ac:dyDescent="0.2">
      <c r="L3106" s="4">
        <v>3100</v>
      </c>
      <c r="M3106" s="21">
        <v>37755.464788958459</v>
      </c>
      <c r="N3106" s="42">
        <v>49.710828030580366</v>
      </c>
      <c r="O3106" s="43">
        <v>15601.190695039029</v>
      </c>
    </row>
    <row r="3107" spans="12:15" x14ac:dyDescent="0.2">
      <c r="L3107" s="4">
        <v>3101</v>
      </c>
      <c r="M3107" s="21">
        <v>201689.69600203016</v>
      </c>
      <c r="N3107" s="42">
        <v>49.788112189437719</v>
      </c>
      <c r="O3107" s="43">
        <v>16494.464331371095</v>
      </c>
    </row>
    <row r="3108" spans="12:15" x14ac:dyDescent="0.2">
      <c r="L3108" s="4">
        <v>3102</v>
      </c>
      <c r="M3108" s="21">
        <v>-46119.46206244835</v>
      </c>
      <c r="N3108" s="42">
        <v>50.372805213276571</v>
      </c>
      <c r="O3108" s="43">
        <v>13297.908778258217</v>
      </c>
    </row>
    <row r="3109" spans="12:15" x14ac:dyDescent="0.2">
      <c r="L3109" s="4">
        <v>3103</v>
      </c>
      <c r="M3109" s="21">
        <v>138033.63079187492</v>
      </c>
      <c r="N3109" s="42">
        <v>50.290092792890178</v>
      </c>
      <c r="O3109" s="43">
        <v>16435.554022485416</v>
      </c>
    </row>
    <row r="3110" spans="12:15" x14ac:dyDescent="0.2">
      <c r="L3110" s="4">
        <v>3104</v>
      </c>
      <c r="M3110" s="21">
        <v>28090.017560762091</v>
      </c>
      <c r="N3110" s="42">
        <v>50.490026922928443</v>
      </c>
      <c r="O3110" s="43">
        <v>14342.027891654901</v>
      </c>
    </row>
    <row r="3111" spans="12:15" x14ac:dyDescent="0.2">
      <c r="L3111" s="4">
        <v>3105</v>
      </c>
      <c r="M3111" s="21">
        <v>-137823.15753012121</v>
      </c>
      <c r="N3111" s="42">
        <v>51.872632321399024</v>
      </c>
      <c r="O3111" s="43">
        <v>12500.210411310054</v>
      </c>
    </row>
    <row r="3112" spans="12:15" x14ac:dyDescent="0.2">
      <c r="L3112" s="4">
        <v>3106</v>
      </c>
      <c r="M3112" s="21">
        <v>215716.13561221201</v>
      </c>
      <c r="N3112" s="42">
        <v>50.620668739005787</v>
      </c>
      <c r="O3112" s="43">
        <v>15620.660697897005</v>
      </c>
    </row>
    <row r="3113" spans="12:15" x14ac:dyDescent="0.2">
      <c r="L3113" s="4">
        <v>3107</v>
      </c>
      <c r="M3113" s="21">
        <v>-77504.520347749843</v>
      </c>
      <c r="N3113" s="42">
        <v>50.273741833446778</v>
      </c>
      <c r="O3113" s="43">
        <v>13594.115287262481</v>
      </c>
    </row>
    <row r="3114" spans="12:15" x14ac:dyDescent="0.2">
      <c r="L3114" s="4">
        <v>3108</v>
      </c>
      <c r="M3114" s="21">
        <v>44694.327098744514</v>
      </c>
      <c r="N3114" s="42">
        <v>50.39303573853816</v>
      </c>
      <c r="O3114" s="43">
        <v>15319.503878778713</v>
      </c>
    </row>
    <row r="3115" spans="12:15" x14ac:dyDescent="0.2">
      <c r="L3115" s="4">
        <v>3109</v>
      </c>
      <c r="M3115" s="21">
        <v>-130939.82532955706</v>
      </c>
      <c r="N3115" s="42">
        <v>49.999108826784905</v>
      </c>
      <c r="O3115" s="43">
        <v>14307.628042152588</v>
      </c>
    </row>
    <row r="3116" spans="12:15" x14ac:dyDescent="0.2">
      <c r="L3116" s="4">
        <v>3110</v>
      </c>
      <c r="M3116" s="21">
        <v>29014.734713350539</v>
      </c>
      <c r="N3116" s="42">
        <v>50.999809146092169</v>
      </c>
      <c r="O3116" s="43">
        <v>14438.933910447211</v>
      </c>
    </row>
    <row r="3117" spans="12:15" x14ac:dyDescent="0.2">
      <c r="L3117" s="4">
        <v>3111</v>
      </c>
      <c r="M3117" s="21">
        <v>-33609.789910171588</v>
      </c>
      <c r="N3117" s="42">
        <v>48.286056451987939</v>
      </c>
      <c r="O3117" s="43">
        <v>16142.287960438227</v>
      </c>
    </row>
    <row r="3118" spans="12:15" x14ac:dyDescent="0.2">
      <c r="L3118" s="4">
        <v>3112</v>
      </c>
      <c r="M3118" s="21">
        <v>-52267.804185188812</v>
      </c>
      <c r="N3118" s="42">
        <v>48.524491612717839</v>
      </c>
      <c r="O3118" s="43">
        <v>16434.953015692125</v>
      </c>
    </row>
    <row r="3119" spans="12:15" x14ac:dyDescent="0.2">
      <c r="L3119" s="4">
        <v>3113</v>
      </c>
      <c r="M3119" s="21">
        <v>29466.058329304244</v>
      </c>
      <c r="N3119" s="42">
        <v>48.20564955656932</v>
      </c>
      <c r="O3119" s="43">
        <v>15391.853318751955</v>
      </c>
    </row>
    <row r="3120" spans="12:15" x14ac:dyDescent="0.2">
      <c r="L3120" s="4">
        <v>3114</v>
      </c>
      <c r="M3120" s="21">
        <v>17735.042819667899</v>
      </c>
      <c r="N3120" s="42">
        <v>49.958484766808873</v>
      </c>
      <c r="O3120" s="43">
        <v>14670.6671079519</v>
      </c>
    </row>
    <row r="3121" spans="12:15" x14ac:dyDescent="0.2">
      <c r="L3121" s="4">
        <v>3115</v>
      </c>
      <c r="M3121" s="21">
        <v>4985.1179605961079</v>
      </c>
      <c r="N3121" s="42">
        <v>49.651622460037991</v>
      </c>
      <c r="O3121" s="43">
        <v>15504.009724605914</v>
      </c>
    </row>
    <row r="3122" spans="12:15" x14ac:dyDescent="0.2">
      <c r="L3122" s="4">
        <v>3116</v>
      </c>
      <c r="M3122" s="21">
        <v>-193862.08190047898</v>
      </c>
      <c r="N3122" s="42">
        <v>48.94476725647003</v>
      </c>
      <c r="O3122" s="43">
        <v>14235.950195226786</v>
      </c>
    </row>
    <row r="3123" spans="12:15" x14ac:dyDescent="0.2">
      <c r="L3123" s="4">
        <v>3117</v>
      </c>
      <c r="M3123" s="21">
        <v>14189.282819544664</v>
      </c>
      <c r="N3123" s="42">
        <v>49.039991959509074</v>
      </c>
      <c r="O3123" s="43">
        <v>15288.058286443174</v>
      </c>
    </row>
    <row r="3124" spans="12:15" x14ac:dyDescent="0.2">
      <c r="L3124" s="4">
        <v>3118</v>
      </c>
      <c r="M3124" s="21">
        <v>-66413.568617897254</v>
      </c>
      <c r="N3124" s="42">
        <v>47.864104031134332</v>
      </c>
      <c r="O3124" s="43">
        <v>14963.584662030626</v>
      </c>
    </row>
    <row r="3125" spans="12:15" x14ac:dyDescent="0.2">
      <c r="L3125" s="4">
        <v>3119</v>
      </c>
      <c r="M3125" s="21">
        <v>-10157.283633098079</v>
      </c>
      <c r="N3125" s="42">
        <v>49.108896684035052</v>
      </c>
      <c r="O3125" s="43">
        <v>12846.805704759503</v>
      </c>
    </row>
    <row r="3126" spans="12:15" x14ac:dyDescent="0.2">
      <c r="L3126" s="4">
        <v>3120</v>
      </c>
      <c r="M3126" s="21">
        <v>-43947.99425057834</v>
      </c>
      <c r="N3126" s="42">
        <v>48.803479466069547</v>
      </c>
      <c r="O3126" s="43">
        <v>14682.940761582642</v>
      </c>
    </row>
    <row r="3127" spans="12:15" x14ac:dyDescent="0.2">
      <c r="L3127" s="4">
        <v>3121</v>
      </c>
      <c r="M3127" s="21">
        <v>-99512.789984776551</v>
      </c>
      <c r="N3127" s="42">
        <v>46.777904706742852</v>
      </c>
      <c r="O3127" s="43">
        <v>15686.0617113793</v>
      </c>
    </row>
    <row r="3128" spans="12:15" x14ac:dyDescent="0.2">
      <c r="L3128" s="4">
        <v>3122</v>
      </c>
      <c r="M3128" s="21">
        <v>-131923.6410267016</v>
      </c>
      <c r="N3128" s="42">
        <v>46.76714276835618</v>
      </c>
      <c r="O3128" s="43">
        <v>14832.748820174733</v>
      </c>
    </row>
    <row r="3129" spans="12:15" x14ac:dyDescent="0.2">
      <c r="L3129" s="4">
        <v>3123</v>
      </c>
      <c r="M3129" s="21">
        <v>-233457.36046256454</v>
      </c>
      <c r="N3129" s="42">
        <v>49.304352851980774</v>
      </c>
      <c r="O3129" s="43">
        <v>12454.087563564583</v>
      </c>
    </row>
    <row r="3130" spans="12:15" x14ac:dyDescent="0.2">
      <c r="L3130" s="4">
        <v>3124</v>
      </c>
      <c r="M3130" s="21">
        <v>-93120.644013691664</v>
      </c>
      <c r="N3130" s="42">
        <v>46.997305191415983</v>
      </c>
      <c r="O3130" s="43">
        <v>16576.641855289639</v>
      </c>
    </row>
    <row r="3131" spans="12:15" x14ac:dyDescent="0.2">
      <c r="L3131" s="4">
        <v>3125</v>
      </c>
      <c r="M3131" s="21">
        <v>-65738.623502827017</v>
      </c>
      <c r="N3131" s="42">
        <v>49.776644927723169</v>
      </c>
      <c r="O3131" s="43">
        <v>13751.809813281006</v>
      </c>
    </row>
    <row r="3132" spans="12:15" x14ac:dyDescent="0.2">
      <c r="L3132" s="4">
        <v>3126</v>
      </c>
      <c r="M3132" s="21">
        <v>4612.374253572576</v>
      </c>
      <c r="N3132" s="42">
        <v>50.266322219288895</v>
      </c>
      <c r="O3132" s="43">
        <v>13181.32498480954</v>
      </c>
    </row>
    <row r="3133" spans="12:15" x14ac:dyDescent="0.2">
      <c r="L3133" s="4">
        <v>3127</v>
      </c>
      <c r="M3133" s="21">
        <v>129223.90847456187</v>
      </c>
      <c r="N3133" s="42">
        <v>49.665139718060303</v>
      </c>
      <c r="O3133" s="43">
        <v>16351.648617880173</v>
      </c>
    </row>
    <row r="3134" spans="12:15" x14ac:dyDescent="0.2">
      <c r="L3134" s="4">
        <v>3128</v>
      </c>
      <c r="M3134" s="21">
        <v>15949.560054727684</v>
      </c>
      <c r="N3134" s="42">
        <v>45.969756848482632</v>
      </c>
      <c r="O3134" s="43">
        <v>16766.604178149715</v>
      </c>
    </row>
    <row r="3135" spans="12:15" x14ac:dyDescent="0.2">
      <c r="L3135" s="4">
        <v>3129</v>
      </c>
      <c r="M3135" s="21">
        <v>-103618.82418396825</v>
      </c>
      <c r="N3135" s="42">
        <v>48.70381068416404</v>
      </c>
      <c r="O3135" s="43">
        <v>13384.146016330729</v>
      </c>
    </row>
    <row r="3136" spans="12:15" x14ac:dyDescent="0.2">
      <c r="L3136" s="4">
        <v>3130</v>
      </c>
      <c r="M3136" s="21">
        <v>59104.093601462111</v>
      </c>
      <c r="N3136" s="42">
        <v>49.052488068102626</v>
      </c>
      <c r="O3136" s="43">
        <v>14256.891293398721</v>
      </c>
    </row>
    <row r="3137" spans="12:15" x14ac:dyDescent="0.2">
      <c r="L3137" s="4">
        <v>3131</v>
      </c>
      <c r="M3137" s="21">
        <v>54983.794357553968</v>
      </c>
      <c r="N3137" s="42">
        <v>49.784580238937778</v>
      </c>
      <c r="O3137" s="43">
        <v>15275.842727422703</v>
      </c>
    </row>
    <row r="3138" spans="12:15" x14ac:dyDescent="0.2">
      <c r="L3138" s="4">
        <v>3132</v>
      </c>
      <c r="M3138" s="21">
        <v>20275.493071149715</v>
      </c>
      <c r="N3138" s="42">
        <v>50.040009814153649</v>
      </c>
      <c r="O3138" s="43">
        <v>16162.536571794972</v>
      </c>
    </row>
    <row r="3139" spans="12:15" x14ac:dyDescent="0.2">
      <c r="L3139" s="4">
        <v>3133</v>
      </c>
      <c r="M3139" s="21">
        <v>-13034.782148081111</v>
      </c>
      <c r="N3139" s="42">
        <v>48.342075574397363</v>
      </c>
      <c r="O3139" s="43">
        <v>15219.960571927571</v>
      </c>
    </row>
    <row r="3140" spans="12:15" x14ac:dyDescent="0.2">
      <c r="L3140" s="4">
        <v>3134</v>
      </c>
      <c r="M3140" s="21">
        <v>-110124.7428843868</v>
      </c>
      <c r="N3140" s="42">
        <v>48.543747027838947</v>
      </c>
      <c r="O3140" s="43">
        <v>15136.059351178348</v>
      </c>
    </row>
    <row r="3141" spans="12:15" x14ac:dyDescent="0.2">
      <c r="L3141" s="4">
        <v>3135</v>
      </c>
      <c r="M3141" s="21">
        <v>-53510.09542851818</v>
      </c>
      <c r="N3141" s="42">
        <v>50.46092889345578</v>
      </c>
      <c r="O3141" s="43">
        <v>14244.506586527084</v>
      </c>
    </row>
    <row r="3142" spans="12:15" x14ac:dyDescent="0.2">
      <c r="L3142" s="4">
        <v>3136</v>
      </c>
      <c r="M3142" s="21">
        <v>-114560.21130325913</v>
      </c>
      <c r="N3142" s="42">
        <v>50.496208234712213</v>
      </c>
      <c r="O3142" s="43">
        <v>12557.998386582331</v>
      </c>
    </row>
    <row r="3143" spans="12:15" x14ac:dyDescent="0.2">
      <c r="L3143" s="4">
        <v>3137</v>
      </c>
      <c r="M3143" s="21">
        <v>-75404.369020863334</v>
      </c>
      <c r="N3143" s="42">
        <v>44.958679847540502</v>
      </c>
      <c r="O3143" s="43">
        <v>17214.485191419913</v>
      </c>
    </row>
    <row r="3144" spans="12:15" x14ac:dyDescent="0.2">
      <c r="L3144" s="4">
        <v>3138</v>
      </c>
      <c r="M3144" s="21">
        <v>68040.010690629133</v>
      </c>
      <c r="N3144" s="42">
        <v>50.477963737829327</v>
      </c>
      <c r="O3144" s="43">
        <v>14611.453895644714</v>
      </c>
    </row>
    <row r="3145" spans="12:15" x14ac:dyDescent="0.2">
      <c r="L3145" s="4">
        <v>3139</v>
      </c>
      <c r="M3145" s="21">
        <v>-206055.89462166704</v>
      </c>
      <c r="N3145" s="42">
        <v>48.758015647454101</v>
      </c>
      <c r="O3145" s="43">
        <v>12379.969670494953</v>
      </c>
    </row>
    <row r="3146" spans="12:15" x14ac:dyDescent="0.2">
      <c r="L3146" s="4">
        <v>3140</v>
      </c>
      <c r="M3146" s="21">
        <v>31375.888231356628</v>
      </c>
      <c r="N3146" s="42">
        <v>50.115407979228316</v>
      </c>
      <c r="O3146" s="43">
        <v>15215.097016665355</v>
      </c>
    </row>
    <row r="3147" spans="12:15" x14ac:dyDescent="0.2">
      <c r="L3147" s="4">
        <v>3141</v>
      </c>
      <c r="M3147" s="21">
        <v>166411.20624998459</v>
      </c>
      <c r="N3147" s="42">
        <v>50.197908700485627</v>
      </c>
      <c r="O3147" s="43">
        <v>15930.758623148498</v>
      </c>
    </row>
    <row r="3148" spans="12:15" x14ac:dyDescent="0.2">
      <c r="L3148" s="4">
        <v>3142</v>
      </c>
      <c r="M3148" s="21">
        <v>81437.098298922618</v>
      </c>
      <c r="N3148" s="42">
        <v>47.204633807277773</v>
      </c>
      <c r="O3148" s="43">
        <v>17163.554949983169</v>
      </c>
    </row>
    <row r="3149" spans="12:15" x14ac:dyDescent="0.2">
      <c r="L3149" s="4">
        <v>3143</v>
      </c>
      <c r="M3149" s="21">
        <v>41459.747203572828</v>
      </c>
      <c r="N3149" s="42">
        <v>51.675583832715581</v>
      </c>
      <c r="O3149" s="43">
        <v>15105.967962819617</v>
      </c>
    </row>
    <row r="3150" spans="12:15" x14ac:dyDescent="0.2">
      <c r="L3150" s="4">
        <v>3144</v>
      </c>
      <c r="M3150" s="21">
        <v>219373.52008134886</v>
      </c>
      <c r="N3150" s="42">
        <v>51.893579768936192</v>
      </c>
      <c r="O3150" s="43">
        <v>15068.712334658076</v>
      </c>
    </row>
    <row r="3151" spans="12:15" x14ac:dyDescent="0.2">
      <c r="L3151" s="4">
        <v>3145</v>
      </c>
      <c r="M3151" s="21">
        <v>-157547.38183112099</v>
      </c>
      <c r="N3151" s="42">
        <v>50.907921346123949</v>
      </c>
      <c r="O3151" s="43">
        <v>12717.480161855687</v>
      </c>
    </row>
    <row r="3152" spans="12:15" x14ac:dyDescent="0.2">
      <c r="L3152" s="4">
        <v>3146</v>
      </c>
      <c r="M3152" s="21">
        <v>84767.336342037248</v>
      </c>
      <c r="N3152" s="42">
        <v>49.593026202934588</v>
      </c>
      <c r="O3152" s="43">
        <v>13877.976772625731</v>
      </c>
    </row>
    <row r="3153" spans="12:15" x14ac:dyDescent="0.2">
      <c r="L3153" s="4">
        <v>3147</v>
      </c>
      <c r="M3153" s="21">
        <v>-95877.958592109688</v>
      </c>
      <c r="N3153" s="42">
        <v>48.418785913512629</v>
      </c>
      <c r="O3153" s="43">
        <v>16734.783170961531</v>
      </c>
    </row>
    <row r="3154" spans="12:15" x14ac:dyDescent="0.2">
      <c r="L3154" s="4">
        <v>3148</v>
      </c>
      <c r="M3154" s="21">
        <v>98444.229958162876</v>
      </c>
      <c r="N3154" s="42">
        <v>51.229233649835336</v>
      </c>
      <c r="O3154" s="43">
        <v>14680.716749943587</v>
      </c>
    </row>
    <row r="3155" spans="12:15" x14ac:dyDescent="0.2">
      <c r="L3155" s="4">
        <v>3149</v>
      </c>
      <c r="M3155" s="21">
        <v>-194137.47130558317</v>
      </c>
      <c r="N3155" s="42">
        <v>50.66964009108198</v>
      </c>
      <c r="O3155" s="43">
        <v>11297.697010478736</v>
      </c>
    </row>
    <row r="3156" spans="12:15" x14ac:dyDescent="0.2">
      <c r="L3156" s="4">
        <v>3150</v>
      </c>
      <c r="M3156" s="21">
        <v>172913.38916902326</v>
      </c>
      <c r="N3156" s="42">
        <v>50.588161504985273</v>
      </c>
      <c r="O3156" s="43">
        <v>16062.726581849058</v>
      </c>
    </row>
    <row r="3157" spans="12:15" x14ac:dyDescent="0.2">
      <c r="L3157" s="4">
        <v>3151</v>
      </c>
      <c r="M3157" s="21">
        <v>-180350.19058336213</v>
      </c>
      <c r="N3157" s="42">
        <v>51.488740673399981</v>
      </c>
      <c r="O3157" s="43">
        <v>11138.931136942872</v>
      </c>
    </row>
    <row r="3158" spans="12:15" x14ac:dyDescent="0.2">
      <c r="L3158" s="4">
        <v>3152</v>
      </c>
      <c r="M3158" s="21">
        <v>-99450.128938673195</v>
      </c>
      <c r="N3158" s="42">
        <v>49.872770277279159</v>
      </c>
      <c r="O3158" s="43">
        <v>15192.638778439368</v>
      </c>
    </row>
    <row r="3159" spans="12:15" x14ac:dyDescent="0.2">
      <c r="L3159" s="4">
        <v>3153</v>
      </c>
      <c r="M3159" s="21">
        <v>148952.7168581966</v>
      </c>
      <c r="N3159" s="42">
        <v>50.707375832229523</v>
      </c>
      <c r="O3159" s="43">
        <v>14407.322466191625</v>
      </c>
    </row>
    <row r="3160" spans="12:15" x14ac:dyDescent="0.2">
      <c r="L3160" s="4">
        <v>3154</v>
      </c>
      <c r="M3160" s="21">
        <v>-31320.975168877529</v>
      </c>
      <c r="N3160" s="42">
        <v>47.810424873692462</v>
      </c>
      <c r="O3160" s="43">
        <v>16132.569824271986</v>
      </c>
    </row>
    <row r="3161" spans="12:15" x14ac:dyDescent="0.2">
      <c r="L3161" s="4">
        <v>3155</v>
      </c>
      <c r="M3161" s="21">
        <v>209694.74327891902</v>
      </c>
      <c r="N3161" s="42">
        <v>49.874585667067663</v>
      </c>
      <c r="O3161" s="43">
        <v>17078.959578939142</v>
      </c>
    </row>
    <row r="3162" spans="12:15" x14ac:dyDescent="0.2">
      <c r="L3162" s="4">
        <v>3156</v>
      </c>
      <c r="M3162" s="21">
        <v>-4353.1016665424977</v>
      </c>
      <c r="N3162" s="42">
        <v>46.774913357309735</v>
      </c>
      <c r="O3162" s="43">
        <v>16482.29198601704</v>
      </c>
    </row>
    <row r="3163" spans="12:15" x14ac:dyDescent="0.2">
      <c r="L3163" s="4">
        <v>3157</v>
      </c>
      <c r="M3163" s="21">
        <v>-20174.792157653836</v>
      </c>
      <c r="N3163" s="42">
        <v>48.908896642459482</v>
      </c>
      <c r="O3163" s="43">
        <v>15650.933294559338</v>
      </c>
    </row>
    <row r="3164" spans="12:15" x14ac:dyDescent="0.2">
      <c r="L3164" s="4">
        <v>3158</v>
      </c>
      <c r="M3164" s="21">
        <v>-111044.89901139804</v>
      </c>
      <c r="N3164" s="42">
        <v>45.844579909484644</v>
      </c>
      <c r="O3164" s="43">
        <v>17588.577272424216</v>
      </c>
    </row>
    <row r="3165" spans="12:15" x14ac:dyDescent="0.2">
      <c r="L3165" s="4">
        <v>3159</v>
      </c>
      <c r="M3165" s="21">
        <v>-167467.50405231395</v>
      </c>
      <c r="N3165" s="42">
        <v>45.497200771003939</v>
      </c>
      <c r="O3165" s="43">
        <v>16163.051845606766</v>
      </c>
    </row>
    <row r="3166" spans="12:15" x14ac:dyDescent="0.2">
      <c r="L3166" s="4">
        <v>3160</v>
      </c>
      <c r="M3166" s="21">
        <v>158338.6855450033</v>
      </c>
      <c r="N3166" s="42">
        <v>50.112116765892132</v>
      </c>
      <c r="O3166" s="43">
        <v>15695.366165886813</v>
      </c>
    </row>
    <row r="3167" spans="12:15" x14ac:dyDescent="0.2">
      <c r="L3167" s="4">
        <v>3161</v>
      </c>
      <c r="M3167" s="21">
        <v>-27362.637108786002</v>
      </c>
      <c r="N3167" s="42">
        <v>49.997991496746664</v>
      </c>
      <c r="O3167" s="43">
        <v>14620.190288681079</v>
      </c>
    </row>
    <row r="3168" spans="12:15" x14ac:dyDescent="0.2">
      <c r="L3168" s="4">
        <v>3162</v>
      </c>
      <c r="M3168" s="21">
        <v>-55042.899447217482</v>
      </c>
      <c r="N3168" s="42">
        <v>49.644274046018161</v>
      </c>
      <c r="O3168" s="43">
        <v>15469.558270328069</v>
      </c>
    </row>
    <row r="3169" spans="12:15" x14ac:dyDescent="0.2">
      <c r="L3169" s="4">
        <v>3163</v>
      </c>
      <c r="M3169" s="21">
        <v>78832.768331574043</v>
      </c>
      <c r="N3169" s="42">
        <v>46.263697753565204</v>
      </c>
      <c r="O3169" s="43">
        <v>17490.159859214466</v>
      </c>
    </row>
    <row r="3170" spans="12:15" x14ac:dyDescent="0.2">
      <c r="L3170" s="4">
        <v>3164</v>
      </c>
      <c r="M3170" s="21">
        <v>154036.82611641521</v>
      </c>
      <c r="N3170" s="42">
        <v>50.375566348293134</v>
      </c>
      <c r="O3170" s="43">
        <v>15737.085603743089</v>
      </c>
    </row>
    <row r="3171" spans="12:15" x14ac:dyDescent="0.2">
      <c r="L3171" s="4">
        <v>3165</v>
      </c>
      <c r="M3171" s="21">
        <v>148654.03024896287</v>
      </c>
      <c r="N3171" s="42">
        <v>50.284164758275935</v>
      </c>
      <c r="O3171" s="43">
        <v>15719.675363459377</v>
      </c>
    </row>
    <row r="3172" spans="12:15" x14ac:dyDescent="0.2">
      <c r="L3172" s="4">
        <v>3166</v>
      </c>
      <c r="M3172" s="21">
        <v>-106691.99314874843</v>
      </c>
      <c r="N3172" s="42">
        <v>51.299379544452933</v>
      </c>
      <c r="O3172" s="43">
        <v>12838.951212140773</v>
      </c>
    </row>
    <row r="3173" spans="12:15" x14ac:dyDescent="0.2">
      <c r="L3173" s="4">
        <v>3167</v>
      </c>
      <c r="M3173" s="21">
        <v>-11661.637757963254</v>
      </c>
      <c r="N3173" s="42">
        <v>51.208800922685583</v>
      </c>
      <c r="O3173" s="43">
        <v>14131.501147461859</v>
      </c>
    </row>
    <row r="3174" spans="12:15" x14ac:dyDescent="0.2">
      <c r="L3174" s="4">
        <v>3168</v>
      </c>
      <c r="M3174" s="21">
        <v>-23856.806470001611</v>
      </c>
      <c r="N3174" s="42">
        <v>49.341929707564255</v>
      </c>
      <c r="O3174" s="43">
        <v>14186.650763149259</v>
      </c>
    </row>
    <row r="3175" spans="12:15" x14ac:dyDescent="0.2">
      <c r="L3175" s="4">
        <v>3169</v>
      </c>
      <c r="M3175" s="21">
        <v>-207277.58740815517</v>
      </c>
      <c r="N3175" s="42">
        <v>48.496040454593832</v>
      </c>
      <c r="O3175" s="43">
        <v>12582.692200843689</v>
      </c>
    </row>
    <row r="3176" spans="12:15" x14ac:dyDescent="0.2">
      <c r="L3176" s="4">
        <v>3170</v>
      </c>
      <c r="M3176" s="21">
        <v>18531.45023395773</v>
      </c>
      <c r="N3176" s="42">
        <v>47.309557070344241</v>
      </c>
      <c r="O3176" s="43">
        <v>18196.654675258826</v>
      </c>
    </row>
    <row r="3177" spans="12:15" x14ac:dyDescent="0.2">
      <c r="L3177" s="4">
        <v>3171</v>
      </c>
      <c r="M3177" s="21">
        <v>4156.7146448323329</v>
      </c>
      <c r="N3177" s="42">
        <v>48.66717026246004</v>
      </c>
      <c r="O3177" s="43">
        <v>14884.065085390059</v>
      </c>
    </row>
    <row r="3178" spans="12:15" x14ac:dyDescent="0.2">
      <c r="L3178" s="4">
        <v>3172</v>
      </c>
      <c r="M3178" s="21">
        <v>-159804.0578600064</v>
      </c>
      <c r="N3178" s="42">
        <v>47.672087356709049</v>
      </c>
      <c r="O3178" s="43">
        <v>16198.81472364748</v>
      </c>
    </row>
    <row r="3179" spans="12:15" x14ac:dyDescent="0.2">
      <c r="L3179" s="4">
        <v>3173</v>
      </c>
      <c r="M3179" s="21">
        <v>6596.1949244186981</v>
      </c>
      <c r="N3179" s="42">
        <v>51.015873858697191</v>
      </c>
      <c r="O3179" s="43">
        <v>13905.747249004977</v>
      </c>
    </row>
    <row r="3180" spans="12:15" x14ac:dyDescent="0.2">
      <c r="L3180" s="4">
        <v>3174</v>
      </c>
      <c r="M3180" s="21">
        <v>-7050.5975808062503</v>
      </c>
      <c r="N3180" s="42">
        <v>50.580248508525308</v>
      </c>
      <c r="O3180" s="43">
        <v>13810.715833055681</v>
      </c>
    </row>
    <row r="3181" spans="12:15" x14ac:dyDescent="0.2">
      <c r="L3181" s="4">
        <v>3175</v>
      </c>
      <c r="M3181" s="21">
        <v>144003.35874155036</v>
      </c>
      <c r="N3181" s="42">
        <v>51.265866434339628</v>
      </c>
      <c r="O3181" s="43">
        <v>15926.951738631093</v>
      </c>
    </row>
    <row r="3182" spans="12:15" x14ac:dyDescent="0.2">
      <c r="L3182" s="4">
        <v>3176</v>
      </c>
      <c r="M3182" s="21">
        <v>56475.394210454659</v>
      </c>
      <c r="N3182" s="42">
        <v>47.691375454274734</v>
      </c>
      <c r="O3182" s="43">
        <v>15350.944199761923</v>
      </c>
    </row>
    <row r="3183" spans="12:15" x14ac:dyDescent="0.2">
      <c r="L3183" s="4">
        <v>3177</v>
      </c>
      <c r="M3183" s="21">
        <v>-119343.67863904785</v>
      </c>
      <c r="N3183" s="42">
        <v>49.631785376802533</v>
      </c>
      <c r="O3183" s="43">
        <v>14145.575112576629</v>
      </c>
    </row>
    <row r="3184" spans="12:15" x14ac:dyDescent="0.2">
      <c r="L3184" s="4">
        <v>3178</v>
      </c>
      <c r="M3184" s="21">
        <v>-28205.797980242758</v>
      </c>
      <c r="N3184" s="42">
        <v>50.920176457428141</v>
      </c>
      <c r="O3184" s="43">
        <v>13683.221724359777</v>
      </c>
    </row>
    <row r="3185" spans="12:15" x14ac:dyDescent="0.2">
      <c r="L3185" s="4">
        <v>3179</v>
      </c>
      <c r="M3185" s="21">
        <v>-82352.621752322841</v>
      </c>
      <c r="N3185" s="42">
        <v>49.71380297331271</v>
      </c>
      <c r="O3185" s="43">
        <v>13498.758693168984</v>
      </c>
    </row>
    <row r="3186" spans="12:15" x14ac:dyDescent="0.2">
      <c r="L3186" s="4">
        <v>3180</v>
      </c>
      <c r="M3186" s="21">
        <v>125176.28628274193</v>
      </c>
      <c r="N3186" s="42">
        <v>50.239417571668561</v>
      </c>
      <c r="O3186" s="43">
        <v>15408.068112746645</v>
      </c>
    </row>
    <row r="3187" spans="12:15" x14ac:dyDescent="0.2">
      <c r="L3187" s="4">
        <v>3181</v>
      </c>
      <c r="M3187" s="21">
        <v>196369.66903755045</v>
      </c>
      <c r="N3187" s="42">
        <v>50.940622578233572</v>
      </c>
      <c r="O3187" s="43">
        <v>15358.679975156974</v>
      </c>
    </row>
    <row r="3188" spans="12:15" x14ac:dyDescent="0.2">
      <c r="L3188" s="4">
        <v>3182</v>
      </c>
      <c r="M3188" s="21">
        <v>-132304.51453451515</v>
      </c>
      <c r="N3188" s="42">
        <v>48.06686326486215</v>
      </c>
      <c r="O3188" s="43">
        <v>15218.064181845026</v>
      </c>
    </row>
    <row r="3189" spans="12:15" x14ac:dyDescent="0.2">
      <c r="L3189" s="4">
        <v>3183</v>
      </c>
      <c r="M3189" s="21">
        <v>-125440.76448158895</v>
      </c>
      <c r="N3189" s="42">
        <v>47.608740009159717</v>
      </c>
      <c r="O3189" s="43">
        <v>16213.930877292665</v>
      </c>
    </row>
    <row r="3190" spans="12:15" x14ac:dyDescent="0.2">
      <c r="L3190" s="4">
        <v>3184</v>
      </c>
      <c r="M3190" s="21">
        <v>-147569.51619429165</v>
      </c>
      <c r="N3190" s="42">
        <v>48.444988639144313</v>
      </c>
      <c r="O3190" s="43">
        <v>15093.55382373375</v>
      </c>
    </row>
    <row r="3191" spans="12:15" x14ac:dyDescent="0.2">
      <c r="L3191" s="4">
        <v>3185</v>
      </c>
      <c r="M3191" s="21">
        <v>-35188.179329450053</v>
      </c>
      <c r="N3191" s="42">
        <v>50.017117746644239</v>
      </c>
      <c r="O3191" s="43">
        <v>15182.562801521424</v>
      </c>
    </row>
    <row r="3192" spans="12:15" x14ac:dyDescent="0.2">
      <c r="L3192" s="4">
        <v>3186</v>
      </c>
      <c r="M3192" s="21">
        <v>-124247.53822558395</v>
      </c>
      <c r="N3192" s="42">
        <v>49.257283534606607</v>
      </c>
      <c r="O3192" s="43">
        <v>13714.732208669984</v>
      </c>
    </row>
    <row r="3193" spans="12:15" x14ac:dyDescent="0.2">
      <c r="L3193" s="4">
        <v>3187</v>
      </c>
      <c r="M3193" s="21">
        <v>-37889.563129512593</v>
      </c>
      <c r="N3193" s="42">
        <v>51.677419242965733</v>
      </c>
      <c r="O3193" s="43">
        <v>13766.147098175215</v>
      </c>
    </row>
    <row r="3194" spans="12:15" x14ac:dyDescent="0.2">
      <c r="L3194" s="4">
        <v>3188</v>
      </c>
      <c r="M3194" s="21">
        <v>74661.784093153081</v>
      </c>
      <c r="N3194" s="42">
        <v>50.663738443415397</v>
      </c>
      <c r="O3194" s="43">
        <v>15010.804336526618</v>
      </c>
    </row>
    <row r="3195" spans="12:15" x14ac:dyDescent="0.2">
      <c r="L3195" s="4">
        <v>3189</v>
      </c>
      <c r="M3195" s="21">
        <v>59043.157368412212</v>
      </c>
      <c r="N3195" s="42">
        <v>50.485965947880942</v>
      </c>
      <c r="O3195" s="43">
        <v>14844.900005358721</v>
      </c>
    </row>
    <row r="3196" spans="12:15" x14ac:dyDescent="0.2">
      <c r="L3196" s="4">
        <v>3190</v>
      </c>
      <c r="M3196" s="21">
        <v>5555.7525562924857</v>
      </c>
      <c r="N3196" s="42">
        <v>50.075232295150016</v>
      </c>
      <c r="O3196" s="43">
        <v>15295.13967969521</v>
      </c>
    </row>
    <row r="3197" spans="12:15" x14ac:dyDescent="0.2">
      <c r="L3197" s="4">
        <v>3191</v>
      </c>
      <c r="M3197" s="21">
        <v>-131049.03493437637</v>
      </c>
      <c r="N3197" s="42">
        <v>49.200372557452596</v>
      </c>
      <c r="O3197" s="43">
        <v>13936.309226054502</v>
      </c>
    </row>
    <row r="3198" spans="12:15" x14ac:dyDescent="0.2">
      <c r="L3198" s="4">
        <v>3192</v>
      </c>
      <c r="M3198" s="21">
        <v>254088.27064168241</v>
      </c>
      <c r="N3198" s="42">
        <v>51.064861710907962</v>
      </c>
      <c r="O3198" s="43">
        <v>15731.288680861153</v>
      </c>
    </row>
    <row r="3199" spans="12:15" x14ac:dyDescent="0.2">
      <c r="L3199" s="4">
        <v>3193</v>
      </c>
      <c r="M3199" s="21">
        <v>35084.29290007503</v>
      </c>
      <c r="N3199" s="42">
        <v>46.728327776369746</v>
      </c>
      <c r="O3199" s="43">
        <v>18502.775155749743</v>
      </c>
    </row>
    <row r="3200" spans="12:15" x14ac:dyDescent="0.2">
      <c r="L3200" s="4">
        <v>3194</v>
      </c>
      <c r="M3200" s="21">
        <v>-47716.844138828063</v>
      </c>
      <c r="N3200" s="42">
        <v>50.739821572009674</v>
      </c>
      <c r="O3200" s="43">
        <v>12688.617340614172</v>
      </c>
    </row>
    <row r="3201" spans="12:15" x14ac:dyDescent="0.2">
      <c r="L3201" s="4">
        <v>3195</v>
      </c>
      <c r="M3201" s="21">
        <v>-80061.694209752168</v>
      </c>
      <c r="N3201" s="42">
        <v>50.769244876979535</v>
      </c>
      <c r="O3201" s="43">
        <v>13462.788619450223</v>
      </c>
    </row>
    <row r="3202" spans="12:15" x14ac:dyDescent="0.2">
      <c r="L3202" s="4">
        <v>3196</v>
      </c>
      <c r="M3202" s="21">
        <v>-28710.984993037549</v>
      </c>
      <c r="N3202" s="42">
        <v>49.186730569177541</v>
      </c>
      <c r="O3202" s="43">
        <v>14304.231498442126</v>
      </c>
    </row>
    <row r="3203" spans="12:15" x14ac:dyDescent="0.2">
      <c r="L3203" s="4">
        <v>3197</v>
      </c>
      <c r="M3203" s="21">
        <v>-138854.39756838517</v>
      </c>
      <c r="N3203" s="42">
        <v>50.30982826810061</v>
      </c>
      <c r="O3203" s="43">
        <v>12735.105122636536</v>
      </c>
    </row>
    <row r="3204" spans="12:15" x14ac:dyDescent="0.2">
      <c r="L3204" s="4">
        <v>3198</v>
      </c>
      <c r="M3204" s="21">
        <v>2396.0729836768878</v>
      </c>
      <c r="N3204" s="42">
        <v>49.369981826757744</v>
      </c>
      <c r="O3204" s="43">
        <v>14415.482265020457</v>
      </c>
    </row>
    <row r="3205" spans="12:15" x14ac:dyDescent="0.2">
      <c r="L3205" s="4">
        <v>3199</v>
      </c>
      <c r="M3205" s="21">
        <v>-37678.910353891188</v>
      </c>
      <c r="N3205" s="42">
        <v>49.966333769819769</v>
      </c>
      <c r="O3205" s="43">
        <v>14391.882324580807</v>
      </c>
    </row>
    <row r="3206" spans="12:15" x14ac:dyDescent="0.2">
      <c r="L3206" s="4">
        <v>3200</v>
      </c>
      <c r="M3206" s="21">
        <v>125191.08317828088</v>
      </c>
      <c r="N3206" s="42">
        <v>49.639066114043644</v>
      </c>
      <c r="O3206" s="43">
        <v>17608.819832939193</v>
      </c>
    </row>
    <row r="3207" spans="12:15" x14ac:dyDescent="0.2">
      <c r="L3207" s="4">
        <v>3201</v>
      </c>
      <c r="M3207" s="21">
        <v>76891.712676774216</v>
      </c>
      <c r="N3207" s="42">
        <v>50.512150363705075</v>
      </c>
      <c r="O3207" s="43">
        <v>15103.091160500977</v>
      </c>
    </row>
    <row r="3208" spans="12:15" x14ac:dyDescent="0.2">
      <c r="L3208" s="4">
        <v>3202</v>
      </c>
      <c r="M3208" s="21">
        <v>115834.79849126021</v>
      </c>
      <c r="N3208" s="42">
        <v>47.990872544201295</v>
      </c>
      <c r="O3208" s="43">
        <v>17722.281358650729</v>
      </c>
    </row>
    <row r="3209" spans="12:15" x14ac:dyDescent="0.2">
      <c r="L3209" s="4">
        <v>3203</v>
      </c>
      <c r="M3209" s="21">
        <v>-237298.47229112964</v>
      </c>
      <c r="N3209" s="42">
        <v>47.23301717232701</v>
      </c>
      <c r="O3209" s="43">
        <v>15440.325690391712</v>
      </c>
    </row>
    <row r="3210" spans="12:15" x14ac:dyDescent="0.2">
      <c r="L3210" s="4">
        <v>3204</v>
      </c>
      <c r="M3210" s="21">
        <v>-25823.398493972229</v>
      </c>
      <c r="N3210" s="42">
        <v>47.6045803409135</v>
      </c>
      <c r="O3210" s="43">
        <v>16005.589410212482</v>
      </c>
    </row>
    <row r="3211" spans="12:15" x14ac:dyDescent="0.2">
      <c r="L3211" s="4">
        <v>3205</v>
      </c>
      <c r="M3211" s="21">
        <v>-167203.58289322414</v>
      </c>
      <c r="N3211" s="42">
        <v>48.582625724858012</v>
      </c>
      <c r="O3211" s="43">
        <v>13747.692844152616</v>
      </c>
    </row>
    <row r="3212" spans="12:15" x14ac:dyDescent="0.2">
      <c r="L3212" s="4">
        <v>3206</v>
      </c>
      <c r="M3212" s="21">
        <v>-61483.912885719226</v>
      </c>
      <c r="N3212" s="42">
        <v>51.607931189836854</v>
      </c>
      <c r="O3212" s="43">
        <v>12013.61396958192</v>
      </c>
    </row>
    <row r="3213" spans="12:15" x14ac:dyDescent="0.2">
      <c r="L3213" s="4">
        <v>3207</v>
      </c>
      <c r="M3213" s="21">
        <v>67920.013284418499</v>
      </c>
      <c r="N3213" s="42">
        <v>49.923501578957833</v>
      </c>
      <c r="O3213" s="43">
        <v>15586.219095477536</v>
      </c>
    </row>
    <row r="3214" spans="12:15" x14ac:dyDescent="0.2">
      <c r="L3214" s="4">
        <v>3208</v>
      </c>
      <c r="M3214" s="21">
        <v>-28195.542382246917</v>
      </c>
      <c r="N3214" s="42">
        <v>49.965344841922629</v>
      </c>
      <c r="O3214" s="43">
        <v>14367.684206024676</v>
      </c>
    </row>
    <row r="3215" spans="12:15" x14ac:dyDescent="0.2">
      <c r="L3215" s="4">
        <v>3209</v>
      </c>
      <c r="M3215" s="21">
        <v>-31541.626786155583</v>
      </c>
      <c r="N3215" s="42">
        <v>48.716942945682057</v>
      </c>
      <c r="O3215" s="43">
        <v>15668.803104134427</v>
      </c>
    </row>
    <row r="3216" spans="12:15" x14ac:dyDescent="0.2">
      <c r="L3216" s="4">
        <v>3210</v>
      </c>
      <c r="M3216" s="21">
        <v>62084.821998060739</v>
      </c>
      <c r="N3216" s="42">
        <v>50.748846900201563</v>
      </c>
      <c r="O3216" s="43">
        <v>14145.873279744885</v>
      </c>
    </row>
    <row r="3217" spans="12:15" x14ac:dyDescent="0.2">
      <c r="L3217" s="4">
        <v>3211</v>
      </c>
      <c r="M3217" s="21">
        <v>-132459.16005379974</v>
      </c>
      <c r="N3217" s="42">
        <v>50.033146646164219</v>
      </c>
      <c r="O3217" s="43">
        <v>13529.288171260521</v>
      </c>
    </row>
    <row r="3218" spans="12:15" x14ac:dyDescent="0.2">
      <c r="L3218" s="4">
        <v>3212</v>
      </c>
      <c r="M3218" s="21">
        <v>-12418.088854693327</v>
      </c>
      <c r="N3218" s="42">
        <v>50.980743222107016</v>
      </c>
      <c r="O3218" s="43">
        <v>13528.115222609847</v>
      </c>
    </row>
    <row r="3219" spans="12:15" x14ac:dyDescent="0.2">
      <c r="L3219" s="4">
        <v>3213</v>
      </c>
      <c r="M3219" s="21">
        <v>25240.116994208191</v>
      </c>
      <c r="N3219" s="42">
        <v>49.404652055550919</v>
      </c>
      <c r="O3219" s="43">
        <v>15470.672173676099</v>
      </c>
    </row>
    <row r="3220" spans="12:15" x14ac:dyDescent="0.2">
      <c r="L3220" s="4">
        <v>3214</v>
      </c>
      <c r="M3220" s="21">
        <v>85291.407407028513</v>
      </c>
      <c r="N3220" s="42">
        <v>48.802075953490245</v>
      </c>
      <c r="O3220" s="43">
        <v>16236.015777876746</v>
      </c>
    </row>
    <row r="3221" spans="12:15" x14ac:dyDescent="0.2">
      <c r="L3221" s="4">
        <v>3215</v>
      </c>
      <c r="M3221" s="21">
        <v>-69371.964211878163</v>
      </c>
      <c r="N3221" s="42">
        <v>49.602418591758699</v>
      </c>
      <c r="O3221" s="43">
        <v>15048.410904165079</v>
      </c>
    </row>
    <row r="3222" spans="12:15" x14ac:dyDescent="0.2">
      <c r="L3222" s="4">
        <v>3216</v>
      </c>
      <c r="M3222" s="21">
        <v>37929.943846682843</v>
      </c>
      <c r="N3222" s="42">
        <v>51.69014435796646</v>
      </c>
      <c r="O3222" s="43">
        <v>14611.484744767149</v>
      </c>
    </row>
    <row r="3223" spans="12:15" x14ac:dyDescent="0.2">
      <c r="L3223" s="4">
        <v>3217</v>
      </c>
      <c r="M3223" s="21">
        <v>11562.602454264561</v>
      </c>
      <c r="N3223" s="42">
        <v>47.099365489782734</v>
      </c>
      <c r="O3223" s="43">
        <v>16291.608861907784</v>
      </c>
    </row>
    <row r="3224" spans="12:15" x14ac:dyDescent="0.2">
      <c r="L3224" s="4">
        <v>3218</v>
      </c>
      <c r="M3224" s="21">
        <v>-37272.357805890482</v>
      </c>
      <c r="N3224" s="42">
        <v>49.455295306067377</v>
      </c>
      <c r="O3224" s="43">
        <v>15654.906689576837</v>
      </c>
    </row>
    <row r="3225" spans="12:15" x14ac:dyDescent="0.2">
      <c r="L3225" s="4">
        <v>3219</v>
      </c>
      <c r="M3225" s="21">
        <v>-44722.867642252269</v>
      </c>
      <c r="N3225" s="42">
        <v>47.533361273868096</v>
      </c>
      <c r="O3225" s="43">
        <v>14789.229794123305</v>
      </c>
    </row>
    <row r="3226" spans="12:15" x14ac:dyDescent="0.2">
      <c r="L3226" s="4">
        <v>3220</v>
      </c>
      <c r="M3226" s="21">
        <v>-32165.973725872842</v>
      </c>
      <c r="N3226" s="42">
        <v>48.6851151443269</v>
      </c>
      <c r="O3226" s="43">
        <v>15132.801796369782</v>
      </c>
    </row>
    <row r="3227" spans="12:15" x14ac:dyDescent="0.2">
      <c r="L3227" s="4">
        <v>3221</v>
      </c>
      <c r="M3227" s="21">
        <v>178109.90417647033</v>
      </c>
      <c r="N3227" s="42">
        <v>48.470756561296128</v>
      </c>
      <c r="O3227" s="43">
        <v>16646.13543034752</v>
      </c>
    </row>
    <row r="3228" spans="12:15" x14ac:dyDescent="0.2">
      <c r="L3228" s="4">
        <v>3222</v>
      </c>
      <c r="M3228" s="21">
        <v>41747.884158938745</v>
      </c>
      <c r="N3228" s="42">
        <v>49.126640107136978</v>
      </c>
      <c r="O3228" s="43">
        <v>14391.915252005801</v>
      </c>
    </row>
    <row r="3229" spans="12:15" x14ac:dyDescent="0.2">
      <c r="L3229" s="4">
        <v>3223</v>
      </c>
      <c r="M3229" s="21">
        <v>9638.2906392308068</v>
      </c>
      <c r="N3229" s="42">
        <v>49.620633994841256</v>
      </c>
      <c r="O3229" s="43">
        <v>14576.114097912296</v>
      </c>
    </row>
    <row r="3230" spans="12:15" x14ac:dyDescent="0.2">
      <c r="L3230" s="4">
        <v>3224</v>
      </c>
      <c r="M3230" s="21">
        <v>100365.30796688225</v>
      </c>
      <c r="N3230" s="42">
        <v>49.132406976279469</v>
      </c>
      <c r="O3230" s="43">
        <v>15714.994729342099</v>
      </c>
    </row>
    <row r="3231" spans="12:15" x14ac:dyDescent="0.2">
      <c r="L3231" s="4">
        <v>3225</v>
      </c>
      <c r="M3231" s="21">
        <v>-115413.54675882867</v>
      </c>
      <c r="N3231" s="42">
        <v>49.58932208524017</v>
      </c>
      <c r="O3231" s="43">
        <v>14143.68439901189</v>
      </c>
    </row>
    <row r="3232" spans="12:15" x14ac:dyDescent="0.2">
      <c r="L3232" s="4">
        <v>3226</v>
      </c>
      <c r="M3232" s="21">
        <v>-37894.91852019832</v>
      </c>
      <c r="N3232" s="42">
        <v>48.118678831306759</v>
      </c>
      <c r="O3232" s="43">
        <v>16657.853910120499</v>
      </c>
    </row>
    <row r="3233" spans="12:15" x14ac:dyDescent="0.2">
      <c r="L3233" s="4">
        <v>3227</v>
      </c>
      <c r="M3233" s="21">
        <v>76425.379275826999</v>
      </c>
      <c r="N3233" s="42">
        <v>50.843525697313353</v>
      </c>
      <c r="O3233" s="43">
        <v>13624.488761051265</v>
      </c>
    </row>
    <row r="3234" spans="12:15" x14ac:dyDescent="0.2">
      <c r="L3234" s="4">
        <v>3228</v>
      </c>
      <c r="M3234" s="21">
        <v>-189463.41087534928</v>
      </c>
      <c r="N3234" s="42">
        <v>46.348111509730188</v>
      </c>
      <c r="O3234" s="43">
        <v>19648.81552387921</v>
      </c>
    </row>
    <row r="3235" spans="12:15" x14ac:dyDescent="0.2">
      <c r="L3235" s="4">
        <v>3229</v>
      </c>
      <c r="M3235" s="21">
        <v>132670.90609126227</v>
      </c>
      <c r="N3235" s="42">
        <v>48.838251767875477</v>
      </c>
      <c r="O3235" s="43">
        <v>16414.863175013939</v>
      </c>
    </row>
    <row r="3236" spans="12:15" x14ac:dyDescent="0.2">
      <c r="L3236" s="4">
        <v>3230</v>
      </c>
      <c r="M3236" s="21">
        <v>-26398.018794139294</v>
      </c>
      <c r="N3236" s="42">
        <v>50.832894865348067</v>
      </c>
      <c r="O3236" s="43">
        <v>13690.891059855856</v>
      </c>
    </row>
    <row r="3237" spans="12:15" x14ac:dyDescent="0.2">
      <c r="L3237" s="4">
        <v>3231</v>
      </c>
      <c r="M3237" s="21">
        <v>-228695.3357498371</v>
      </c>
      <c r="N3237" s="42">
        <v>47.799743008824677</v>
      </c>
      <c r="O3237" s="43">
        <v>14855.823786515948</v>
      </c>
    </row>
    <row r="3238" spans="12:15" x14ac:dyDescent="0.2">
      <c r="L3238" s="4">
        <v>3232</v>
      </c>
      <c r="M3238" s="21">
        <v>-21742.886113452158</v>
      </c>
      <c r="N3238" s="42">
        <v>46.031435690675444</v>
      </c>
      <c r="O3238" s="43">
        <v>16272.83183244573</v>
      </c>
    </row>
    <row r="3239" spans="12:15" x14ac:dyDescent="0.2">
      <c r="L3239" s="4">
        <v>3233</v>
      </c>
      <c r="M3239" s="21">
        <v>-111667.55357854515</v>
      </c>
      <c r="N3239" s="42">
        <v>50.810131164598786</v>
      </c>
      <c r="O3239" s="43">
        <v>13045.576903468664</v>
      </c>
    </row>
    <row r="3240" spans="12:15" x14ac:dyDescent="0.2">
      <c r="L3240" s="4">
        <v>3234</v>
      </c>
      <c r="M3240" s="21">
        <v>202344.74305186121</v>
      </c>
      <c r="N3240" s="42">
        <v>50.749182886252768</v>
      </c>
      <c r="O3240" s="43">
        <v>15831.682311342674</v>
      </c>
    </row>
    <row r="3241" spans="12:15" x14ac:dyDescent="0.2">
      <c r="L3241" s="4">
        <v>3235</v>
      </c>
      <c r="M3241" s="21">
        <v>-30415.961849233194</v>
      </c>
      <c r="N3241" s="42">
        <v>50.585980714879788</v>
      </c>
      <c r="O3241" s="43">
        <v>14970.030332577593</v>
      </c>
    </row>
    <row r="3242" spans="12:15" x14ac:dyDescent="0.2">
      <c r="L3242" s="4">
        <v>3236</v>
      </c>
      <c r="M3242" s="21">
        <v>-39183.038266316449</v>
      </c>
      <c r="N3242" s="42">
        <v>49.145339264214414</v>
      </c>
      <c r="O3242" s="43">
        <v>14411.090688288969</v>
      </c>
    </row>
    <row r="3243" spans="12:15" x14ac:dyDescent="0.2">
      <c r="L3243" s="4">
        <v>3237</v>
      </c>
      <c r="M3243" s="21">
        <v>-21624.066850596559</v>
      </c>
      <c r="N3243" s="42">
        <v>48.658487113155402</v>
      </c>
      <c r="O3243" s="43">
        <v>14185.256702965342</v>
      </c>
    </row>
    <row r="3244" spans="12:15" x14ac:dyDescent="0.2">
      <c r="L3244" s="4">
        <v>3238</v>
      </c>
      <c r="M3244" s="21">
        <v>126144.82540607732</v>
      </c>
      <c r="N3244" s="42">
        <v>49.241106425672257</v>
      </c>
      <c r="O3244" s="43">
        <v>16549.365390228751</v>
      </c>
    </row>
    <row r="3245" spans="12:15" x14ac:dyDescent="0.2">
      <c r="L3245" s="4">
        <v>3239</v>
      </c>
      <c r="M3245" s="21">
        <v>-392557.47384390188</v>
      </c>
      <c r="N3245" s="42">
        <v>45.140723217282243</v>
      </c>
      <c r="O3245" s="43">
        <v>14255.476059102984</v>
      </c>
    </row>
    <row r="3246" spans="12:15" x14ac:dyDescent="0.2">
      <c r="L3246" s="4">
        <v>3240</v>
      </c>
      <c r="M3246" s="21">
        <v>-19669.830503427263</v>
      </c>
      <c r="N3246" s="42">
        <v>51.075588289309103</v>
      </c>
      <c r="O3246" s="43">
        <v>13857.5675041048</v>
      </c>
    </row>
    <row r="3247" spans="12:15" x14ac:dyDescent="0.2">
      <c r="L3247" s="4">
        <v>3241</v>
      </c>
      <c r="M3247" s="21">
        <v>-356483.61358399107</v>
      </c>
      <c r="N3247" s="42">
        <v>50.054572303102049</v>
      </c>
      <c r="O3247" s="43">
        <v>11639.354143081771</v>
      </c>
    </row>
    <row r="3248" spans="12:15" x14ac:dyDescent="0.2">
      <c r="L3248" s="4">
        <v>3242</v>
      </c>
      <c r="M3248" s="21">
        <v>343706.07255017967</v>
      </c>
      <c r="N3248" s="42">
        <v>50.258491024932781</v>
      </c>
      <c r="O3248" s="43">
        <v>16860.838401631088</v>
      </c>
    </row>
    <row r="3249" spans="12:15" x14ac:dyDescent="0.2">
      <c r="L3249" s="4">
        <v>3243</v>
      </c>
      <c r="M3249" s="21">
        <v>-62008.986648187085</v>
      </c>
      <c r="N3249" s="42">
        <v>47.404120747915826</v>
      </c>
      <c r="O3249" s="43">
        <v>15941.327347201513</v>
      </c>
    </row>
    <row r="3250" spans="12:15" x14ac:dyDescent="0.2">
      <c r="L3250" s="4">
        <v>3244</v>
      </c>
      <c r="M3250" s="21">
        <v>-202826.65394569049</v>
      </c>
      <c r="N3250" s="42">
        <v>46.676103551162562</v>
      </c>
      <c r="O3250" s="43">
        <v>16110.634218617934</v>
      </c>
    </row>
    <row r="3251" spans="12:15" x14ac:dyDescent="0.2">
      <c r="L3251" s="4">
        <v>3245</v>
      </c>
      <c r="M3251" s="21">
        <v>195496.76699892612</v>
      </c>
      <c r="N3251" s="42">
        <v>51.163214774610637</v>
      </c>
      <c r="O3251" s="43">
        <v>14732.397863266509</v>
      </c>
    </row>
    <row r="3252" spans="12:15" x14ac:dyDescent="0.2">
      <c r="L3252" s="4">
        <v>3246</v>
      </c>
      <c r="M3252" s="21">
        <v>176811.85342712619</v>
      </c>
      <c r="N3252" s="42">
        <v>50.515861540654932</v>
      </c>
      <c r="O3252" s="43">
        <v>17040.332536333455</v>
      </c>
    </row>
    <row r="3253" spans="12:15" x14ac:dyDescent="0.2">
      <c r="L3253" s="4">
        <v>3247</v>
      </c>
      <c r="M3253" s="21">
        <v>13131.214727017534</v>
      </c>
      <c r="N3253" s="42">
        <v>49.448925891491712</v>
      </c>
      <c r="O3253" s="43">
        <v>14295.981368403285</v>
      </c>
    </row>
    <row r="3254" spans="12:15" x14ac:dyDescent="0.2">
      <c r="L3254" s="4">
        <v>3248</v>
      </c>
      <c r="M3254" s="21">
        <v>-174639.36967257218</v>
      </c>
      <c r="N3254" s="42">
        <v>50.973357172965393</v>
      </c>
      <c r="O3254" s="43">
        <v>13234.795861960563</v>
      </c>
    </row>
    <row r="3255" spans="12:15" x14ac:dyDescent="0.2">
      <c r="L3255" s="4">
        <v>3249</v>
      </c>
      <c r="M3255" s="21">
        <v>-15949.086601985997</v>
      </c>
      <c r="N3255" s="42">
        <v>50.715555426829177</v>
      </c>
      <c r="O3255" s="43">
        <v>13518.903342127831</v>
      </c>
    </row>
    <row r="3256" spans="12:15" x14ac:dyDescent="0.2">
      <c r="L3256" s="4">
        <v>3250</v>
      </c>
      <c r="M3256" s="21">
        <v>-19910.965057354857</v>
      </c>
      <c r="N3256" s="42">
        <v>47.720924621889438</v>
      </c>
      <c r="O3256" s="43">
        <v>16638.579250069888</v>
      </c>
    </row>
    <row r="3257" spans="12:15" x14ac:dyDescent="0.2">
      <c r="L3257" s="4">
        <v>3251</v>
      </c>
      <c r="M3257" s="21">
        <v>39064.608405069681</v>
      </c>
      <c r="N3257" s="42">
        <v>49.749658139557084</v>
      </c>
      <c r="O3257" s="43">
        <v>15729.825564510598</v>
      </c>
    </row>
    <row r="3258" spans="12:15" x14ac:dyDescent="0.2">
      <c r="L3258" s="4">
        <v>3252</v>
      </c>
      <c r="M3258" s="21">
        <v>-161094.31658440191</v>
      </c>
      <c r="N3258" s="42">
        <v>49.475839629255191</v>
      </c>
      <c r="O3258" s="43">
        <v>13705.898682177123</v>
      </c>
    </row>
    <row r="3259" spans="12:15" x14ac:dyDescent="0.2">
      <c r="L3259" s="4">
        <v>3253</v>
      </c>
      <c r="M3259" s="21">
        <v>-103183.84510957041</v>
      </c>
      <c r="N3259" s="42">
        <v>50.192433326525894</v>
      </c>
      <c r="O3259" s="43">
        <v>13874.418187739793</v>
      </c>
    </row>
    <row r="3260" spans="12:15" x14ac:dyDescent="0.2">
      <c r="L3260" s="4">
        <v>3254</v>
      </c>
      <c r="M3260" s="21">
        <v>311120.66525362513</v>
      </c>
      <c r="N3260" s="42">
        <v>50.649763123397648</v>
      </c>
      <c r="O3260" s="43">
        <v>16278.365508999781</v>
      </c>
    </row>
    <row r="3261" spans="12:15" x14ac:dyDescent="0.2">
      <c r="L3261" s="4">
        <v>3255</v>
      </c>
      <c r="M3261" s="21">
        <v>63403.6236397842</v>
      </c>
      <c r="N3261" s="42">
        <v>48.094456340944085</v>
      </c>
      <c r="O3261" s="43">
        <v>18680.979818036343</v>
      </c>
    </row>
    <row r="3262" spans="12:15" x14ac:dyDescent="0.2">
      <c r="L3262" s="4">
        <v>3256</v>
      </c>
      <c r="M3262" s="21">
        <v>-207124.75266244737</v>
      </c>
      <c r="N3262" s="42">
        <v>50.885121558100138</v>
      </c>
      <c r="O3262" s="43">
        <v>11384.615859914962</v>
      </c>
    </row>
    <row r="3263" spans="12:15" x14ac:dyDescent="0.2">
      <c r="L3263" s="4">
        <v>3257</v>
      </c>
      <c r="M3263" s="21">
        <v>-79382.512899825277</v>
      </c>
      <c r="N3263" s="42">
        <v>48.931331396502301</v>
      </c>
      <c r="O3263" s="43">
        <v>14407.241627839667</v>
      </c>
    </row>
    <row r="3264" spans="12:15" x14ac:dyDescent="0.2">
      <c r="L3264" s="4">
        <v>3258</v>
      </c>
      <c r="M3264" s="21">
        <v>-104020.89476235423</v>
      </c>
      <c r="N3264" s="42">
        <v>49.710665557672542</v>
      </c>
      <c r="O3264" s="43">
        <v>13588.332025785543</v>
      </c>
    </row>
    <row r="3265" spans="12:15" x14ac:dyDescent="0.2">
      <c r="L3265" s="4">
        <v>3259</v>
      </c>
      <c r="M3265" s="21">
        <v>52586.411827423639</v>
      </c>
      <c r="N3265" s="42">
        <v>51.067029531645545</v>
      </c>
      <c r="O3265" s="43">
        <v>13740.370784031604</v>
      </c>
    </row>
    <row r="3266" spans="12:15" x14ac:dyDescent="0.2">
      <c r="L3266" s="4">
        <v>3260</v>
      </c>
      <c r="M3266" s="21">
        <v>88819.133647088602</v>
      </c>
      <c r="N3266" s="42">
        <v>48.387699231568817</v>
      </c>
      <c r="O3266" s="43">
        <v>17164.430967943874</v>
      </c>
    </row>
    <row r="3267" spans="12:15" x14ac:dyDescent="0.2">
      <c r="L3267" s="4">
        <v>3261</v>
      </c>
      <c r="M3267" s="21">
        <v>-85817.843158730975</v>
      </c>
      <c r="N3267" s="42">
        <v>50.620237727815734</v>
      </c>
      <c r="O3267" s="43">
        <v>12642.94580026374</v>
      </c>
    </row>
    <row r="3268" spans="12:15" x14ac:dyDescent="0.2">
      <c r="L3268" s="4">
        <v>3262</v>
      </c>
      <c r="M3268" s="21">
        <v>-121887.3347266755</v>
      </c>
      <c r="N3268" s="42">
        <v>50.702049293425446</v>
      </c>
      <c r="O3268" s="43">
        <v>13945.104328222833</v>
      </c>
    </row>
    <row r="3269" spans="12:15" x14ac:dyDescent="0.2">
      <c r="L3269" s="4">
        <v>3263</v>
      </c>
      <c r="M3269" s="21">
        <v>-222106.96703417299</v>
      </c>
      <c r="N3269" s="42">
        <v>48.209564971518844</v>
      </c>
      <c r="O3269" s="43">
        <v>13186.367402804801</v>
      </c>
    </row>
    <row r="3270" spans="12:15" x14ac:dyDescent="0.2">
      <c r="L3270" s="4">
        <v>3264</v>
      </c>
      <c r="M3270" s="21">
        <v>-96340.930762067801</v>
      </c>
      <c r="N3270" s="42">
        <v>50.935694820823635</v>
      </c>
      <c r="O3270" s="43">
        <v>13006.113303987197</v>
      </c>
    </row>
    <row r="3271" spans="12:15" x14ac:dyDescent="0.2">
      <c r="L3271" s="4">
        <v>3265</v>
      </c>
      <c r="M3271" s="21">
        <v>-169803.47247321645</v>
      </c>
      <c r="N3271" s="42">
        <v>48.407260597838921</v>
      </c>
      <c r="O3271" s="43">
        <v>14434.397943634915</v>
      </c>
    </row>
    <row r="3272" spans="12:15" x14ac:dyDescent="0.2">
      <c r="L3272" s="4">
        <v>3266</v>
      </c>
      <c r="M3272" s="21">
        <v>-35972.485558440851</v>
      </c>
      <c r="N3272" s="42">
        <v>49.842279694312595</v>
      </c>
      <c r="O3272" s="43">
        <v>16189.033454849125</v>
      </c>
    </row>
    <row r="3273" spans="12:15" x14ac:dyDescent="0.2">
      <c r="L3273" s="4">
        <v>3267</v>
      </c>
      <c r="M3273" s="21">
        <v>-47719.771702611382</v>
      </c>
      <c r="N3273" s="42">
        <v>49.754745512220751</v>
      </c>
      <c r="O3273" s="43">
        <v>15247.542833195892</v>
      </c>
    </row>
    <row r="3274" spans="12:15" x14ac:dyDescent="0.2">
      <c r="L3274" s="4">
        <v>3268</v>
      </c>
      <c r="M3274" s="21">
        <v>286549.66592099221</v>
      </c>
      <c r="N3274" s="42">
        <v>50.8552328832981</v>
      </c>
      <c r="O3274" s="43">
        <v>16771.020183494791</v>
      </c>
    </row>
    <row r="3275" spans="12:15" x14ac:dyDescent="0.2">
      <c r="L3275" s="4">
        <v>3269</v>
      </c>
      <c r="M3275" s="21">
        <v>-12109.188874206026</v>
      </c>
      <c r="N3275" s="42">
        <v>50.906707739939264</v>
      </c>
      <c r="O3275" s="43">
        <v>14219.231934053587</v>
      </c>
    </row>
    <row r="3276" spans="12:15" x14ac:dyDescent="0.2">
      <c r="L3276" s="4">
        <v>3270</v>
      </c>
      <c r="M3276" s="21">
        <v>120251.38934047124</v>
      </c>
      <c r="N3276" s="42">
        <v>50.649986488259017</v>
      </c>
      <c r="O3276" s="43">
        <v>16193.423627289445</v>
      </c>
    </row>
    <row r="3277" spans="12:15" x14ac:dyDescent="0.2">
      <c r="L3277" s="4">
        <v>3271</v>
      </c>
      <c r="M3277" s="21">
        <v>-211258.51981729665</v>
      </c>
      <c r="N3277" s="42">
        <v>47.215958562547357</v>
      </c>
      <c r="O3277" s="43">
        <v>15605.380249128619</v>
      </c>
    </row>
    <row r="3278" spans="12:15" x14ac:dyDescent="0.2">
      <c r="L3278" s="4">
        <v>3272</v>
      </c>
      <c r="M3278" s="21">
        <v>118492.17075684702</v>
      </c>
      <c r="N3278" s="42">
        <v>48.902882447387455</v>
      </c>
      <c r="O3278" s="43">
        <v>16002.802076371865</v>
      </c>
    </row>
    <row r="3279" spans="12:15" x14ac:dyDescent="0.2">
      <c r="L3279" s="4">
        <v>3273</v>
      </c>
      <c r="M3279" s="21">
        <v>-81367.861167462659</v>
      </c>
      <c r="N3279" s="42">
        <v>49.712976420028838</v>
      </c>
      <c r="O3279" s="43">
        <v>14748.588360881602</v>
      </c>
    </row>
    <row r="3280" spans="12:15" x14ac:dyDescent="0.2">
      <c r="L3280" s="4">
        <v>3274</v>
      </c>
      <c r="M3280" s="21">
        <v>-89134.508208249201</v>
      </c>
      <c r="N3280" s="42">
        <v>49.788736872651882</v>
      </c>
      <c r="O3280" s="43">
        <v>13854.872685485741</v>
      </c>
    </row>
    <row r="3281" spans="12:15" x14ac:dyDescent="0.2">
      <c r="L3281" s="4">
        <v>3275</v>
      </c>
      <c r="M3281" s="21">
        <v>95428.364424892206</v>
      </c>
      <c r="N3281" s="42">
        <v>49.1676042873165</v>
      </c>
      <c r="O3281" s="43">
        <v>15756.802224413517</v>
      </c>
    </row>
    <row r="3282" spans="12:15" x14ac:dyDescent="0.2">
      <c r="L3282" s="4">
        <v>3276</v>
      </c>
      <c r="M3282" s="21">
        <v>-95130.098470538214</v>
      </c>
      <c r="N3282" s="42">
        <v>51.803838748565347</v>
      </c>
      <c r="O3282" s="43">
        <v>11953.134243573133</v>
      </c>
    </row>
    <row r="3283" spans="12:15" x14ac:dyDescent="0.2">
      <c r="L3283" s="4">
        <v>3277</v>
      </c>
      <c r="M3283" s="21">
        <v>131814.22450573064</v>
      </c>
      <c r="N3283" s="42">
        <v>49.734318844756444</v>
      </c>
      <c r="O3283" s="43">
        <v>16556.551243186932</v>
      </c>
    </row>
    <row r="3284" spans="12:15" x14ac:dyDescent="0.2">
      <c r="L3284" s="4">
        <v>3278</v>
      </c>
      <c r="M3284" s="21">
        <v>-110816.37974430992</v>
      </c>
      <c r="N3284" s="42">
        <v>47.426043872037951</v>
      </c>
      <c r="O3284" s="43">
        <v>14254.245756263599</v>
      </c>
    </row>
    <row r="3285" spans="12:15" x14ac:dyDescent="0.2">
      <c r="L3285" s="4">
        <v>3279</v>
      </c>
      <c r="M3285" s="21">
        <v>-95753.910073030231</v>
      </c>
      <c r="N3285" s="42">
        <v>49.90846426371629</v>
      </c>
      <c r="O3285" s="43">
        <v>14008.797130296443</v>
      </c>
    </row>
    <row r="3286" spans="12:15" x14ac:dyDescent="0.2">
      <c r="L3286" s="4">
        <v>3280</v>
      </c>
      <c r="M3286" s="21">
        <v>-178749.17236717028</v>
      </c>
      <c r="N3286" s="42">
        <v>48.222749672390677</v>
      </c>
      <c r="O3286" s="43">
        <v>14733.108221222295</v>
      </c>
    </row>
    <row r="3287" spans="12:15" x14ac:dyDescent="0.2">
      <c r="L3287" s="4">
        <v>3281</v>
      </c>
      <c r="M3287" s="21">
        <v>-126080.05948619277</v>
      </c>
      <c r="N3287" s="42">
        <v>46.405681300157951</v>
      </c>
      <c r="O3287" s="43">
        <v>18983.071604155994</v>
      </c>
    </row>
    <row r="3288" spans="12:15" x14ac:dyDescent="0.2">
      <c r="L3288" s="4">
        <v>3282</v>
      </c>
      <c r="M3288" s="21">
        <v>-284056.71275334444</v>
      </c>
      <c r="N3288" s="42">
        <v>51.172223549022135</v>
      </c>
      <c r="O3288" s="43">
        <v>10287.312824212182</v>
      </c>
    </row>
    <row r="3289" spans="12:15" x14ac:dyDescent="0.2">
      <c r="L3289" s="4">
        <v>3283</v>
      </c>
      <c r="M3289" s="21">
        <v>138366.39442499209</v>
      </c>
      <c r="N3289" s="42">
        <v>48.585346652484226</v>
      </c>
      <c r="O3289" s="43">
        <v>16187.050198737928</v>
      </c>
    </row>
    <row r="3290" spans="12:15" x14ac:dyDescent="0.2">
      <c r="L3290" s="4">
        <v>3284</v>
      </c>
      <c r="M3290" s="21">
        <v>-28511.340320198462</v>
      </c>
      <c r="N3290" s="42">
        <v>49.602067523109241</v>
      </c>
      <c r="O3290" s="43">
        <v>15584.696614055149</v>
      </c>
    </row>
    <row r="3291" spans="12:15" x14ac:dyDescent="0.2">
      <c r="L3291" s="4">
        <v>3285</v>
      </c>
      <c r="M3291" s="21">
        <v>-238980.06276960266</v>
      </c>
      <c r="N3291" s="42">
        <v>46.975304212324602</v>
      </c>
      <c r="O3291" s="43">
        <v>13743.115164442077</v>
      </c>
    </row>
    <row r="3292" spans="12:15" x14ac:dyDescent="0.2">
      <c r="L3292" s="4">
        <v>3286</v>
      </c>
      <c r="M3292" s="21">
        <v>-246186.09269594279</v>
      </c>
      <c r="N3292" s="42">
        <v>46.572161000708675</v>
      </c>
      <c r="O3292" s="43">
        <v>15640.933268158078</v>
      </c>
    </row>
    <row r="3293" spans="12:15" x14ac:dyDescent="0.2">
      <c r="L3293" s="4">
        <v>3287</v>
      </c>
      <c r="M3293" s="21">
        <v>-40843.606491094222</v>
      </c>
      <c r="N3293" s="42">
        <v>50.705545724933216</v>
      </c>
      <c r="O3293" s="43">
        <v>14317.863462904745</v>
      </c>
    </row>
    <row r="3294" spans="12:15" x14ac:dyDescent="0.2">
      <c r="L3294" s="4">
        <v>3288</v>
      </c>
      <c r="M3294" s="21">
        <v>-102516.58055810885</v>
      </c>
      <c r="N3294" s="42">
        <v>49.357626764504346</v>
      </c>
      <c r="O3294" s="43">
        <v>13317.043587727025</v>
      </c>
    </row>
    <row r="3295" spans="12:15" x14ac:dyDescent="0.2">
      <c r="L3295" s="4">
        <v>3289</v>
      </c>
      <c r="M3295" s="21">
        <v>-190846.89160466474</v>
      </c>
      <c r="N3295" s="42">
        <v>49.972213251173599</v>
      </c>
      <c r="O3295" s="43">
        <v>12250.958113260982</v>
      </c>
    </row>
    <row r="3296" spans="12:15" x14ac:dyDescent="0.2">
      <c r="L3296" s="4">
        <v>3290</v>
      </c>
      <c r="M3296" s="21">
        <v>37444.091471659078</v>
      </c>
      <c r="N3296" s="42">
        <v>50.704978917357344</v>
      </c>
      <c r="O3296" s="43">
        <v>14663.506447123224</v>
      </c>
    </row>
    <row r="3297" spans="12:15" x14ac:dyDescent="0.2">
      <c r="L3297" s="4">
        <v>3291</v>
      </c>
      <c r="M3297" s="21">
        <v>26739.12093008071</v>
      </c>
      <c r="N3297" s="42">
        <v>49.255993044410019</v>
      </c>
      <c r="O3297" s="43">
        <v>14619.711855003439</v>
      </c>
    </row>
    <row r="3298" spans="12:15" x14ac:dyDescent="0.2">
      <c r="L3298" s="4">
        <v>3292</v>
      </c>
      <c r="M3298" s="21">
        <v>126209.13371953828</v>
      </c>
      <c r="N3298" s="42">
        <v>46.887726870240328</v>
      </c>
      <c r="O3298" s="43">
        <v>17192.666797621765</v>
      </c>
    </row>
    <row r="3299" spans="12:15" x14ac:dyDescent="0.2">
      <c r="L3299" s="4">
        <v>3293</v>
      </c>
      <c r="M3299" s="21">
        <v>-8283.1638993891538</v>
      </c>
      <c r="N3299" s="42">
        <v>47.911085448843352</v>
      </c>
      <c r="O3299" s="43">
        <v>15841.043406884621</v>
      </c>
    </row>
    <row r="3300" spans="12:15" x14ac:dyDescent="0.2">
      <c r="L3300" s="4">
        <v>3294</v>
      </c>
      <c r="M3300" s="21">
        <v>-18818.835047748464</v>
      </c>
      <c r="N3300" s="42">
        <v>50.062760233342949</v>
      </c>
      <c r="O3300" s="43">
        <v>14821.631135800999</v>
      </c>
    </row>
    <row r="3301" spans="12:15" x14ac:dyDescent="0.2">
      <c r="L3301" s="4">
        <v>3295</v>
      </c>
      <c r="M3301" s="21">
        <v>-136256.13107689493</v>
      </c>
      <c r="N3301" s="42">
        <v>45.877084613679628</v>
      </c>
      <c r="O3301" s="43">
        <v>15981.669368210285</v>
      </c>
    </row>
    <row r="3302" spans="12:15" x14ac:dyDescent="0.2">
      <c r="L3302" s="4">
        <v>3296</v>
      </c>
      <c r="M3302" s="21">
        <v>-32198.405196300708</v>
      </c>
      <c r="N3302" s="42">
        <v>49.722648394936243</v>
      </c>
      <c r="O3302" s="43">
        <v>13550.304497529973</v>
      </c>
    </row>
    <row r="3303" spans="12:15" x14ac:dyDescent="0.2">
      <c r="L3303" s="4">
        <v>3297</v>
      </c>
      <c r="M3303" s="21">
        <v>94462.646041813976</v>
      </c>
      <c r="N3303" s="42">
        <v>49.968420988934788</v>
      </c>
      <c r="O3303" s="43">
        <v>15125.227272548609</v>
      </c>
    </row>
    <row r="3304" spans="12:15" x14ac:dyDescent="0.2">
      <c r="L3304" s="4">
        <v>3298</v>
      </c>
      <c r="M3304" s="21">
        <v>-8908.7919988794893</v>
      </c>
      <c r="N3304" s="42">
        <v>48.333052689032854</v>
      </c>
      <c r="O3304" s="43">
        <v>14699.227580104131</v>
      </c>
    </row>
    <row r="3305" spans="12:15" x14ac:dyDescent="0.2">
      <c r="L3305" s="4">
        <v>3299</v>
      </c>
      <c r="M3305" s="21">
        <v>-114334.81722871307</v>
      </c>
      <c r="N3305" s="42">
        <v>50.3900448746842</v>
      </c>
      <c r="O3305" s="43">
        <v>12870.493024597574</v>
      </c>
    </row>
    <row r="3306" spans="12:15" x14ac:dyDescent="0.2">
      <c r="L3306" s="4">
        <v>3300</v>
      </c>
      <c r="M3306" s="21">
        <v>-178080.5659987588</v>
      </c>
      <c r="N3306" s="42">
        <v>46.043434156401858</v>
      </c>
      <c r="O3306" s="43">
        <v>17150.88314618195</v>
      </c>
    </row>
    <row r="3307" spans="12:15" x14ac:dyDescent="0.2">
      <c r="L3307" s="4">
        <v>3301</v>
      </c>
      <c r="M3307" s="21">
        <v>-231202.77298454021</v>
      </c>
      <c r="N3307" s="42">
        <v>48.872136646824949</v>
      </c>
      <c r="O3307" s="43">
        <v>14435.108436412178</v>
      </c>
    </row>
    <row r="3308" spans="12:15" x14ac:dyDescent="0.2">
      <c r="L3308" s="4">
        <v>3302</v>
      </c>
      <c r="M3308" s="21">
        <v>-214556.79107845988</v>
      </c>
      <c r="N3308" s="42">
        <v>47.803749860561176</v>
      </c>
      <c r="O3308" s="43">
        <v>12586.767488536638</v>
      </c>
    </row>
    <row r="3309" spans="12:15" x14ac:dyDescent="0.2">
      <c r="L3309" s="4">
        <v>3303</v>
      </c>
      <c r="M3309" s="21">
        <v>-78343.843457316194</v>
      </c>
      <c r="N3309" s="42">
        <v>48.277339371380897</v>
      </c>
      <c r="O3309" s="43">
        <v>15257.62699885182</v>
      </c>
    </row>
    <row r="3310" spans="12:15" x14ac:dyDescent="0.2">
      <c r="L3310" s="4">
        <v>3304</v>
      </c>
      <c r="M3310" s="21">
        <v>-169450.49669345433</v>
      </c>
      <c r="N3310" s="42">
        <v>47.863732848964354</v>
      </c>
      <c r="O3310" s="43">
        <v>13723.982716024197</v>
      </c>
    </row>
    <row r="3311" spans="12:15" x14ac:dyDescent="0.2">
      <c r="L3311" s="4">
        <v>3305</v>
      </c>
      <c r="M3311" s="21">
        <v>-93311.3189232234</v>
      </c>
      <c r="N3311" s="42">
        <v>46.209634276712592</v>
      </c>
      <c r="O3311" s="43">
        <v>16683.205013241557</v>
      </c>
    </row>
    <row r="3312" spans="12:15" x14ac:dyDescent="0.2">
      <c r="L3312" s="4">
        <v>3306</v>
      </c>
      <c r="M3312" s="21">
        <v>-177817.06897148147</v>
      </c>
      <c r="N3312" s="42">
        <v>47.164260240180042</v>
      </c>
      <c r="O3312" s="43">
        <v>13513.656532136491</v>
      </c>
    </row>
    <row r="3313" spans="12:15" x14ac:dyDescent="0.2">
      <c r="L3313" s="4">
        <v>3307</v>
      </c>
      <c r="M3313" s="21">
        <v>209664.14004604385</v>
      </c>
      <c r="N3313" s="42">
        <v>49.473926336372244</v>
      </c>
      <c r="O3313" s="43">
        <v>16904.336393485257</v>
      </c>
    </row>
    <row r="3314" spans="12:15" x14ac:dyDescent="0.2">
      <c r="L3314" s="4">
        <v>3308</v>
      </c>
      <c r="M3314" s="21">
        <v>-249756.39287994482</v>
      </c>
      <c r="N3314" s="42">
        <v>48.266012707434932</v>
      </c>
      <c r="O3314" s="43">
        <v>12751.423519719998</v>
      </c>
    </row>
    <row r="3315" spans="12:15" x14ac:dyDescent="0.2">
      <c r="L3315" s="4">
        <v>3309</v>
      </c>
      <c r="M3315" s="21">
        <v>-180228.05429715448</v>
      </c>
      <c r="N3315" s="42">
        <v>51.508629415376262</v>
      </c>
      <c r="O3315" s="43">
        <v>11576.171068126834</v>
      </c>
    </row>
    <row r="3316" spans="12:15" x14ac:dyDescent="0.2">
      <c r="L3316" s="4">
        <v>3310</v>
      </c>
      <c r="M3316" s="21">
        <v>-148802.2495266902</v>
      </c>
      <c r="N3316" s="42">
        <v>51.294480742576745</v>
      </c>
      <c r="O3316" s="43">
        <v>13167.565698375838</v>
      </c>
    </row>
    <row r="3317" spans="12:15" x14ac:dyDescent="0.2">
      <c r="L3317" s="4">
        <v>3311</v>
      </c>
      <c r="M3317" s="21">
        <v>-84644.931320473057</v>
      </c>
      <c r="N3317" s="42">
        <v>48.235726472491571</v>
      </c>
      <c r="O3317" s="43">
        <v>14405.099716439565</v>
      </c>
    </row>
    <row r="3318" spans="12:15" x14ac:dyDescent="0.2">
      <c r="L3318" s="4">
        <v>3312</v>
      </c>
      <c r="M3318" s="21">
        <v>-57457.949887972427</v>
      </c>
      <c r="N3318" s="42">
        <v>48.027081702786013</v>
      </c>
      <c r="O3318" s="43">
        <v>16865.20129729476</v>
      </c>
    </row>
    <row r="3319" spans="12:15" x14ac:dyDescent="0.2">
      <c r="L3319" s="4">
        <v>3313</v>
      </c>
      <c r="M3319" s="21">
        <v>62669.446527587774</v>
      </c>
      <c r="N3319" s="42">
        <v>48.231231567088358</v>
      </c>
      <c r="O3319" s="43">
        <v>15631.711302207377</v>
      </c>
    </row>
    <row r="3320" spans="12:15" x14ac:dyDescent="0.2">
      <c r="L3320" s="4">
        <v>3314</v>
      </c>
      <c r="M3320" s="21">
        <v>14487.778238780214</v>
      </c>
      <c r="N3320" s="42">
        <v>50.751388501841696</v>
      </c>
      <c r="O3320" s="43">
        <v>15599.293006827189</v>
      </c>
    </row>
    <row r="3321" spans="12:15" x14ac:dyDescent="0.2">
      <c r="L3321" s="4">
        <v>3315</v>
      </c>
      <c r="M3321" s="21">
        <v>-52832.536712306697</v>
      </c>
      <c r="N3321" s="42">
        <v>47.222934755312892</v>
      </c>
      <c r="O3321" s="43">
        <v>16553.633308781176</v>
      </c>
    </row>
    <row r="3322" spans="12:15" x14ac:dyDescent="0.2">
      <c r="L3322" s="4">
        <v>3316</v>
      </c>
      <c r="M3322" s="21">
        <v>-157842.84210842993</v>
      </c>
      <c r="N3322" s="42">
        <v>49.200713753898519</v>
      </c>
      <c r="O3322" s="43">
        <v>15450.253448826072</v>
      </c>
    </row>
    <row r="3323" spans="12:15" x14ac:dyDescent="0.2">
      <c r="L3323" s="4">
        <v>3317</v>
      </c>
      <c r="M3323" s="21">
        <v>-150104.17974061921</v>
      </c>
      <c r="N3323" s="42">
        <v>51.177839079204588</v>
      </c>
      <c r="O3323" s="43">
        <v>12928.784528092925</v>
      </c>
    </row>
    <row r="3324" spans="12:15" x14ac:dyDescent="0.2">
      <c r="L3324" s="4">
        <v>3318</v>
      </c>
      <c r="M3324" s="21">
        <v>-50282.49197221722</v>
      </c>
      <c r="N3324" s="42">
        <v>51.513561845503631</v>
      </c>
      <c r="O3324" s="43">
        <v>13442.322663896306</v>
      </c>
    </row>
    <row r="3325" spans="12:15" x14ac:dyDescent="0.2">
      <c r="L3325" s="4">
        <v>3319</v>
      </c>
      <c r="M3325" s="21">
        <v>-106667.06011534606</v>
      </c>
      <c r="N3325" s="42">
        <v>47.109520588075327</v>
      </c>
      <c r="O3325" s="43">
        <v>14977.405689397703</v>
      </c>
    </row>
    <row r="3326" spans="12:15" x14ac:dyDescent="0.2">
      <c r="L3326" s="4">
        <v>3320</v>
      </c>
      <c r="M3326" s="21">
        <v>-75932.299755213156</v>
      </c>
      <c r="N3326" s="42">
        <v>51.380486372466862</v>
      </c>
      <c r="O3326" s="43">
        <v>12311.401361425389</v>
      </c>
    </row>
    <row r="3327" spans="12:15" x14ac:dyDescent="0.2">
      <c r="L3327" s="4">
        <v>3321</v>
      </c>
      <c r="M3327" s="21">
        <v>-112344.28666988788</v>
      </c>
      <c r="N3327" s="42">
        <v>49.225772821050384</v>
      </c>
      <c r="O3327" s="43">
        <v>13358.647425537643</v>
      </c>
    </row>
    <row r="3328" spans="12:15" x14ac:dyDescent="0.2">
      <c r="L3328" s="4">
        <v>3322</v>
      </c>
      <c r="M3328" s="21">
        <v>-119325.19428619288</v>
      </c>
      <c r="N3328" s="42">
        <v>49.048111219339852</v>
      </c>
      <c r="O3328" s="43">
        <v>14957.768551262561</v>
      </c>
    </row>
    <row r="3329" spans="12:15" x14ac:dyDescent="0.2">
      <c r="L3329" s="4">
        <v>3323</v>
      </c>
      <c r="M3329" s="21">
        <v>30439.374735534278</v>
      </c>
      <c r="N3329" s="42">
        <v>50.3555921470643</v>
      </c>
      <c r="O3329" s="43">
        <v>15615.587811126103</v>
      </c>
    </row>
    <row r="3330" spans="12:15" x14ac:dyDescent="0.2">
      <c r="L3330" s="4">
        <v>3324</v>
      </c>
      <c r="M3330" s="21">
        <v>-35518.499839084412</v>
      </c>
      <c r="N3330" s="42">
        <v>50.529316633733117</v>
      </c>
      <c r="O3330" s="43">
        <v>15679.548199999155</v>
      </c>
    </row>
    <row r="3331" spans="12:15" x14ac:dyDescent="0.2">
      <c r="L3331" s="4">
        <v>3325</v>
      </c>
      <c r="M3331" s="21">
        <v>-67897.219274589457</v>
      </c>
      <c r="N3331" s="42">
        <v>50.508838849380041</v>
      </c>
      <c r="O3331" s="43">
        <v>15251.364965519171</v>
      </c>
    </row>
    <row r="3332" spans="12:15" x14ac:dyDescent="0.2">
      <c r="L3332" s="4">
        <v>3326</v>
      </c>
      <c r="M3332" s="21">
        <v>-101360.25110815409</v>
      </c>
      <c r="N3332" s="42">
        <v>49.618518871825287</v>
      </c>
      <c r="O3332" s="43">
        <v>13701.318936107435</v>
      </c>
    </row>
    <row r="3333" spans="12:15" x14ac:dyDescent="0.2">
      <c r="L3333" s="4">
        <v>3327</v>
      </c>
      <c r="M3333" s="21">
        <v>614.78998966678046</v>
      </c>
      <c r="N3333" s="42">
        <v>49.718542765802553</v>
      </c>
      <c r="O3333" s="43">
        <v>15232.140207556378</v>
      </c>
    </row>
    <row r="3334" spans="12:15" x14ac:dyDescent="0.2">
      <c r="L3334" s="4">
        <v>3328</v>
      </c>
      <c r="M3334" s="21">
        <v>-52213.818316310746</v>
      </c>
      <c r="N3334" s="42">
        <v>47.49710373862564</v>
      </c>
      <c r="O3334" s="43">
        <v>15535.613018532824</v>
      </c>
    </row>
    <row r="3335" spans="12:15" x14ac:dyDescent="0.2">
      <c r="L3335" s="4">
        <v>3329</v>
      </c>
      <c r="M3335" s="21">
        <v>-91848.236782606051</v>
      </c>
      <c r="N3335" s="42">
        <v>51.300870809789153</v>
      </c>
      <c r="O3335" s="43">
        <v>12766.107765553699</v>
      </c>
    </row>
    <row r="3336" spans="12:15" x14ac:dyDescent="0.2">
      <c r="L3336" s="4">
        <v>3330</v>
      </c>
      <c r="M3336" s="21">
        <v>-142790.52876292157</v>
      </c>
      <c r="N3336" s="42">
        <v>48.117585590576297</v>
      </c>
      <c r="O3336" s="43">
        <v>14134.177817487509</v>
      </c>
    </row>
    <row r="3337" spans="12:15" x14ac:dyDescent="0.2">
      <c r="L3337" s="4">
        <v>3331</v>
      </c>
      <c r="M3337" s="21">
        <v>53858.798273493914</v>
      </c>
      <c r="N3337" s="42">
        <v>50.307787048574028</v>
      </c>
      <c r="O3337" s="43">
        <v>14550.056142044627</v>
      </c>
    </row>
    <row r="3338" spans="12:15" x14ac:dyDescent="0.2">
      <c r="L3338" s="4">
        <v>3332</v>
      </c>
      <c r="M3338" s="21">
        <v>-132985.28911512648</v>
      </c>
      <c r="N3338" s="42">
        <v>49.636121429984932</v>
      </c>
      <c r="O3338" s="43">
        <v>13957.978790948284</v>
      </c>
    </row>
    <row r="3339" spans="12:15" x14ac:dyDescent="0.2">
      <c r="L3339" s="4">
        <v>3333</v>
      </c>
      <c r="M3339" s="21">
        <v>145724.17451080267</v>
      </c>
      <c r="N3339" s="42">
        <v>48.549639904776292</v>
      </c>
      <c r="O3339" s="43">
        <v>16995.095546260171</v>
      </c>
    </row>
    <row r="3340" spans="12:15" x14ac:dyDescent="0.2">
      <c r="L3340" s="4">
        <v>3334</v>
      </c>
      <c r="M3340" s="21">
        <v>36602.039109066565</v>
      </c>
      <c r="N3340" s="42">
        <v>50.81288313931951</v>
      </c>
      <c r="O3340" s="43">
        <v>14249.754773551462</v>
      </c>
    </row>
    <row r="3341" spans="12:15" x14ac:dyDescent="0.2">
      <c r="L3341" s="4">
        <v>3335</v>
      </c>
      <c r="M3341" s="21">
        <v>-127743.90625719515</v>
      </c>
      <c r="N3341" s="42">
        <v>49.959305851913975</v>
      </c>
      <c r="O3341" s="43">
        <v>13383.330303951772</v>
      </c>
    </row>
    <row r="3342" spans="12:15" x14ac:dyDescent="0.2">
      <c r="L3342" s="4">
        <v>3336</v>
      </c>
      <c r="M3342" s="21">
        <v>-98877.936532963067</v>
      </c>
      <c r="N3342" s="42">
        <v>51.388419603044511</v>
      </c>
      <c r="O3342" s="43">
        <v>12589.758875530344</v>
      </c>
    </row>
    <row r="3343" spans="12:15" x14ac:dyDescent="0.2">
      <c r="L3343" s="4">
        <v>3337</v>
      </c>
      <c r="M3343" s="21">
        <v>-148544.67094952258</v>
      </c>
      <c r="N3343" s="42">
        <v>49.837938881497386</v>
      </c>
      <c r="O3343" s="43">
        <v>13468.22171651911</v>
      </c>
    </row>
    <row r="3344" spans="12:15" x14ac:dyDescent="0.2">
      <c r="L3344" s="4">
        <v>3338</v>
      </c>
      <c r="M3344" s="21">
        <v>206784.63760552014</v>
      </c>
      <c r="N3344" s="42">
        <v>50.546542385513227</v>
      </c>
      <c r="O3344" s="43">
        <v>17117.429841947946</v>
      </c>
    </row>
    <row r="3345" spans="12:15" x14ac:dyDescent="0.2">
      <c r="L3345" s="4">
        <v>3339</v>
      </c>
      <c r="M3345" s="21">
        <v>84264.361966650526</v>
      </c>
      <c r="N3345" s="42">
        <v>50.023806554436518</v>
      </c>
      <c r="O3345" s="43">
        <v>14991.847656751754</v>
      </c>
    </row>
    <row r="3346" spans="12:15" x14ac:dyDescent="0.2">
      <c r="L3346" s="4">
        <v>3340</v>
      </c>
      <c r="M3346" s="21">
        <v>-105881.64204906201</v>
      </c>
      <c r="N3346" s="42">
        <v>46.7846659561501</v>
      </c>
      <c r="O3346" s="43">
        <v>16427.504242103554</v>
      </c>
    </row>
    <row r="3347" spans="12:15" x14ac:dyDescent="0.2">
      <c r="L3347" s="4">
        <v>3341</v>
      </c>
      <c r="M3347" s="21">
        <v>44022.782464763819</v>
      </c>
      <c r="N3347" s="42">
        <v>51.13485924980035</v>
      </c>
      <c r="O3347" s="43">
        <v>14439.864794725754</v>
      </c>
    </row>
    <row r="3348" spans="12:15" x14ac:dyDescent="0.2">
      <c r="L3348" s="4">
        <v>3342</v>
      </c>
      <c r="M3348" s="21">
        <v>224464.58626510183</v>
      </c>
      <c r="N3348" s="42">
        <v>50.135908068598233</v>
      </c>
      <c r="O3348" s="43">
        <v>17690.482194541153</v>
      </c>
    </row>
    <row r="3349" spans="12:15" x14ac:dyDescent="0.2">
      <c r="L3349" s="4">
        <v>3343</v>
      </c>
      <c r="M3349" s="21">
        <v>67964.758430405142</v>
      </c>
      <c r="N3349" s="42">
        <v>48.589496630402053</v>
      </c>
      <c r="O3349" s="43">
        <v>16394.183494702167</v>
      </c>
    </row>
    <row r="3350" spans="12:15" x14ac:dyDescent="0.2">
      <c r="L3350" s="4">
        <v>3344</v>
      </c>
      <c r="M3350" s="21">
        <v>-105379.74411573957</v>
      </c>
      <c r="N3350" s="42">
        <v>46.585808916266579</v>
      </c>
      <c r="O3350" s="43">
        <v>17550.590892891745</v>
      </c>
    </row>
    <row r="3351" spans="12:15" x14ac:dyDescent="0.2">
      <c r="L3351" s="4">
        <v>3345</v>
      </c>
      <c r="M3351" s="21">
        <v>-35122.638255824626</v>
      </c>
      <c r="N3351" s="42">
        <v>47.565033076275981</v>
      </c>
      <c r="O3351" s="43">
        <v>17232.876430273773</v>
      </c>
    </row>
    <row r="3352" spans="12:15" x14ac:dyDescent="0.2">
      <c r="L3352" s="4">
        <v>3346</v>
      </c>
      <c r="M3352" s="21">
        <v>-147676.37894471767</v>
      </c>
      <c r="N3352" s="42">
        <v>47.88424746097872</v>
      </c>
      <c r="O3352" s="43">
        <v>14827.072065036287</v>
      </c>
    </row>
    <row r="3353" spans="12:15" x14ac:dyDescent="0.2">
      <c r="L3353" s="4">
        <v>3347</v>
      </c>
      <c r="M3353" s="21">
        <v>-91536.628763663364</v>
      </c>
      <c r="N3353" s="42">
        <v>50.739927538970662</v>
      </c>
      <c r="O3353" s="43">
        <v>13764.98842783345</v>
      </c>
    </row>
    <row r="3354" spans="12:15" x14ac:dyDescent="0.2">
      <c r="L3354" s="4">
        <v>3348</v>
      </c>
      <c r="M3354" s="21">
        <v>-155110.51317528571</v>
      </c>
      <c r="N3354" s="42">
        <v>50.040684303877633</v>
      </c>
      <c r="O3354" s="43">
        <v>14635.957811873926</v>
      </c>
    </row>
    <row r="3355" spans="12:15" x14ac:dyDescent="0.2">
      <c r="L3355" s="4">
        <v>3349</v>
      </c>
      <c r="M3355" s="21">
        <v>-121563.64935571165</v>
      </c>
      <c r="N3355" s="42">
        <v>50.621013419338894</v>
      </c>
      <c r="O3355" s="43">
        <v>13035.832922726953</v>
      </c>
    </row>
    <row r="3356" spans="12:15" x14ac:dyDescent="0.2">
      <c r="L3356" s="4">
        <v>3350</v>
      </c>
      <c r="M3356" s="21">
        <v>140072.92205646739</v>
      </c>
      <c r="N3356" s="42">
        <v>50.27301786169258</v>
      </c>
      <c r="O3356" s="43">
        <v>16048.870447729219</v>
      </c>
    </row>
    <row r="3357" spans="12:15" x14ac:dyDescent="0.2">
      <c r="L3357" s="4">
        <v>3351</v>
      </c>
      <c r="M3357" s="21">
        <v>65185.868372666533</v>
      </c>
      <c r="N3357" s="42">
        <v>48.976103452980439</v>
      </c>
      <c r="O3357" s="43">
        <v>16376.369549552819</v>
      </c>
    </row>
    <row r="3358" spans="12:15" x14ac:dyDescent="0.2">
      <c r="L3358" s="4">
        <v>3352</v>
      </c>
      <c r="M3358" s="21">
        <v>-25576.305200747796</v>
      </c>
      <c r="N3358" s="42">
        <v>48.544258134154184</v>
      </c>
      <c r="O3358" s="43">
        <v>15462.554901313217</v>
      </c>
    </row>
    <row r="3359" spans="12:15" x14ac:dyDescent="0.2">
      <c r="L3359" s="4">
        <v>3353</v>
      </c>
      <c r="M3359" s="21">
        <v>-142233.5841151647</v>
      </c>
      <c r="N3359" s="42">
        <v>47.747967975751344</v>
      </c>
      <c r="O3359" s="43">
        <v>15130.314099624615</v>
      </c>
    </row>
    <row r="3360" spans="12:15" x14ac:dyDescent="0.2">
      <c r="L3360" s="4">
        <v>3354</v>
      </c>
      <c r="M3360" s="21">
        <v>73862.8945665106</v>
      </c>
      <c r="N3360" s="42">
        <v>49.296742064450164</v>
      </c>
      <c r="O3360" s="43">
        <v>15251.288298526368</v>
      </c>
    </row>
    <row r="3361" spans="12:15" x14ac:dyDescent="0.2">
      <c r="L3361" s="4">
        <v>3355</v>
      </c>
      <c r="M3361" s="21">
        <v>47057.600783466885</v>
      </c>
      <c r="N3361" s="42">
        <v>50.848325596073963</v>
      </c>
      <c r="O3361" s="43">
        <v>14142.539497027279</v>
      </c>
    </row>
    <row r="3362" spans="12:15" x14ac:dyDescent="0.2">
      <c r="L3362" s="4">
        <v>3356</v>
      </c>
      <c r="M3362" s="21">
        <v>-30597.784968215361</v>
      </c>
      <c r="N3362" s="42">
        <v>49.583941244021631</v>
      </c>
      <c r="O3362" s="43">
        <v>14784.44781388007</v>
      </c>
    </row>
    <row r="3363" spans="12:15" x14ac:dyDescent="0.2">
      <c r="L3363" s="4">
        <v>3357</v>
      </c>
      <c r="M3363" s="21">
        <v>-113211.47657974514</v>
      </c>
      <c r="N3363" s="42">
        <v>49.544065623888685</v>
      </c>
      <c r="O3363" s="43">
        <v>14700.298976055014</v>
      </c>
    </row>
    <row r="3364" spans="12:15" x14ac:dyDescent="0.2">
      <c r="L3364" s="4">
        <v>3358</v>
      </c>
      <c r="M3364" s="21">
        <v>-43472.910723288616</v>
      </c>
      <c r="N3364" s="42">
        <v>49.692776235093071</v>
      </c>
      <c r="O3364" s="43">
        <v>12867.069326629602</v>
      </c>
    </row>
    <row r="3365" spans="12:15" x14ac:dyDescent="0.2">
      <c r="L3365" s="4">
        <v>3359</v>
      </c>
      <c r="M3365" s="21">
        <v>-106091.76464394698</v>
      </c>
      <c r="N3365" s="42">
        <v>48.105898571086392</v>
      </c>
      <c r="O3365" s="43">
        <v>14383.125211919754</v>
      </c>
    </row>
    <row r="3366" spans="12:15" x14ac:dyDescent="0.2">
      <c r="L3366" s="4">
        <v>3360</v>
      </c>
      <c r="M3366" s="21">
        <v>-139854.66797374474</v>
      </c>
      <c r="N3366" s="42">
        <v>47.036830433240731</v>
      </c>
      <c r="O3366" s="43">
        <v>16191.547475885793</v>
      </c>
    </row>
    <row r="3367" spans="12:15" x14ac:dyDescent="0.2">
      <c r="L3367" s="4">
        <v>3361</v>
      </c>
      <c r="M3367" s="21">
        <v>200267.56195416988</v>
      </c>
      <c r="N3367" s="42">
        <v>50.617487675318642</v>
      </c>
      <c r="O3367" s="43">
        <v>16675.693215676016</v>
      </c>
    </row>
    <row r="3368" spans="12:15" x14ac:dyDescent="0.2">
      <c r="L3368" s="4">
        <v>3362</v>
      </c>
      <c r="M3368" s="21">
        <v>-85466.102807864911</v>
      </c>
      <c r="N3368" s="42">
        <v>51.561546435784315</v>
      </c>
      <c r="O3368" s="43">
        <v>12052.035803296672</v>
      </c>
    </row>
    <row r="3369" spans="12:15" x14ac:dyDescent="0.2">
      <c r="L3369" s="4">
        <v>3363</v>
      </c>
      <c r="M3369" s="21">
        <v>-127740.52052999752</v>
      </c>
      <c r="N3369" s="42">
        <v>49.168993241832617</v>
      </c>
      <c r="O3369" s="43">
        <v>13562.438962626098</v>
      </c>
    </row>
    <row r="3370" spans="12:15" x14ac:dyDescent="0.2">
      <c r="L3370" s="4">
        <v>3364</v>
      </c>
      <c r="M3370" s="21">
        <v>24343.263056892029</v>
      </c>
      <c r="N3370" s="42">
        <v>46.708817529546288</v>
      </c>
      <c r="O3370" s="43">
        <v>18344.889388260046</v>
      </c>
    </row>
    <row r="3371" spans="12:15" x14ac:dyDescent="0.2">
      <c r="L3371" s="4">
        <v>3365</v>
      </c>
      <c r="M3371" s="21">
        <v>-220847.69243712688</v>
      </c>
      <c r="N3371" s="42">
        <v>49.217722051894192</v>
      </c>
      <c r="O3371" s="43">
        <v>12229.344116374976</v>
      </c>
    </row>
    <row r="3372" spans="12:15" x14ac:dyDescent="0.2">
      <c r="L3372" s="4">
        <v>3366</v>
      </c>
      <c r="M3372" s="21">
        <v>229657.67453247274</v>
      </c>
      <c r="N3372" s="42">
        <v>49.934282311967408</v>
      </c>
      <c r="O3372" s="43">
        <v>16108.291355013627</v>
      </c>
    </row>
    <row r="3373" spans="12:15" x14ac:dyDescent="0.2">
      <c r="L3373" s="4">
        <v>3367</v>
      </c>
      <c r="M3373" s="21">
        <v>-36605.974283260846</v>
      </c>
      <c r="N3373" s="42">
        <v>50.978390825617907</v>
      </c>
      <c r="O3373" s="43">
        <v>13724.025296374752</v>
      </c>
    </row>
    <row r="3374" spans="12:15" x14ac:dyDescent="0.2">
      <c r="L3374" s="4">
        <v>3368</v>
      </c>
      <c r="M3374" s="21">
        <v>88527.899218708713</v>
      </c>
      <c r="N3374" s="42">
        <v>49.918504362740173</v>
      </c>
      <c r="O3374" s="43">
        <v>15439.785626962914</v>
      </c>
    </row>
    <row r="3375" spans="12:15" x14ac:dyDescent="0.2">
      <c r="L3375" s="4">
        <v>3369</v>
      </c>
      <c r="M3375" s="21">
        <v>-38816.969283630737</v>
      </c>
      <c r="N3375" s="42">
        <v>47.667451296662414</v>
      </c>
      <c r="O3375" s="43">
        <v>18171.734060671846</v>
      </c>
    </row>
    <row r="3376" spans="12:15" x14ac:dyDescent="0.2">
      <c r="L3376" s="4">
        <v>3370</v>
      </c>
      <c r="M3376" s="21">
        <v>-29779.983173784887</v>
      </c>
      <c r="N3376" s="42">
        <v>48.797307231872786</v>
      </c>
      <c r="O3376" s="43">
        <v>15599.173716606143</v>
      </c>
    </row>
    <row r="3377" spans="12:15" x14ac:dyDescent="0.2">
      <c r="L3377" s="4">
        <v>3371</v>
      </c>
      <c r="M3377" s="21">
        <v>-174996.46741184487</v>
      </c>
      <c r="N3377" s="42">
        <v>50.106650057461898</v>
      </c>
      <c r="O3377" s="43">
        <v>12108.350594401149</v>
      </c>
    </row>
    <row r="3378" spans="12:15" x14ac:dyDescent="0.2">
      <c r="L3378" s="4">
        <v>3372</v>
      </c>
      <c r="M3378" s="21">
        <v>85922.695671436348</v>
      </c>
      <c r="N3378" s="42">
        <v>49.689156740192146</v>
      </c>
      <c r="O3378" s="43">
        <v>16024.353093832806</v>
      </c>
    </row>
    <row r="3379" spans="12:15" x14ac:dyDescent="0.2">
      <c r="L3379" s="4">
        <v>3373</v>
      </c>
      <c r="M3379" s="21">
        <v>11769.994466386706</v>
      </c>
      <c r="N3379" s="42">
        <v>50.665042608942635</v>
      </c>
      <c r="O3379" s="43">
        <v>13642.566091217466</v>
      </c>
    </row>
    <row r="3380" spans="12:15" x14ac:dyDescent="0.2">
      <c r="L3380" s="4">
        <v>3374</v>
      </c>
      <c r="M3380" s="21">
        <v>148050.59411933005</v>
      </c>
      <c r="N3380" s="42">
        <v>50.469389422309035</v>
      </c>
      <c r="O3380" s="43">
        <v>14813.163054346664</v>
      </c>
    </row>
    <row r="3381" spans="12:15" x14ac:dyDescent="0.2">
      <c r="L3381" s="4">
        <v>3375</v>
      </c>
      <c r="M3381" s="21">
        <v>49462.138516324078</v>
      </c>
      <c r="N3381" s="42">
        <v>48.576836827406133</v>
      </c>
      <c r="O3381" s="43">
        <v>15403.600786087763</v>
      </c>
    </row>
    <row r="3382" spans="12:15" x14ac:dyDescent="0.2">
      <c r="L3382" s="4">
        <v>3376</v>
      </c>
      <c r="M3382" s="21">
        <v>-59990.732062389754</v>
      </c>
      <c r="N3382" s="42">
        <v>49.801324264339797</v>
      </c>
      <c r="O3382" s="43">
        <v>15184.803734335157</v>
      </c>
    </row>
    <row r="3383" spans="12:15" x14ac:dyDescent="0.2">
      <c r="L3383" s="4">
        <v>3377</v>
      </c>
      <c r="M3383" s="21">
        <v>-120449.59899415125</v>
      </c>
      <c r="N3383" s="42">
        <v>48.491517124642883</v>
      </c>
      <c r="O3383" s="43">
        <v>15046.888258651059</v>
      </c>
    </row>
    <row r="3384" spans="12:15" x14ac:dyDescent="0.2">
      <c r="L3384" s="4">
        <v>3378</v>
      </c>
      <c r="M3384" s="21">
        <v>2533.9623740496754</v>
      </c>
      <c r="N3384" s="42">
        <v>48.580948063538507</v>
      </c>
      <c r="O3384" s="43">
        <v>14890.642984969549</v>
      </c>
    </row>
    <row r="3385" spans="12:15" x14ac:dyDescent="0.2">
      <c r="L3385" s="4">
        <v>3379</v>
      </c>
      <c r="M3385" s="21">
        <v>182204.25909718237</v>
      </c>
      <c r="N3385" s="42">
        <v>48.86718200549862</v>
      </c>
      <c r="O3385" s="43">
        <v>15315.164173491446</v>
      </c>
    </row>
    <row r="3386" spans="12:15" x14ac:dyDescent="0.2">
      <c r="L3386" s="4">
        <v>3380</v>
      </c>
      <c r="M3386" s="21">
        <v>-68579.81982909744</v>
      </c>
      <c r="N3386" s="42">
        <v>47.486976728246077</v>
      </c>
      <c r="O3386" s="43">
        <v>16146.802357683391</v>
      </c>
    </row>
    <row r="3387" spans="12:15" x14ac:dyDescent="0.2">
      <c r="L3387" s="4">
        <v>3381</v>
      </c>
      <c r="M3387" s="21">
        <v>112066.13448384174</v>
      </c>
      <c r="N3387" s="42">
        <v>50.49350266859723</v>
      </c>
      <c r="O3387" s="43">
        <v>14475.873626880819</v>
      </c>
    </row>
    <row r="3388" spans="12:15" x14ac:dyDescent="0.2">
      <c r="L3388" s="4">
        <v>3382</v>
      </c>
      <c r="M3388" s="21">
        <v>-16233.307061457977</v>
      </c>
      <c r="N3388" s="42">
        <v>49.220398443489522</v>
      </c>
      <c r="O3388" s="43">
        <v>14757.864344068068</v>
      </c>
    </row>
    <row r="3389" spans="12:15" x14ac:dyDescent="0.2">
      <c r="L3389" s="4">
        <v>3383</v>
      </c>
      <c r="M3389" s="21">
        <v>210175.55485943961</v>
      </c>
      <c r="N3389" s="42">
        <v>48.706906692677137</v>
      </c>
      <c r="O3389" s="43">
        <v>17234.694323317926</v>
      </c>
    </row>
    <row r="3390" spans="12:15" x14ac:dyDescent="0.2">
      <c r="L3390" s="4">
        <v>3384</v>
      </c>
      <c r="M3390" s="21">
        <v>-92529.400058894651</v>
      </c>
      <c r="N3390" s="42">
        <v>50.392203677604428</v>
      </c>
      <c r="O3390" s="43">
        <v>13845.800540514081</v>
      </c>
    </row>
    <row r="3391" spans="12:15" x14ac:dyDescent="0.2">
      <c r="L3391" s="4">
        <v>3385</v>
      </c>
      <c r="M3391" s="21">
        <v>32353.021152956935</v>
      </c>
      <c r="N3391" s="42">
        <v>47.615313465938286</v>
      </c>
      <c r="O3391" s="43">
        <v>15870.454903326228</v>
      </c>
    </row>
    <row r="3392" spans="12:15" x14ac:dyDescent="0.2">
      <c r="L3392" s="4">
        <v>3386</v>
      </c>
      <c r="M3392" s="21">
        <v>-141806.73697046464</v>
      </c>
      <c r="N3392" s="42">
        <v>50.151010047542066</v>
      </c>
      <c r="O3392" s="43">
        <v>12039.413589088217</v>
      </c>
    </row>
    <row r="3393" spans="12:15" x14ac:dyDescent="0.2">
      <c r="L3393" s="4">
        <v>3387</v>
      </c>
      <c r="M3393" s="21">
        <v>57725.038739892538</v>
      </c>
      <c r="N3393" s="42">
        <v>49.788236897805923</v>
      </c>
      <c r="O3393" s="43">
        <v>15863.696412702764</v>
      </c>
    </row>
    <row r="3394" spans="12:15" x14ac:dyDescent="0.2">
      <c r="L3394" s="4">
        <v>3388</v>
      </c>
      <c r="M3394" s="21">
        <v>-32458.552721931541</v>
      </c>
      <c r="N3394" s="42">
        <v>49.592366488623256</v>
      </c>
      <c r="O3394" s="43">
        <v>14729.008581148662</v>
      </c>
    </row>
    <row r="3395" spans="12:15" x14ac:dyDescent="0.2">
      <c r="L3395" s="4">
        <v>3389</v>
      </c>
      <c r="M3395" s="21">
        <v>-234290.26121365884</v>
      </c>
      <c r="N3395" s="42">
        <v>48.632094623757141</v>
      </c>
      <c r="O3395" s="43">
        <v>12334.204754504004</v>
      </c>
    </row>
    <row r="3396" spans="12:15" x14ac:dyDescent="0.2">
      <c r="L3396" s="4">
        <v>3390</v>
      </c>
      <c r="M3396" s="21">
        <v>221035.07832607193</v>
      </c>
      <c r="N3396" s="42">
        <v>49.988206590246193</v>
      </c>
      <c r="O3396" s="43">
        <v>16422.565814799204</v>
      </c>
    </row>
    <row r="3397" spans="12:15" x14ac:dyDescent="0.2">
      <c r="L3397" s="4">
        <v>3391</v>
      </c>
      <c r="M3397" s="21">
        <v>59942.150690631213</v>
      </c>
      <c r="N3397" s="42">
        <v>51.069130652747674</v>
      </c>
      <c r="O3397" s="43">
        <v>14081.445943425921</v>
      </c>
    </row>
    <row r="3398" spans="12:15" x14ac:dyDescent="0.2">
      <c r="L3398" s="4">
        <v>3392</v>
      </c>
      <c r="M3398" s="21">
        <v>-164730.88026368327</v>
      </c>
      <c r="N3398" s="42">
        <v>50.562492215567474</v>
      </c>
      <c r="O3398" s="43">
        <v>12656.87216321913</v>
      </c>
    </row>
    <row r="3399" spans="12:15" x14ac:dyDescent="0.2">
      <c r="L3399" s="4">
        <v>3393</v>
      </c>
      <c r="M3399" s="21">
        <v>155190.01981430384</v>
      </c>
      <c r="N3399" s="42">
        <v>50.849561591702383</v>
      </c>
      <c r="O3399" s="43">
        <v>16281.227683460676</v>
      </c>
    </row>
    <row r="3400" spans="12:15" x14ac:dyDescent="0.2">
      <c r="L3400" s="4">
        <v>3394</v>
      </c>
      <c r="M3400" s="21">
        <v>-38431.586506657404</v>
      </c>
      <c r="N3400" s="42">
        <v>46.96866644051341</v>
      </c>
      <c r="O3400" s="43">
        <v>16351.620707658934</v>
      </c>
    </row>
    <row r="3401" spans="12:15" x14ac:dyDescent="0.2">
      <c r="L3401" s="4">
        <v>3395</v>
      </c>
      <c r="M3401" s="21">
        <v>193684.41060973177</v>
      </c>
      <c r="N3401" s="42">
        <v>51.207784119894541</v>
      </c>
      <c r="O3401" s="43">
        <v>17358.47807810035</v>
      </c>
    </row>
    <row r="3402" spans="12:15" x14ac:dyDescent="0.2">
      <c r="L3402" s="4">
        <v>3396</v>
      </c>
      <c r="M3402" s="21">
        <v>-194546.5803645674</v>
      </c>
      <c r="N3402" s="42">
        <v>49.647418928246324</v>
      </c>
      <c r="O3402" s="43">
        <v>13304.452820379842</v>
      </c>
    </row>
    <row r="3403" spans="12:15" x14ac:dyDescent="0.2">
      <c r="L3403" s="4">
        <v>3397</v>
      </c>
      <c r="M3403" s="21">
        <v>-49768.307516856454</v>
      </c>
      <c r="N3403" s="42">
        <v>49.71781135910355</v>
      </c>
      <c r="O3403" s="43">
        <v>13423.245118555129</v>
      </c>
    </row>
    <row r="3404" spans="12:15" x14ac:dyDescent="0.2">
      <c r="L3404" s="4">
        <v>3398</v>
      </c>
      <c r="M3404" s="21">
        <v>341805.55349969654</v>
      </c>
      <c r="N3404" s="42">
        <v>50.558381949829204</v>
      </c>
      <c r="O3404" s="43">
        <v>16378.408197376677</v>
      </c>
    </row>
    <row r="3405" spans="12:15" x14ac:dyDescent="0.2">
      <c r="L3405" s="4">
        <v>3399</v>
      </c>
      <c r="M3405" s="21">
        <v>-218279.46282509103</v>
      </c>
      <c r="N3405" s="42">
        <v>49.396376326540853</v>
      </c>
      <c r="O3405" s="43">
        <v>12329.530409921419</v>
      </c>
    </row>
    <row r="3406" spans="12:15" x14ac:dyDescent="0.2">
      <c r="L3406" s="4">
        <v>3400</v>
      </c>
      <c r="M3406" s="21">
        <v>115827.94958385147</v>
      </c>
      <c r="N3406" s="42">
        <v>48.128665008176384</v>
      </c>
      <c r="O3406" s="43">
        <v>16242.729424202169</v>
      </c>
    </row>
    <row r="3407" spans="12:15" x14ac:dyDescent="0.2">
      <c r="L3407" s="4">
        <v>3401</v>
      </c>
      <c r="M3407" s="21">
        <v>-74933.553133563051</v>
      </c>
      <c r="N3407" s="42">
        <v>48.205241351303677</v>
      </c>
      <c r="O3407" s="43">
        <v>14928.034967492575</v>
      </c>
    </row>
    <row r="3408" spans="12:15" x14ac:dyDescent="0.2">
      <c r="L3408" s="4">
        <v>3402</v>
      </c>
      <c r="M3408" s="21">
        <v>152047.91701586955</v>
      </c>
      <c r="N3408" s="42">
        <v>48.718715331640745</v>
      </c>
      <c r="O3408" s="43">
        <v>15523.961835194841</v>
      </c>
    </row>
    <row r="3409" spans="12:15" x14ac:dyDescent="0.2">
      <c r="L3409" s="4">
        <v>3403</v>
      </c>
      <c r="M3409" s="21">
        <v>148656.14667696846</v>
      </c>
      <c r="N3409" s="42">
        <v>49.434552709632158</v>
      </c>
      <c r="O3409" s="43">
        <v>17201.258086518865</v>
      </c>
    </row>
    <row r="3410" spans="12:15" x14ac:dyDescent="0.2">
      <c r="L3410" s="4">
        <v>3404</v>
      </c>
      <c r="M3410" s="21">
        <v>146316.66916474892</v>
      </c>
      <c r="N3410" s="42">
        <v>51.142953163877152</v>
      </c>
      <c r="O3410" s="43">
        <v>15114.742209779301</v>
      </c>
    </row>
    <row r="3411" spans="12:15" x14ac:dyDescent="0.2">
      <c r="L3411" s="4">
        <v>3405</v>
      </c>
      <c r="M3411" s="21">
        <v>36772.891405452305</v>
      </c>
      <c r="N3411" s="42">
        <v>50.070560443783265</v>
      </c>
      <c r="O3411" s="43">
        <v>14902.928119104898</v>
      </c>
    </row>
    <row r="3412" spans="12:15" x14ac:dyDescent="0.2">
      <c r="L3412" s="4">
        <v>3406</v>
      </c>
      <c r="M3412" s="21">
        <v>8221.9519849610224</v>
      </c>
      <c r="N3412" s="42">
        <v>47.556458765483868</v>
      </c>
      <c r="O3412" s="43">
        <v>16649.968911553213</v>
      </c>
    </row>
    <row r="3413" spans="12:15" x14ac:dyDescent="0.2">
      <c r="L3413" s="4">
        <v>3407</v>
      </c>
      <c r="M3413" s="21">
        <v>177751.86736976804</v>
      </c>
      <c r="N3413" s="42">
        <v>50.834958706862714</v>
      </c>
      <c r="O3413" s="43">
        <v>16840.528914976716</v>
      </c>
    </row>
    <row r="3414" spans="12:15" x14ac:dyDescent="0.2">
      <c r="L3414" s="4">
        <v>3408</v>
      </c>
      <c r="M3414" s="21">
        <v>-36820.350056416661</v>
      </c>
      <c r="N3414" s="42">
        <v>48.262056959746708</v>
      </c>
      <c r="O3414" s="43">
        <v>14845.20605354478</v>
      </c>
    </row>
    <row r="3415" spans="12:15" x14ac:dyDescent="0.2">
      <c r="L3415" s="4">
        <v>3409</v>
      </c>
      <c r="M3415" s="21">
        <v>-116322.26947676991</v>
      </c>
      <c r="N3415" s="42">
        <v>49.573719155540786</v>
      </c>
      <c r="O3415" s="43">
        <v>14451.236501760919</v>
      </c>
    </row>
    <row r="3416" spans="12:15" x14ac:dyDescent="0.2">
      <c r="L3416" s="4">
        <v>3410</v>
      </c>
      <c r="M3416" s="21">
        <v>-158726.651993465</v>
      </c>
      <c r="N3416" s="42">
        <v>48.983783783404441</v>
      </c>
      <c r="O3416" s="43">
        <v>13905.555408880606</v>
      </c>
    </row>
    <row r="3417" spans="12:15" x14ac:dyDescent="0.2">
      <c r="L3417" s="4">
        <v>3411</v>
      </c>
      <c r="M3417" s="21">
        <v>63114.016080314206</v>
      </c>
      <c r="N3417" s="42">
        <v>50.557941611004466</v>
      </c>
      <c r="O3417" s="43">
        <v>14889.614955563873</v>
      </c>
    </row>
    <row r="3418" spans="12:15" x14ac:dyDescent="0.2">
      <c r="L3418" s="4">
        <v>3412</v>
      </c>
      <c r="M3418" s="21">
        <v>-31378.758121430859</v>
      </c>
      <c r="N3418" s="42">
        <v>49.441335557463425</v>
      </c>
      <c r="O3418" s="43">
        <v>13890.972452669062</v>
      </c>
    </row>
    <row r="3419" spans="12:15" x14ac:dyDescent="0.2">
      <c r="L3419" s="4">
        <v>3413</v>
      </c>
      <c r="M3419" s="21">
        <v>6473.0684748523345</v>
      </c>
      <c r="N3419" s="42">
        <v>50.94676504787661</v>
      </c>
      <c r="O3419" s="43">
        <v>13955.261952673067</v>
      </c>
    </row>
    <row r="3420" spans="12:15" x14ac:dyDescent="0.2">
      <c r="L3420" s="4">
        <v>3414</v>
      </c>
      <c r="M3420" s="21">
        <v>56999.838996513863</v>
      </c>
      <c r="N3420" s="42">
        <v>48.06662554852619</v>
      </c>
      <c r="O3420" s="43">
        <v>17686.49730415982</v>
      </c>
    </row>
    <row r="3421" spans="12:15" x14ac:dyDescent="0.2">
      <c r="L3421" s="4">
        <v>3415</v>
      </c>
      <c r="M3421" s="21">
        <v>-169328.91502052487</v>
      </c>
      <c r="N3421" s="42">
        <v>49.665370383964586</v>
      </c>
      <c r="O3421" s="43">
        <v>12327.540340665562</v>
      </c>
    </row>
    <row r="3422" spans="12:15" x14ac:dyDescent="0.2">
      <c r="L3422" s="4">
        <v>3416</v>
      </c>
      <c r="M3422" s="21">
        <v>45753.991877978464</v>
      </c>
      <c r="N3422" s="42">
        <v>51.142884707796881</v>
      </c>
      <c r="O3422" s="43">
        <v>13480.014582831165</v>
      </c>
    </row>
    <row r="3423" spans="12:15" x14ac:dyDescent="0.2">
      <c r="L3423" s="4">
        <v>3417</v>
      </c>
      <c r="M3423" s="21">
        <v>99682.903380692034</v>
      </c>
      <c r="N3423" s="42">
        <v>51.392138463664459</v>
      </c>
      <c r="O3423" s="43">
        <v>14261.76093614109</v>
      </c>
    </row>
    <row r="3424" spans="12:15" x14ac:dyDescent="0.2">
      <c r="L3424" s="4">
        <v>3418</v>
      </c>
      <c r="M3424" s="21">
        <v>155068.53742501562</v>
      </c>
      <c r="N3424" s="42">
        <v>51.091527765050934</v>
      </c>
      <c r="O3424" s="43">
        <v>15655.592593886087</v>
      </c>
    </row>
    <row r="3425" spans="12:15" x14ac:dyDescent="0.2">
      <c r="L3425" s="4">
        <v>3419</v>
      </c>
      <c r="M3425" s="21">
        <v>-164049.4685306329</v>
      </c>
      <c r="N3425" s="42">
        <v>50.21362863982722</v>
      </c>
      <c r="O3425" s="43">
        <v>12501.130322906829</v>
      </c>
    </row>
    <row r="3426" spans="12:15" x14ac:dyDescent="0.2">
      <c r="L3426" s="4">
        <v>3420</v>
      </c>
      <c r="M3426" s="21">
        <v>26664.791351352847</v>
      </c>
      <c r="N3426" s="42">
        <v>51.116157566435746</v>
      </c>
      <c r="O3426" s="43">
        <v>14245.921512448807</v>
      </c>
    </row>
    <row r="3427" spans="12:15" x14ac:dyDescent="0.2">
      <c r="L3427" s="4">
        <v>3421</v>
      </c>
      <c r="M3427" s="21">
        <v>-59228.101125160727</v>
      </c>
      <c r="N3427" s="42">
        <v>50.314778470890339</v>
      </c>
      <c r="O3427" s="43">
        <v>13906.586181665723</v>
      </c>
    </row>
    <row r="3428" spans="12:15" x14ac:dyDescent="0.2">
      <c r="L3428" s="4">
        <v>3422</v>
      </c>
      <c r="M3428" s="21">
        <v>-62790.754315847138</v>
      </c>
      <c r="N3428" s="42">
        <v>48.51360431827711</v>
      </c>
      <c r="O3428" s="43">
        <v>16059.888878327891</v>
      </c>
    </row>
    <row r="3429" spans="12:15" x14ac:dyDescent="0.2">
      <c r="L3429" s="4">
        <v>3423</v>
      </c>
      <c r="M3429" s="21">
        <v>-157137.98544058984</v>
      </c>
      <c r="N3429" s="42">
        <v>47.033783998438764</v>
      </c>
      <c r="O3429" s="43">
        <v>14892.490610361769</v>
      </c>
    </row>
    <row r="3430" spans="12:15" x14ac:dyDescent="0.2">
      <c r="L3430" s="4">
        <v>3424</v>
      </c>
      <c r="M3430" s="21">
        <v>-217794.45880727406</v>
      </c>
      <c r="N3430" s="42">
        <v>49.715645481291098</v>
      </c>
      <c r="O3430" s="43">
        <v>11989.824486450005</v>
      </c>
    </row>
    <row r="3431" spans="12:15" x14ac:dyDescent="0.2">
      <c r="L3431" s="4">
        <v>3425</v>
      </c>
      <c r="M3431" s="21">
        <v>87192.880309608212</v>
      </c>
      <c r="N3431" s="42">
        <v>47.151933405398395</v>
      </c>
      <c r="O3431" s="43">
        <v>19464.017586613758</v>
      </c>
    </row>
    <row r="3432" spans="12:15" x14ac:dyDescent="0.2">
      <c r="L3432" s="4">
        <v>3426</v>
      </c>
      <c r="M3432" s="21">
        <v>-145402.01500109525</v>
      </c>
      <c r="N3432" s="42">
        <v>49.764896883901372</v>
      </c>
      <c r="O3432" s="43">
        <v>12436.651220679947</v>
      </c>
    </row>
    <row r="3433" spans="12:15" x14ac:dyDescent="0.2">
      <c r="L3433" s="4">
        <v>3427</v>
      </c>
      <c r="M3433" s="21">
        <v>-92291.351873300257</v>
      </c>
      <c r="N3433" s="42">
        <v>47.562315841086175</v>
      </c>
      <c r="O3433" s="43">
        <v>17589.71979918961</v>
      </c>
    </row>
    <row r="3434" spans="12:15" x14ac:dyDescent="0.2">
      <c r="L3434" s="4">
        <v>3428</v>
      </c>
      <c r="M3434" s="21">
        <v>-78107.469331652188</v>
      </c>
      <c r="N3434" s="42">
        <v>51.237751684767375</v>
      </c>
      <c r="O3434" s="43">
        <v>13101.386569580183</v>
      </c>
    </row>
    <row r="3435" spans="12:15" x14ac:dyDescent="0.2">
      <c r="L3435" s="4">
        <v>3429</v>
      </c>
      <c r="M3435" s="21">
        <v>-62324.645410188634</v>
      </c>
      <c r="N3435" s="42">
        <v>49.222219439329592</v>
      </c>
      <c r="O3435" s="43">
        <v>14520.588507188981</v>
      </c>
    </row>
    <row r="3436" spans="12:15" x14ac:dyDescent="0.2">
      <c r="L3436" s="4">
        <v>3430</v>
      </c>
      <c r="M3436" s="21">
        <v>-96225.85026552224</v>
      </c>
      <c r="N3436" s="42">
        <v>47.646544320247145</v>
      </c>
      <c r="O3436" s="43">
        <v>15584.369932346652</v>
      </c>
    </row>
    <row r="3437" spans="12:15" x14ac:dyDescent="0.2">
      <c r="L3437" s="4">
        <v>3431</v>
      </c>
      <c r="M3437" s="21">
        <v>-22681.654165889442</v>
      </c>
      <c r="N3437" s="42">
        <v>50.346679101201701</v>
      </c>
      <c r="O3437" s="43">
        <v>14142.278555990604</v>
      </c>
    </row>
    <row r="3438" spans="12:15" x14ac:dyDescent="0.2">
      <c r="L3438" s="4">
        <v>3432</v>
      </c>
      <c r="M3438" s="21">
        <v>-110009.84824017844</v>
      </c>
      <c r="N3438" s="42">
        <v>49.107546993963098</v>
      </c>
      <c r="O3438" s="43">
        <v>13804.110046062033</v>
      </c>
    </row>
    <row r="3439" spans="12:15" x14ac:dyDescent="0.2">
      <c r="L3439" s="4">
        <v>3433</v>
      </c>
      <c r="M3439" s="21">
        <v>-165551.67644174906</v>
      </c>
      <c r="N3439" s="42">
        <v>48.028324517930557</v>
      </c>
      <c r="O3439" s="43">
        <v>15514.560681075996</v>
      </c>
    </row>
    <row r="3440" spans="12:15" x14ac:dyDescent="0.2">
      <c r="L3440" s="4">
        <v>3434</v>
      </c>
      <c r="M3440" s="21">
        <v>143670.29433361813</v>
      </c>
      <c r="N3440" s="42">
        <v>48.34635920333271</v>
      </c>
      <c r="O3440" s="43">
        <v>17293.339870645465</v>
      </c>
    </row>
    <row r="3441" spans="12:15" x14ac:dyDescent="0.2">
      <c r="L3441" s="4">
        <v>3435</v>
      </c>
      <c r="M3441" s="21">
        <v>-7272.8138661105768</v>
      </c>
      <c r="N3441" s="42">
        <v>49.44786120246512</v>
      </c>
      <c r="O3441" s="43">
        <v>13872.220768386602</v>
      </c>
    </row>
    <row r="3442" spans="12:15" x14ac:dyDescent="0.2">
      <c r="L3442" s="4">
        <v>3436</v>
      </c>
      <c r="M3442" s="21">
        <v>96374.174040104903</v>
      </c>
      <c r="N3442" s="42">
        <v>48.657434350170107</v>
      </c>
      <c r="O3442" s="43">
        <v>17782.08528329109</v>
      </c>
    </row>
    <row r="3443" spans="12:15" x14ac:dyDescent="0.2">
      <c r="L3443" s="4">
        <v>3437</v>
      </c>
      <c r="M3443" s="21">
        <v>-262242.94039364677</v>
      </c>
      <c r="N3443" s="42">
        <v>47.001893711449753</v>
      </c>
      <c r="O3443" s="43">
        <v>16683.619569037946</v>
      </c>
    </row>
    <row r="3444" spans="12:15" x14ac:dyDescent="0.2">
      <c r="L3444" s="4">
        <v>3438</v>
      </c>
      <c r="M3444" s="21">
        <v>22220.039281280537</v>
      </c>
      <c r="N3444" s="42">
        <v>47.27374035492722</v>
      </c>
      <c r="O3444" s="43">
        <v>15373.195352494578</v>
      </c>
    </row>
    <row r="3445" spans="12:15" x14ac:dyDescent="0.2">
      <c r="L3445" s="4">
        <v>3439</v>
      </c>
      <c r="M3445" s="21">
        <v>56759.955460429832</v>
      </c>
      <c r="N3445" s="42">
        <v>51.913985220942244</v>
      </c>
      <c r="O3445" s="43">
        <v>13469.537730253847</v>
      </c>
    </row>
    <row r="3446" spans="12:15" x14ac:dyDescent="0.2">
      <c r="L3446" s="4">
        <v>3440</v>
      </c>
      <c r="M3446" s="21">
        <v>-390328.281342134</v>
      </c>
      <c r="N3446" s="42">
        <v>46.702871838423839</v>
      </c>
      <c r="O3446" s="43">
        <v>13521.977836111921</v>
      </c>
    </row>
    <row r="3447" spans="12:15" x14ac:dyDescent="0.2">
      <c r="L3447" s="4">
        <v>3441</v>
      </c>
      <c r="M3447" s="21">
        <v>656.68623595568351</v>
      </c>
      <c r="N3447" s="42">
        <v>50.028766515154182</v>
      </c>
      <c r="O3447" s="43">
        <v>14404.536047684049</v>
      </c>
    </row>
    <row r="3448" spans="12:15" x14ac:dyDescent="0.2">
      <c r="L3448" s="4">
        <v>3442</v>
      </c>
      <c r="M3448" s="21">
        <v>194585.50686188485</v>
      </c>
      <c r="N3448" s="42">
        <v>48.837553002099739</v>
      </c>
      <c r="O3448" s="43">
        <v>17415.195859130101</v>
      </c>
    </row>
    <row r="3449" spans="12:15" x14ac:dyDescent="0.2">
      <c r="L3449" s="4">
        <v>3443</v>
      </c>
      <c r="M3449" s="21">
        <v>111277.8954372463</v>
      </c>
      <c r="N3449" s="42">
        <v>51.307439281854883</v>
      </c>
      <c r="O3449" s="43">
        <v>14693.429111884619</v>
      </c>
    </row>
    <row r="3450" spans="12:15" x14ac:dyDescent="0.2">
      <c r="L3450" s="4">
        <v>3444</v>
      </c>
      <c r="M3450" s="21">
        <v>13012.781167122099</v>
      </c>
      <c r="N3450" s="42">
        <v>50.166697187799272</v>
      </c>
      <c r="O3450" s="43">
        <v>14590.642013626963</v>
      </c>
    </row>
    <row r="3451" spans="12:15" x14ac:dyDescent="0.2">
      <c r="L3451" s="4">
        <v>3445</v>
      </c>
      <c r="M3451" s="21">
        <v>44284.979136892274</v>
      </c>
      <c r="N3451" s="42">
        <v>49.187796869684497</v>
      </c>
      <c r="O3451" s="43">
        <v>14643.036948032601</v>
      </c>
    </row>
    <row r="3452" spans="12:15" x14ac:dyDescent="0.2">
      <c r="L3452" s="4">
        <v>3446</v>
      </c>
      <c r="M3452" s="21">
        <v>-91035.230046223849</v>
      </c>
      <c r="N3452" s="42">
        <v>46.846500645801228</v>
      </c>
      <c r="O3452" s="43">
        <v>16718.905443663061</v>
      </c>
    </row>
    <row r="3453" spans="12:15" x14ac:dyDescent="0.2">
      <c r="L3453" s="4">
        <v>3447</v>
      </c>
      <c r="M3453" s="21">
        <v>5832.9619697063754</v>
      </c>
      <c r="N3453" s="42">
        <v>50.917025067412965</v>
      </c>
      <c r="O3453" s="43">
        <v>14687.533756748337</v>
      </c>
    </row>
    <row r="3454" spans="12:15" x14ac:dyDescent="0.2">
      <c r="L3454" s="4">
        <v>3448</v>
      </c>
      <c r="M3454" s="21">
        <v>-160377.29119801644</v>
      </c>
      <c r="N3454" s="42">
        <v>48.800213807144907</v>
      </c>
      <c r="O3454" s="43">
        <v>14791.874528524848</v>
      </c>
    </row>
    <row r="3455" spans="12:15" x14ac:dyDescent="0.2">
      <c r="L3455" s="4">
        <v>3449</v>
      </c>
      <c r="M3455" s="21">
        <v>-31165.101512350695</v>
      </c>
      <c r="N3455" s="42">
        <v>47.770671990575487</v>
      </c>
      <c r="O3455" s="43">
        <v>15879.395598165682</v>
      </c>
    </row>
    <row r="3456" spans="12:15" x14ac:dyDescent="0.2">
      <c r="L3456" s="4">
        <v>3450</v>
      </c>
      <c r="M3456" s="21">
        <v>98419.242135800887</v>
      </c>
      <c r="N3456" s="42">
        <v>48.010300232561178</v>
      </c>
      <c r="O3456" s="43">
        <v>15414.681885065575</v>
      </c>
    </row>
    <row r="3457" spans="12:15" x14ac:dyDescent="0.2">
      <c r="L3457" s="4">
        <v>3451</v>
      </c>
      <c r="M3457" s="21">
        <v>37199.491554411186</v>
      </c>
      <c r="N3457" s="42">
        <v>48.785618700848183</v>
      </c>
      <c r="O3457" s="43">
        <v>14875.011383350437</v>
      </c>
    </row>
    <row r="3458" spans="12:15" x14ac:dyDescent="0.2">
      <c r="L3458" s="4">
        <v>3452</v>
      </c>
      <c r="M3458" s="21">
        <v>-17455.439887353015</v>
      </c>
      <c r="N3458" s="42">
        <v>50.865864492792809</v>
      </c>
      <c r="O3458" s="43">
        <v>13248.017973795531</v>
      </c>
    </row>
    <row r="3459" spans="12:15" x14ac:dyDescent="0.2">
      <c r="L3459" s="4">
        <v>3453</v>
      </c>
      <c r="M3459" s="21">
        <v>-192781.25006457482</v>
      </c>
      <c r="N3459" s="42">
        <v>49.538479232954344</v>
      </c>
      <c r="O3459" s="43">
        <v>12323.879595568002</v>
      </c>
    </row>
    <row r="3460" spans="12:15" x14ac:dyDescent="0.2">
      <c r="L3460" s="4">
        <v>3454</v>
      </c>
      <c r="M3460" s="21">
        <v>133120.44071542553</v>
      </c>
      <c r="N3460" s="42">
        <v>49.366465513833361</v>
      </c>
      <c r="O3460" s="43">
        <v>17118.006693898598</v>
      </c>
    </row>
    <row r="3461" spans="12:15" x14ac:dyDescent="0.2">
      <c r="L3461" s="4">
        <v>3455</v>
      </c>
      <c r="M3461" s="21">
        <v>-115827.70749454875</v>
      </c>
      <c r="N3461" s="42">
        <v>49.854493710514255</v>
      </c>
      <c r="O3461" s="43">
        <v>12910.658999138788</v>
      </c>
    </row>
    <row r="3462" spans="12:15" x14ac:dyDescent="0.2">
      <c r="L3462" s="4">
        <v>3456</v>
      </c>
      <c r="M3462" s="21">
        <v>-48056.837397284908</v>
      </c>
      <c r="N3462" s="42">
        <v>48.295512259364699</v>
      </c>
      <c r="O3462" s="43">
        <v>15547.589909476921</v>
      </c>
    </row>
    <row r="3463" spans="12:15" x14ac:dyDescent="0.2">
      <c r="L3463" s="4">
        <v>3457</v>
      </c>
      <c r="M3463" s="21">
        <v>-99087.873651122733</v>
      </c>
      <c r="N3463" s="42">
        <v>49.164296961877142</v>
      </c>
      <c r="O3463" s="43">
        <v>13263.131330107661</v>
      </c>
    </row>
    <row r="3464" spans="12:15" x14ac:dyDescent="0.2">
      <c r="L3464" s="4">
        <v>3458</v>
      </c>
      <c r="M3464" s="21">
        <v>76040.538583327318</v>
      </c>
      <c r="N3464" s="42">
        <v>46.797609247356149</v>
      </c>
      <c r="O3464" s="43">
        <v>18384.358063572436</v>
      </c>
    </row>
    <row r="3465" spans="12:15" x14ac:dyDescent="0.2">
      <c r="L3465" s="4">
        <v>3459</v>
      </c>
      <c r="M3465" s="21">
        <v>-114358.1985990587</v>
      </c>
      <c r="N3465" s="42">
        <v>49.24001697398927</v>
      </c>
      <c r="O3465" s="43">
        <v>14870.379991646396</v>
      </c>
    </row>
    <row r="3466" spans="12:15" x14ac:dyDescent="0.2">
      <c r="L3466" s="4">
        <v>3460</v>
      </c>
      <c r="M3466" s="21">
        <v>-235383.27746537121</v>
      </c>
      <c r="N3466" s="42">
        <v>51.791116264736409</v>
      </c>
      <c r="O3466" s="43">
        <v>10853.000276394001</v>
      </c>
    </row>
    <row r="3467" spans="12:15" x14ac:dyDescent="0.2">
      <c r="L3467" s="4">
        <v>3461</v>
      </c>
      <c r="M3467" s="21">
        <v>-167025.27221585769</v>
      </c>
      <c r="N3467" s="42">
        <v>48.204927646260813</v>
      </c>
      <c r="O3467" s="43">
        <v>15343.646428200351</v>
      </c>
    </row>
    <row r="3468" spans="12:15" x14ac:dyDescent="0.2">
      <c r="L3468" s="4">
        <v>3462</v>
      </c>
      <c r="M3468" s="21">
        <v>-159398.30071444513</v>
      </c>
      <c r="N3468" s="42">
        <v>46.415770288215043</v>
      </c>
      <c r="O3468" s="43">
        <v>15462.149495059581</v>
      </c>
    </row>
    <row r="3469" spans="12:15" x14ac:dyDescent="0.2">
      <c r="L3469" s="4">
        <v>3463</v>
      </c>
      <c r="M3469" s="21">
        <v>-176403.67439611442</v>
      </c>
      <c r="N3469" s="42">
        <v>47.31340406541851</v>
      </c>
      <c r="O3469" s="43">
        <v>15538.157559443805</v>
      </c>
    </row>
    <row r="3470" spans="12:15" x14ac:dyDescent="0.2">
      <c r="L3470" s="4">
        <v>3464</v>
      </c>
      <c r="M3470" s="21">
        <v>2354.7384508246032</v>
      </c>
      <c r="N3470" s="42">
        <v>50.805423648362762</v>
      </c>
      <c r="O3470" s="43">
        <v>14588.99592820963</v>
      </c>
    </row>
    <row r="3471" spans="12:15" x14ac:dyDescent="0.2">
      <c r="L3471" s="4">
        <v>3465</v>
      </c>
      <c r="M3471" s="21">
        <v>-170269.24470173634</v>
      </c>
      <c r="N3471" s="42">
        <v>47.885604757664197</v>
      </c>
      <c r="O3471" s="43">
        <v>14481.270638802558</v>
      </c>
    </row>
    <row r="3472" spans="12:15" x14ac:dyDescent="0.2">
      <c r="L3472" s="4">
        <v>3466</v>
      </c>
      <c r="M3472" s="21">
        <v>-84734.861931915992</v>
      </c>
      <c r="N3472" s="42">
        <v>49.853878949319338</v>
      </c>
      <c r="O3472" s="43">
        <v>14055.236493834183</v>
      </c>
    </row>
    <row r="3473" spans="12:15" x14ac:dyDescent="0.2">
      <c r="L3473" s="4">
        <v>3467</v>
      </c>
      <c r="M3473" s="21">
        <v>-158820.43367955612</v>
      </c>
      <c r="N3473" s="42">
        <v>51.279025692060685</v>
      </c>
      <c r="O3473" s="43">
        <v>11415.240181694346</v>
      </c>
    </row>
    <row r="3474" spans="12:15" x14ac:dyDescent="0.2">
      <c r="L3474" s="4">
        <v>3468</v>
      </c>
      <c r="M3474" s="21">
        <v>-10990.018297199305</v>
      </c>
      <c r="N3474" s="42">
        <v>48.263156084961295</v>
      </c>
      <c r="O3474" s="43">
        <v>16652.817470897116</v>
      </c>
    </row>
    <row r="3475" spans="12:15" x14ac:dyDescent="0.2">
      <c r="L3475" s="4">
        <v>3469</v>
      </c>
      <c r="M3475" s="21">
        <v>-91481.319895380744</v>
      </c>
      <c r="N3475" s="42">
        <v>49.628670134655458</v>
      </c>
      <c r="O3475" s="43">
        <v>13454.798935300496</v>
      </c>
    </row>
    <row r="3476" spans="12:15" x14ac:dyDescent="0.2">
      <c r="L3476" s="4">
        <v>3470</v>
      </c>
      <c r="M3476" s="21">
        <v>76897.236428669334</v>
      </c>
      <c r="N3476" s="42">
        <v>47.932987670592183</v>
      </c>
      <c r="O3476" s="43">
        <v>16271.427308203456</v>
      </c>
    </row>
    <row r="3477" spans="12:15" x14ac:dyDescent="0.2">
      <c r="L3477" s="4">
        <v>3471</v>
      </c>
      <c r="M3477" s="21">
        <v>162476.60042397919</v>
      </c>
      <c r="N3477" s="42">
        <v>50.184700348154585</v>
      </c>
      <c r="O3477" s="43">
        <v>16398.509921032066</v>
      </c>
    </row>
    <row r="3478" spans="12:15" x14ac:dyDescent="0.2">
      <c r="L3478" s="4">
        <v>3472</v>
      </c>
      <c r="M3478" s="21">
        <v>158137.94180559175</v>
      </c>
      <c r="N3478" s="42">
        <v>48.824737273153566</v>
      </c>
      <c r="O3478" s="43">
        <v>17809.702984780139</v>
      </c>
    </row>
    <row r="3479" spans="12:15" x14ac:dyDescent="0.2">
      <c r="L3479" s="4">
        <v>3473</v>
      </c>
      <c r="M3479" s="21">
        <v>-4742.6641412869212</v>
      </c>
      <c r="N3479" s="42">
        <v>51.777922404144022</v>
      </c>
      <c r="O3479" s="43">
        <v>13965.526480432263</v>
      </c>
    </row>
    <row r="3480" spans="12:15" x14ac:dyDescent="0.2">
      <c r="L3480" s="4">
        <v>3474</v>
      </c>
      <c r="M3480" s="21">
        <v>159721.90320619076</v>
      </c>
      <c r="N3480" s="42">
        <v>48.511816725182875</v>
      </c>
      <c r="O3480" s="43">
        <v>17146.980903280739</v>
      </c>
    </row>
    <row r="3481" spans="12:15" x14ac:dyDescent="0.2">
      <c r="L3481" s="4">
        <v>3475</v>
      </c>
      <c r="M3481" s="21">
        <v>-52234.367187451207</v>
      </c>
      <c r="N3481" s="42">
        <v>48.71421044311078</v>
      </c>
      <c r="O3481" s="43">
        <v>14360.874502604371</v>
      </c>
    </row>
    <row r="3482" spans="12:15" x14ac:dyDescent="0.2">
      <c r="L3482" s="4">
        <v>3476</v>
      </c>
      <c r="M3482" s="21">
        <v>-131324.13541916339</v>
      </c>
      <c r="N3482" s="42">
        <v>48.627354853049589</v>
      </c>
      <c r="O3482" s="43">
        <v>14934.8432612816</v>
      </c>
    </row>
    <row r="3483" spans="12:15" x14ac:dyDescent="0.2">
      <c r="L3483" s="4">
        <v>3477</v>
      </c>
      <c r="M3483" s="21">
        <v>144061.12547817497</v>
      </c>
      <c r="N3483" s="42">
        <v>49.936446242459027</v>
      </c>
      <c r="O3483" s="43">
        <v>16450.37293524561</v>
      </c>
    </row>
    <row r="3484" spans="12:15" x14ac:dyDescent="0.2">
      <c r="L3484" s="4">
        <v>3478</v>
      </c>
      <c r="M3484" s="21">
        <v>-5613.7760630175471</v>
      </c>
      <c r="N3484" s="42">
        <v>51.090101751676265</v>
      </c>
      <c r="O3484" s="43">
        <v>13020.419515784952</v>
      </c>
    </row>
    <row r="3485" spans="12:15" x14ac:dyDescent="0.2">
      <c r="L3485" s="4">
        <v>3479</v>
      </c>
      <c r="M3485" s="21">
        <v>-82559.197436798131</v>
      </c>
      <c r="N3485" s="42">
        <v>46.612698425873482</v>
      </c>
      <c r="O3485" s="43">
        <v>18548.394619282612</v>
      </c>
    </row>
    <row r="3486" spans="12:15" x14ac:dyDescent="0.2">
      <c r="L3486" s="4">
        <v>3480</v>
      </c>
      <c r="M3486" s="21">
        <v>71140.136769466335</v>
      </c>
      <c r="N3486" s="42">
        <v>47.921264770468589</v>
      </c>
      <c r="O3486" s="43">
        <v>17081.108347132053</v>
      </c>
    </row>
    <row r="3487" spans="12:15" x14ac:dyDescent="0.2">
      <c r="L3487" s="4">
        <v>3481</v>
      </c>
      <c r="M3487" s="21">
        <v>-78283.395277488991</v>
      </c>
      <c r="N3487" s="42">
        <v>49.628218497631039</v>
      </c>
      <c r="O3487" s="43">
        <v>15033.364517083157</v>
      </c>
    </row>
    <row r="3488" spans="12:15" x14ac:dyDescent="0.2">
      <c r="L3488" s="4">
        <v>3482</v>
      </c>
      <c r="M3488" s="21">
        <v>62144.329231227632</v>
      </c>
      <c r="N3488" s="42">
        <v>51.092434058082027</v>
      </c>
      <c r="O3488" s="43">
        <v>14389.7209839721</v>
      </c>
    </row>
    <row r="3489" spans="12:15" x14ac:dyDescent="0.2">
      <c r="L3489" s="4">
        <v>3483</v>
      </c>
      <c r="M3489" s="21">
        <v>-10729.407105164762</v>
      </c>
      <c r="N3489" s="42">
        <v>48.359604365539205</v>
      </c>
      <c r="O3489" s="43">
        <v>15342.883952979792</v>
      </c>
    </row>
    <row r="3490" spans="12:15" x14ac:dyDescent="0.2">
      <c r="L3490" s="4">
        <v>3484</v>
      </c>
      <c r="M3490" s="21">
        <v>-151366.11639529653</v>
      </c>
      <c r="N3490" s="42">
        <v>46.683552834656631</v>
      </c>
      <c r="O3490" s="43">
        <v>15602.432974003848</v>
      </c>
    </row>
    <row r="3491" spans="12:15" x14ac:dyDescent="0.2">
      <c r="L3491" s="4">
        <v>3485</v>
      </c>
      <c r="M3491" s="21">
        <v>2794.0129561304639</v>
      </c>
      <c r="N3491" s="42">
        <v>49.658646483075621</v>
      </c>
      <c r="O3491" s="43">
        <v>14707.029730771175</v>
      </c>
    </row>
    <row r="3492" spans="12:15" x14ac:dyDescent="0.2">
      <c r="L3492" s="4">
        <v>3486</v>
      </c>
      <c r="M3492" s="21">
        <v>-16538.005767407172</v>
      </c>
      <c r="N3492" s="42">
        <v>47.444872068229728</v>
      </c>
      <c r="O3492" s="43">
        <v>15008.972986919383</v>
      </c>
    </row>
    <row r="3493" spans="12:15" x14ac:dyDescent="0.2">
      <c r="L3493" s="4">
        <v>3487</v>
      </c>
      <c r="M3493" s="21">
        <v>-94107.232485049652</v>
      </c>
      <c r="N3493" s="42">
        <v>48.875230691804866</v>
      </c>
      <c r="O3493" s="43">
        <v>13660.078359898453</v>
      </c>
    </row>
    <row r="3494" spans="12:15" x14ac:dyDescent="0.2">
      <c r="L3494" s="4">
        <v>3488</v>
      </c>
      <c r="M3494" s="21">
        <v>-141939.44643122176</v>
      </c>
      <c r="N3494" s="42">
        <v>49.973185761968935</v>
      </c>
      <c r="O3494" s="43">
        <v>13623.120491017149</v>
      </c>
    </row>
    <row r="3495" spans="12:15" x14ac:dyDescent="0.2">
      <c r="L3495" s="4">
        <v>3489</v>
      </c>
      <c r="M3495" s="21">
        <v>69761.281650076824</v>
      </c>
      <c r="N3495" s="42">
        <v>49.765790225034969</v>
      </c>
      <c r="O3495" s="43">
        <v>15457.583345162378</v>
      </c>
    </row>
    <row r="3496" spans="12:15" x14ac:dyDescent="0.2">
      <c r="L3496" s="4">
        <v>3490</v>
      </c>
      <c r="M3496" s="21">
        <v>-55650.464081697122</v>
      </c>
      <c r="N3496" s="42">
        <v>48.288966241335871</v>
      </c>
      <c r="O3496" s="43">
        <v>15442.829587047865</v>
      </c>
    </row>
    <row r="3497" spans="12:15" x14ac:dyDescent="0.2">
      <c r="L3497" s="4">
        <v>3491</v>
      </c>
      <c r="M3497" s="21">
        <v>78669.340637099027</v>
      </c>
      <c r="N3497" s="42">
        <v>50.588062241072265</v>
      </c>
      <c r="O3497" s="43">
        <v>15687.679677384554</v>
      </c>
    </row>
    <row r="3498" spans="12:15" x14ac:dyDescent="0.2">
      <c r="L3498" s="4">
        <v>3492</v>
      </c>
      <c r="M3498" s="21">
        <v>-36172.868738341858</v>
      </c>
      <c r="N3498" s="42">
        <v>46.93449297760386</v>
      </c>
      <c r="O3498" s="43">
        <v>19000.637413401939</v>
      </c>
    </row>
    <row r="3499" spans="12:15" x14ac:dyDescent="0.2">
      <c r="L3499" s="4">
        <v>3493</v>
      </c>
      <c r="M3499" s="21">
        <v>-136870.64081166728</v>
      </c>
      <c r="N3499" s="42">
        <v>49.995896656160916</v>
      </c>
      <c r="O3499" s="43">
        <v>14956.616443763698</v>
      </c>
    </row>
    <row r="3500" spans="12:15" x14ac:dyDescent="0.2">
      <c r="L3500" s="4">
        <v>3494</v>
      </c>
      <c r="M3500" s="21">
        <v>-119709.0093734554</v>
      </c>
      <c r="N3500" s="42">
        <v>49.876462663837984</v>
      </c>
      <c r="O3500" s="43">
        <v>13134.045202456018</v>
      </c>
    </row>
    <row r="3501" spans="12:15" x14ac:dyDescent="0.2">
      <c r="L3501" s="4">
        <v>3495</v>
      </c>
      <c r="M3501" s="21">
        <v>4151.0195847124851</v>
      </c>
      <c r="N3501" s="42">
        <v>49.72817160264826</v>
      </c>
      <c r="O3501" s="43">
        <v>13348.945505826581</v>
      </c>
    </row>
    <row r="3502" spans="12:15" x14ac:dyDescent="0.2">
      <c r="L3502" s="4">
        <v>3496</v>
      </c>
      <c r="M3502" s="21">
        <v>-89869.405238346575</v>
      </c>
      <c r="N3502" s="42">
        <v>50.016134063250263</v>
      </c>
      <c r="O3502" s="43">
        <v>14419.109540722713</v>
      </c>
    </row>
    <row r="3503" spans="12:15" x14ac:dyDescent="0.2">
      <c r="L3503" s="4">
        <v>3497</v>
      </c>
      <c r="M3503" s="21">
        <v>-97650.936147758519</v>
      </c>
      <c r="N3503" s="42">
        <v>50.307305250706122</v>
      </c>
      <c r="O3503" s="43">
        <v>14723.233013454676</v>
      </c>
    </row>
    <row r="3504" spans="12:15" x14ac:dyDescent="0.2">
      <c r="L3504" s="4">
        <v>3498</v>
      </c>
      <c r="M3504" s="21">
        <v>-43732.721615320086</v>
      </c>
      <c r="N3504" s="42">
        <v>49.112333956419398</v>
      </c>
      <c r="O3504" s="43">
        <v>14272.171962509308</v>
      </c>
    </row>
    <row r="3505" spans="12:15" x14ac:dyDescent="0.2">
      <c r="L3505" s="4">
        <v>3499</v>
      </c>
      <c r="M3505" s="21">
        <v>119754.75204888693</v>
      </c>
      <c r="N3505" s="42">
        <v>49.957101158721493</v>
      </c>
      <c r="O3505" s="43">
        <v>15892.084339197501</v>
      </c>
    </row>
    <row r="3506" spans="12:15" x14ac:dyDescent="0.2">
      <c r="L3506" s="4">
        <v>3500</v>
      </c>
      <c r="M3506" s="21">
        <v>180016.09618883289</v>
      </c>
      <c r="N3506" s="42">
        <v>48.293158892658575</v>
      </c>
      <c r="O3506" s="43">
        <v>15663.24809947939</v>
      </c>
    </row>
    <row r="3507" spans="12:15" x14ac:dyDescent="0.2">
      <c r="L3507" s="4">
        <v>3501</v>
      </c>
      <c r="M3507" s="21">
        <v>-247451.80720501213</v>
      </c>
      <c r="N3507" s="42">
        <v>46.845538637179175</v>
      </c>
      <c r="O3507" s="43">
        <v>16065.152567527142</v>
      </c>
    </row>
    <row r="3508" spans="12:15" x14ac:dyDescent="0.2">
      <c r="L3508" s="4">
        <v>3502</v>
      </c>
      <c r="M3508" s="21">
        <v>24520.082976942736</v>
      </c>
      <c r="N3508" s="42">
        <v>49.593951176080459</v>
      </c>
      <c r="O3508" s="43">
        <v>16049.584250745578</v>
      </c>
    </row>
    <row r="3509" spans="12:15" x14ac:dyDescent="0.2">
      <c r="L3509" s="4">
        <v>3503</v>
      </c>
      <c r="M3509" s="21">
        <v>145307.13519442413</v>
      </c>
      <c r="N3509" s="42">
        <v>49.371691663516913</v>
      </c>
      <c r="O3509" s="43">
        <v>15942.316294859151</v>
      </c>
    </row>
    <row r="3510" spans="12:15" x14ac:dyDescent="0.2">
      <c r="L3510" s="4">
        <v>3504</v>
      </c>
      <c r="M3510" s="21">
        <v>44399.578151496215</v>
      </c>
      <c r="N3510" s="42">
        <v>47.191815708199947</v>
      </c>
      <c r="O3510" s="43">
        <v>16225.583717601414</v>
      </c>
    </row>
    <row r="3511" spans="12:15" x14ac:dyDescent="0.2">
      <c r="L3511" s="4">
        <v>3505</v>
      </c>
      <c r="M3511" s="21">
        <v>-245103.14005141548</v>
      </c>
      <c r="N3511" s="42">
        <v>48.469767325274788</v>
      </c>
      <c r="O3511" s="43">
        <v>12913.918556719473</v>
      </c>
    </row>
    <row r="3512" spans="12:15" x14ac:dyDescent="0.2">
      <c r="L3512" s="4">
        <v>3506</v>
      </c>
      <c r="M3512" s="21">
        <v>74883.581996717083</v>
      </c>
      <c r="N3512" s="42">
        <v>50.336228097428972</v>
      </c>
      <c r="O3512" s="43">
        <v>14651.138526230347</v>
      </c>
    </row>
    <row r="3513" spans="12:15" x14ac:dyDescent="0.2">
      <c r="L3513" s="4">
        <v>3507</v>
      </c>
      <c r="M3513" s="21">
        <v>80181.754254418542</v>
      </c>
      <c r="N3513" s="42">
        <v>49.923374116192399</v>
      </c>
      <c r="O3513" s="43">
        <v>15266.186102165269</v>
      </c>
    </row>
    <row r="3514" spans="12:15" x14ac:dyDescent="0.2">
      <c r="L3514" s="4">
        <v>3508</v>
      </c>
      <c r="M3514" s="21">
        <v>-82841.928188324309</v>
      </c>
      <c r="N3514" s="42">
        <v>47.552504594027411</v>
      </c>
      <c r="O3514" s="43">
        <v>14864.719506489351</v>
      </c>
    </row>
    <row r="3515" spans="12:15" x14ac:dyDescent="0.2">
      <c r="L3515" s="4">
        <v>3509</v>
      </c>
      <c r="M3515" s="21">
        <v>74438.306404232222</v>
      </c>
      <c r="N3515" s="42">
        <v>49.665791899558393</v>
      </c>
      <c r="O3515" s="43">
        <v>16569.217945332242</v>
      </c>
    </row>
    <row r="3516" spans="12:15" x14ac:dyDescent="0.2">
      <c r="L3516" s="4">
        <v>3510</v>
      </c>
      <c r="M3516" s="21">
        <v>-89758.768526079686</v>
      </c>
      <c r="N3516" s="42">
        <v>51.287429570280608</v>
      </c>
      <c r="O3516" s="43">
        <v>12847.662114203755</v>
      </c>
    </row>
    <row r="3517" spans="12:15" x14ac:dyDescent="0.2">
      <c r="L3517" s="4">
        <v>3511</v>
      </c>
      <c r="M3517" s="21">
        <v>64535.654671496304</v>
      </c>
      <c r="N3517" s="42">
        <v>47.958544967405572</v>
      </c>
      <c r="O3517" s="43">
        <v>16341.493671735123</v>
      </c>
    </row>
    <row r="3518" spans="12:15" x14ac:dyDescent="0.2">
      <c r="L3518" s="4">
        <v>3512</v>
      </c>
      <c r="M3518" s="21">
        <v>-271122.09814431524</v>
      </c>
      <c r="N3518" s="42">
        <v>48.437477226075416</v>
      </c>
      <c r="O3518" s="43">
        <v>12091.282020119115</v>
      </c>
    </row>
    <row r="3519" spans="12:15" x14ac:dyDescent="0.2">
      <c r="L3519" s="4">
        <v>3513</v>
      </c>
      <c r="M3519" s="21">
        <v>-2723.2783584674617</v>
      </c>
      <c r="N3519" s="42">
        <v>47.843887015589893</v>
      </c>
      <c r="O3519" s="43">
        <v>16035.39551510512</v>
      </c>
    </row>
    <row r="3520" spans="12:15" x14ac:dyDescent="0.2">
      <c r="L3520" s="4">
        <v>3514</v>
      </c>
      <c r="M3520" s="21">
        <v>57661.274060497642</v>
      </c>
      <c r="N3520" s="42">
        <v>48.137560850653792</v>
      </c>
      <c r="O3520" s="43">
        <v>18521.011306072276</v>
      </c>
    </row>
    <row r="3521" spans="12:15" x14ac:dyDescent="0.2">
      <c r="L3521" s="4">
        <v>3515</v>
      </c>
      <c r="M3521" s="21">
        <v>39460.637549981708</v>
      </c>
      <c r="N3521" s="42">
        <v>48.067382175538789</v>
      </c>
      <c r="O3521" s="43">
        <v>16112.505717202606</v>
      </c>
    </row>
    <row r="3522" spans="12:15" x14ac:dyDescent="0.2">
      <c r="L3522" s="4">
        <v>3516</v>
      </c>
      <c r="M3522" s="21">
        <v>164300.87328312083</v>
      </c>
      <c r="N3522" s="42">
        <v>50.442806263073408</v>
      </c>
      <c r="O3522" s="43">
        <v>15297.602434589624</v>
      </c>
    </row>
    <row r="3523" spans="12:15" x14ac:dyDescent="0.2">
      <c r="L3523" s="4">
        <v>3517</v>
      </c>
      <c r="M3523" s="21">
        <v>-129640.30889084148</v>
      </c>
      <c r="N3523" s="42">
        <v>49.387172802368532</v>
      </c>
      <c r="O3523" s="43">
        <v>13343.976506160703</v>
      </c>
    </row>
    <row r="3524" spans="12:15" x14ac:dyDescent="0.2">
      <c r="L3524" s="4">
        <v>3518</v>
      </c>
      <c r="M3524" s="21">
        <v>146321.09350231022</v>
      </c>
      <c r="N3524" s="42">
        <v>50.805386698714642</v>
      </c>
      <c r="O3524" s="43">
        <v>15721.124968907137</v>
      </c>
    </row>
    <row r="3525" spans="12:15" x14ac:dyDescent="0.2">
      <c r="L3525" s="4">
        <v>3519</v>
      </c>
      <c r="M3525" s="21">
        <v>-223175.57582716929</v>
      </c>
      <c r="N3525" s="42">
        <v>50.837793536571553</v>
      </c>
      <c r="O3525" s="43">
        <v>11607.915592707601</v>
      </c>
    </row>
    <row r="3526" spans="12:15" x14ac:dyDescent="0.2">
      <c r="L3526" s="4">
        <v>3520</v>
      </c>
      <c r="M3526" s="21">
        <v>-28231.291199832398</v>
      </c>
      <c r="N3526" s="42">
        <v>49.003423340685018</v>
      </c>
      <c r="O3526" s="43">
        <v>14836.657120150836</v>
      </c>
    </row>
    <row r="3527" spans="12:15" x14ac:dyDescent="0.2">
      <c r="L3527" s="4">
        <v>3521</v>
      </c>
      <c r="M3527" s="21">
        <v>-105593.49436364134</v>
      </c>
      <c r="N3527" s="42">
        <v>48.80894490246591</v>
      </c>
      <c r="O3527" s="43">
        <v>15830.186979431654</v>
      </c>
    </row>
    <row r="3528" spans="12:15" x14ac:dyDescent="0.2">
      <c r="L3528" s="4">
        <v>3522</v>
      </c>
      <c r="M3528" s="21">
        <v>-112735.0769398644</v>
      </c>
      <c r="N3528" s="42">
        <v>48.958095082099256</v>
      </c>
      <c r="O3528" s="43">
        <v>14046.21238042412</v>
      </c>
    </row>
    <row r="3529" spans="12:15" x14ac:dyDescent="0.2">
      <c r="L3529" s="4">
        <v>3523</v>
      </c>
      <c r="M3529" s="21">
        <v>81759.616326357936</v>
      </c>
      <c r="N3529" s="42">
        <v>50.086639971312863</v>
      </c>
      <c r="O3529" s="43">
        <v>14942.296584378621</v>
      </c>
    </row>
    <row r="3530" spans="12:15" x14ac:dyDescent="0.2">
      <c r="L3530" s="4">
        <v>3524</v>
      </c>
      <c r="M3530" s="21">
        <v>105005.01788898034</v>
      </c>
      <c r="N3530" s="42">
        <v>48.899635235183361</v>
      </c>
      <c r="O3530" s="43">
        <v>16105.363235345952</v>
      </c>
    </row>
    <row r="3531" spans="12:15" x14ac:dyDescent="0.2">
      <c r="L3531" s="4">
        <v>3525</v>
      </c>
      <c r="M3531" s="21">
        <v>-138164.87726145593</v>
      </c>
      <c r="N3531" s="42">
        <v>48.545508757903235</v>
      </c>
      <c r="O3531" s="43">
        <v>14984.719052669876</v>
      </c>
    </row>
    <row r="3532" spans="12:15" x14ac:dyDescent="0.2">
      <c r="L3532" s="4">
        <v>3526</v>
      </c>
      <c r="M3532" s="21">
        <v>-54081.470314342456</v>
      </c>
      <c r="N3532" s="42">
        <v>48.755599981922863</v>
      </c>
      <c r="O3532" s="43">
        <v>15507.131656331167</v>
      </c>
    </row>
    <row r="3533" spans="12:15" x14ac:dyDescent="0.2">
      <c r="L3533" s="4">
        <v>3527</v>
      </c>
      <c r="M3533" s="21">
        <v>-56574.841733455149</v>
      </c>
      <c r="N3533" s="42">
        <v>50.68009860570448</v>
      </c>
      <c r="O3533" s="43">
        <v>13071.003984863339</v>
      </c>
    </row>
    <row r="3534" spans="12:15" x14ac:dyDescent="0.2">
      <c r="L3534" s="4">
        <v>3528</v>
      </c>
      <c r="M3534" s="21">
        <v>194461.71333394083</v>
      </c>
      <c r="N3534" s="42">
        <v>51.634398228249317</v>
      </c>
      <c r="O3534" s="43">
        <v>13959.132018440403</v>
      </c>
    </row>
    <row r="3535" spans="12:15" x14ac:dyDescent="0.2">
      <c r="L3535" s="4">
        <v>3529</v>
      </c>
      <c r="M3535" s="21">
        <v>-175293.24360452191</v>
      </c>
      <c r="N3535" s="42">
        <v>45.755629822818179</v>
      </c>
      <c r="O3535" s="43">
        <v>16133.06855615962</v>
      </c>
    </row>
    <row r="3536" spans="12:15" x14ac:dyDescent="0.2">
      <c r="L3536" s="4">
        <v>3530</v>
      </c>
      <c r="M3536" s="21">
        <v>67956.606971577188</v>
      </c>
      <c r="N3536" s="42">
        <v>47.646185287872711</v>
      </c>
      <c r="O3536" s="43">
        <v>16307.381835024391</v>
      </c>
    </row>
    <row r="3537" spans="12:15" x14ac:dyDescent="0.2">
      <c r="L3537" s="4">
        <v>3531</v>
      </c>
      <c r="M3537" s="21">
        <v>-219152.13937276654</v>
      </c>
      <c r="N3537" s="42">
        <v>46.436659549907503</v>
      </c>
      <c r="O3537" s="43">
        <v>16469.594858552955</v>
      </c>
    </row>
    <row r="3538" spans="12:15" x14ac:dyDescent="0.2">
      <c r="L3538" s="4">
        <v>3532</v>
      </c>
      <c r="M3538" s="21">
        <v>192868.26774951248</v>
      </c>
      <c r="N3538" s="42">
        <v>49.871063891852017</v>
      </c>
      <c r="O3538" s="43">
        <v>16492.54183270612</v>
      </c>
    </row>
    <row r="3539" spans="12:15" x14ac:dyDescent="0.2">
      <c r="L3539" s="4">
        <v>3533</v>
      </c>
      <c r="M3539" s="21">
        <v>-262942.59810976946</v>
      </c>
      <c r="N3539" s="42">
        <v>46.819171596326292</v>
      </c>
      <c r="O3539" s="43">
        <v>14262.830107542406</v>
      </c>
    </row>
    <row r="3540" spans="12:15" x14ac:dyDescent="0.2">
      <c r="L3540" s="4">
        <v>3534</v>
      </c>
      <c r="M3540" s="21">
        <v>2490.1425853394903</v>
      </c>
      <c r="N3540" s="42">
        <v>48.417467951674681</v>
      </c>
      <c r="O3540" s="43">
        <v>15916.703608960745</v>
      </c>
    </row>
    <row r="3541" spans="12:15" x14ac:dyDescent="0.2">
      <c r="L3541" s="4">
        <v>3535</v>
      </c>
      <c r="M3541" s="21">
        <v>5923.0031766366446</v>
      </c>
      <c r="N3541" s="42">
        <v>47.140382901383958</v>
      </c>
      <c r="O3541" s="43">
        <v>18327.601256226622</v>
      </c>
    </row>
    <row r="3542" spans="12:15" x14ac:dyDescent="0.2">
      <c r="L3542" s="4">
        <v>3536</v>
      </c>
      <c r="M3542" s="21">
        <v>56970.039565735555</v>
      </c>
      <c r="N3542" s="42">
        <v>51.237606273749094</v>
      </c>
      <c r="O3542" s="43">
        <v>14217.52978005132</v>
      </c>
    </row>
    <row r="3543" spans="12:15" x14ac:dyDescent="0.2">
      <c r="L3543" s="4">
        <v>3537</v>
      </c>
      <c r="M3543" s="21">
        <v>-290874.50817817252</v>
      </c>
      <c r="N3543" s="42">
        <v>49.515657979463867</v>
      </c>
      <c r="O3543" s="43">
        <v>12053.536694532384</v>
      </c>
    </row>
    <row r="3544" spans="12:15" x14ac:dyDescent="0.2">
      <c r="L3544" s="4">
        <v>3538</v>
      </c>
      <c r="M3544" s="21">
        <v>-124573.66376613139</v>
      </c>
      <c r="N3544" s="42">
        <v>51.148973476449264</v>
      </c>
      <c r="O3544" s="43">
        <v>13121.143143859237</v>
      </c>
    </row>
    <row r="3545" spans="12:15" x14ac:dyDescent="0.2">
      <c r="L3545" s="4">
        <v>3539</v>
      </c>
      <c r="M3545" s="21">
        <v>14824.323360212555</v>
      </c>
      <c r="N3545" s="42">
        <v>49.283135855449302</v>
      </c>
      <c r="O3545" s="43">
        <v>15040.854541321312</v>
      </c>
    </row>
    <row r="3546" spans="12:15" x14ac:dyDescent="0.2">
      <c r="L3546" s="4">
        <v>3540</v>
      </c>
      <c r="M3546" s="21">
        <v>82544.410096978972</v>
      </c>
      <c r="N3546" s="42">
        <v>50.24364650155951</v>
      </c>
      <c r="O3546" s="43">
        <v>15453.960253627733</v>
      </c>
    </row>
    <row r="3547" spans="12:15" x14ac:dyDescent="0.2">
      <c r="L3547" s="4">
        <v>3541</v>
      </c>
      <c r="M3547" s="21">
        <v>-78042.032756694884</v>
      </c>
      <c r="N3547" s="42">
        <v>47.978083660671508</v>
      </c>
      <c r="O3547" s="43">
        <v>13443.942633324536</v>
      </c>
    </row>
    <row r="3548" spans="12:15" x14ac:dyDescent="0.2">
      <c r="L3548" s="4">
        <v>3542</v>
      </c>
      <c r="M3548" s="21">
        <v>590.3667978454323</v>
      </c>
      <c r="N3548" s="42">
        <v>47.995789695499397</v>
      </c>
      <c r="O3548" s="43">
        <v>15923.106512693994</v>
      </c>
    </row>
    <row r="3549" spans="12:15" x14ac:dyDescent="0.2">
      <c r="L3549" s="4">
        <v>3543</v>
      </c>
      <c r="M3549" s="21">
        <v>296693.62547231122</v>
      </c>
      <c r="N3549" s="42">
        <v>50.720681033559067</v>
      </c>
      <c r="O3549" s="43">
        <v>16482.863613065296</v>
      </c>
    </row>
    <row r="3550" spans="12:15" x14ac:dyDescent="0.2">
      <c r="L3550" s="4">
        <v>3544</v>
      </c>
      <c r="M3550" s="21">
        <v>-60187.698439453961</v>
      </c>
      <c r="N3550" s="42">
        <v>48.698320411812198</v>
      </c>
      <c r="O3550" s="43">
        <v>16373.775051455734</v>
      </c>
    </row>
    <row r="3551" spans="12:15" x14ac:dyDescent="0.2">
      <c r="L3551" s="4">
        <v>3545</v>
      </c>
      <c r="M3551" s="21">
        <v>100005.94404873787</v>
      </c>
      <c r="N3551" s="42">
        <v>48.433128872407771</v>
      </c>
      <c r="O3551" s="43">
        <v>16186.883837290752</v>
      </c>
    </row>
    <row r="3552" spans="12:15" x14ac:dyDescent="0.2">
      <c r="L3552" s="4">
        <v>3546</v>
      </c>
      <c r="M3552" s="21">
        <v>115607.46631132596</v>
      </c>
      <c r="N3552" s="42">
        <v>51.294392214339155</v>
      </c>
      <c r="O3552" s="43">
        <v>16340.603291707568</v>
      </c>
    </row>
    <row r="3553" spans="12:15" x14ac:dyDescent="0.2">
      <c r="L3553" s="4">
        <v>3547</v>
      </c>
      <c r="M3553" s="21">
        <v>-97606.521506743549</v>
      </c>
      <c r="N3553" s="42">
        <v>47.579204569591973</v>
      </c>
      <c r="O3553" s="43">
        <v>14897.715402131231</v>
      </c>
    </row>
    <row r="3554" spans="12:15" x14ac:dyDescent="0.2">
      <c r="L3554" s="4">
        <v>3548</v>
      </c>
      <c r="M3554" s="21">
        <v>-267635.16093052889</v>
      </c>
      <c r="N3554" s="42">
        <v>48.495109375504988</v>
      </c>
      <c r="O3554" s="43">
        <v>13013.003351722995</v>
      </c>
    </row>
    <row r="3555" spans="12:15" x14ac:dyDescent="0.2">
      <c r="L3555" s="4">
        <v>3549</v>
      </c>
      <c r="M3555" s="21">
        <v>-139107.34099299548</v>
      </c>
      <c r="N3555" s="42">
        <v>47.417376197784463</v>
      </c>
      <c r="O3555" s="43">
        <v>14758.749486168463</v>
      </c>
    </row>
    <row r="3556" spans="12:15" x14ac:dyDescent="0.2">
      <c r="L3556" s="4">
        <v>3550</v>
      </c>
      <c r="M3556" s="21">
        <v>-81972.842434943464</v>
      </c>
      <c r="N3556" s="42">
        <v>49.990746067096268</v>
      </c>
      <c r="O3556" s="43">
        <v>13552.648012611926</v>
      </c>
    </row>
    <row r="3557" spans="12:15" x14ac:dyDescent="0.2">
      <c r="L3557" s="4">
        <v>3551</v>
      </c>
      <c r="M3557" s="21">
        <v>222022.86944202712</v>
      </c>
      <c r="N3557" s="42">
        <v>50.458294625723937</v>
      </c>
      <c r="O3557" s="43">
        <v>15609.772857497792</v>
      </c>
    </row>
    <row r="3558" spans="12:15" x14ac:dyDescent="0.2">
      <c r="L3558" s="4">
        <v>3552</v>
      </c>
      <c r="M3558" s="21">
        <v>79719.628798316262</v>
      </c>
      <c r="N3558" s="42">
        <v>51.51053441553821</v>
      </c>
      <c r="O3558" s="43">
        <v>13797.482966016505</v>
      </c>
    </row>
    <row r="3559" spans="12:15" x14ac:dyDescent="0.2">
      <c r="L3559" s="4">
        <v>3553</v>
      </c>
      <c r="M3559" s="21">
        <v>-77109.114022700072</v>
      </c>
      <c r="N3559" s="42">
        <v>49.02599375036835</v>
      </c>
      <c r="O3559" s="43">
        <v>14251.174077254827</v>
      </c>
    </row>
    <row r="3560" spans="12:15" x14ac:dyDescent="0.2">
      <c r="L3560" s="4">
        <v>3554</v>
      </c>
      <c r="M3560" s="21">
        <v>-102852.75924690296</v>
      </c>
      <c r="N3560" s="42">
        <v>51.700750064007039</v>
      </c>
      <c r="O3560" s="43">
        <v>12003.424792293119</v>
      </c>
    </row>
    <row r="3561" spans="12:15" x14ac:dyDescent="0.2">
      <c r="L3561" s="4">
        <v>3555</v>
      </c>
      <c r="M3561" s="21">
        <v>205481.20201965288</v>
      </c>
      <c r="N3561" s="42">
        <v>48.961766075944766</v>
      </c>
      <c r="O3561" s="43">
        <v>18098.472994704058</v>
      </c>
    </row>
    <row r="3562" spans="12:15" x14ac:dyDescent="0.2">
      <c r="L3562" s="4">
        <v>3556</v>
      </c>
      <c r="M3562" s="21">
        <v>-92473.153695069384</v>
      </c>
      <c r="N3562" s="42">
        <v>48.981599787644498</v>
      </c>
      <c r="O3562" s="43">
        <v>14978.442917211965</v>
      </c>
    </row>
    <row r="3563" spans="12:15" x14ac:dyDescent="0.2">
      <c r="L3563" s="4">
        <v>3557</v>
      </c>
      <c r="M3563" s="21">
        <v>225118.38730514896</v>
      </c>
      <c r="N3563" s="42">
        <v>49.926756869031429</v>
      </c>
      <c r="O3563" s="43">
        <v>16295.449119086663</v>
      </c>
    </row>
    <row r="3564" spans="12:15" x14ac:dyDescent="0.2">
      <c r="L3564" s="4">
        <v>3558</v>
      </c>
      <c r="M3564" s="21">
        <v>33599.46305023582</v>
      </c>
      <c r="N3564" s="42">
        <v>48.647375017700384</v>
      </c>
      <c r="O3564" s="43">
        <v>16955.335877118137</v>
      </c>
    </row>
    <row r="3565" spans="12:15" x14ac:dyDescent="0.2">
      <c r="L3565" s="4">
        <v>3559</v>
      </c>
      <c r="M3565" s="21">
        <v>-63079.235068885348</v>
      </c>
      <c r="N3565" s="42">
        <v>48.794483376610863</v>
      </c>
      <c r="O3565" s="43">
        <v>12952.609758539362</v>
      </c>
    </row>
    <row r="3566" spans="12:15" x14ac:dyDescent="0.2">
      <c r="L3566" s="4">
        <v>3560</v>
      </c>
      <c r="M3566" s="21">
        <v>-106789.56446010366</v>
      </c>
      <c r="N3566" s="42">
        <v>46.596769813170511</v>
      </c>
      <c r="O3566" s="43">
        <v>16534.51231324028</v>
      </c>
    </row>
    <row r="3567" spans="12:15" x14ac:dyDescent="0.2">
      <c r="L3567" s="4">
        <v>3561</v>
      </c>
      <c r="M3567" s="21">
        <v>-11258.520771701151</v>
      </c>
      <c r="N3567" s="42">
        <v>48.376194745690746</v>
      </c>
      <c r="O3567" s="43">
        <v>15123.949629342711</v>
      </c>
    </row>
    <row r="3568" spans="12:15" x14ac:dyDescent="0.2">
      <c r="L3568" s="4">
        <v>3562</v>
      </c>
      <c r="M3568" s="21">
        <v>97465.984472439799</v>
      </c>
      <c r="N3568" s="42">
        <v>49.512021348967032</v>
      </c>
      <c r="O3568" s="43">
        <v>14583.850271381281</v>
      </c>
    </row>
    <row r="3569" spans="12:15" x14ac:dyDescent="0.2">
      <c r="L3569" s="4">
        <v>3563</v>
      </c>
      <c r="M3569" s="21">
        <v>29153.738604804239</v>
      </c>
      <c r="N3569" s="42">
        <v>49.441264367535695</v>
      </c>
      <c r="O3569" s="43">
        <v>15255.944192518009</v>
      </c>
    </row>
    <row r="3570" spans="12:15" x14ac:dyDescent="0.2">
      <c r="L3570" s="4">
        <v>3564</v>
      </c>
      <c r="M3570" s="21">
        <v>-32318.034810974073</v>
      </c>
      <c r="N3570" s="42">
        <v>50.955405969274807</v>
      </c>
      <c r="O3570" s="43">
        <v>14019.720675860042</v>
      </c>
    </row>
    <row r="3571" spans="12:15" x14ac:dyDescent="0.2">
      <c r="L3571" s="4">
        <v>3565</v>
      </c>
      <c r="M3571" s="21">
        <v>-157763.74671435414</v>
      </c>
      <c r="N3571" s="42">
        <v>50.29597676519063</v>
      </c>
      <c r="O3571" s="43">
        <v>13258.529187377258</v>
      </c>
    </row>
    <row r="3572" spans="12:15" x14ac:dyDescent="0.2">
      <c r="L3572" s="4">
        <v>3566</v>
      </c>
      <c r="M3572" s="21">
        <v>18484.129626961658</v>
      </c>
      <c r="N3572" s="42">
        <v>49.649141728777273</v>
      </c>
      <c r="O3572" s="43">
        <v>14919.406376938199</v>
      </c>
    </row>
    <row r="3573" spans="12:15" x14ac:dyDescent="0.2">
      <c r="L3573" s="4">
        <v>3567</v>
      </c>
      <c r="M3573" s="21">
        <v>118566.42804476633</v>
      </c>
      <c r="N3573" s="42">
        <v>49.281453262198859</v>
      </c>
      <c r="O3573" s="43">
        <v>17812.826295531726</v>
      </c>
    </row>
    <row r="3574" spans="12:15" x14ac:dyDescent="0.2">
      <c r="L3574" s="4">
        <v>3568</v>
      </c>
      <c r="M3574" s="21">
        <v>-77702.015349886555</v>
      </c>
      <c r="N3574" s="42">
        <v>49.594418088797433</v>
      </c>
      <c r="O3574" s="43">
        <v>13984.77154421555</v>
      </c>
    </row>
    <row r="3575" spans="12:15" x14ac:dyDescent="0.2">
      <c r="L3575" s="4">
        <v>3569</v>
      </c>
      <c r="M3575" s="21">
        <v>-92466.53650612857</v>
      </c>
      <c r="N3575" s="42">
        <v>51.277763914288222</v>
      </c>
      <c r="O3575" s="43">
        <v>12594.204219900525</v>
      </c>
    </row>
    <row r="3576" spans="12:15" x14ac:dyDescent="0.2">
      <c r="L3576" s="4">
        <v>3570</v>
      </c>
      <c r="M3576" s="21">
        <v>4968.0132666729914</v>
      </c>
      <c r="N3576" s="42">
        <v>49.457896755382542</v>
      </c>
      <c r="O3576" s="43">
        <v>15476.712408010086</v>
      </c>
    </row>
    <row r="3577" spans="12:15" x14ac:dyDescent="0.2">
      <c r="L3577" s="4">
        <v>3571</v>
      </c>
      <c r="M3577" s="21">
        <v>83010.890351648646</v>
      </c>
      <c r="N3577" s="42">
        <v>50.358385289000324</v>
      </c>
      <c r="O3577" s="43">
        <v>16031.465638905183</v>
      </c>
    </row>
    <row r="3578" spans="12:15" x14ac:dyDescent="0.2">
      <c r="L3578" s="4">
        <v>3572</v>
      </c>
      <c r="M3578" s="21">
        <v>-81637.43411660174</v>
      </c>
      <c r="N3578" s="42">
        <v>46.942920158782101</v>
      </c>
      <c r="O3578" s="43">
        <v>18561.615844600285</v>
      </c>
    </row>
    <row r="3579" spans="12:15" x14ac:dyDescent="0.2">
      <c r="L3579" s="4">
        <v>3573</v>
      </c>
      <c r="M3579" s="21">
        <v>46574.096723528928</v>
      </c>
      <c r="N3579" s="42">
        <v>51.488212110051073</v>
      </c>
      <c r="O3579" s="43">
        <v>12992.017061471919</v>
      </c>
    </row>
    <row r="3580" spans="12:15" x14ac:dyDescent="0.2">
      <c r="L3580" s="4">
        <v>3574</v>
      </c>
      <c r="M3580" s="21">
        <v>-34213.558345607424</v>
      </c>
      <c r="N3580" s="42">
        <v>48.559440991343898</v>
      </c>
      <c r="O3580" s="43">
        <v>15245.804255282364</v>
      </c>
    </row>
    <row r="3581" spans="12:15" x14ac:dyDescent="0.2">
      <c r="L3581" s="4">
        <v>3575</v>
      </c>
      <c r="M3581" s="21">
        <v>10835.914539630787</v>
      </c>
      <c r="N3581" s="42">
        <v>50.206312171902304</v>
      </c>
      <c r="O3581" s="43">
        <v>15292.343906942397</v>
      </c>
    </row>
    <row r="3582" spans="12:15" x14ac:dyDescent="0.2">
      <c r="L3582" s="4">
        <v>3576</v>
      </c>
      <c r="M3582" s="21">
        <v>9780.5403312358249</v>
      </c>
      <c r="N3582" s="42">
        <v>49.709919956291998</v>
      </c>
      <c r="O3582" s="43">
        <v>16102.927759326672</v>
      </c>
    </row>
    <row r="3583" spans="12:15" x14ac:dyDescent="0.2">
      <c r="L3583" s="4">
        <v>3577</v>
      </c>
      <c r="M3583" s="21">
        <v>-8719.8117367334926</v>
      </c>
      <c r="N3583" s="42">
        <v>49.555860174767282</v>
      </c>
      <c r="O3583" s="43">
        <v>16086.00003563795</v>
      </c>
    </row>
    <row r="3584" spans="12:15" x14ac:dyDescent="0.2">
      <c r="L3584" s="4">
        <v>3578</v>
      </c>
      <c r="M3584" s="21">
        <v>-68763.260114457968</v>
      </c>
      <c r="N3584" s="42">
        <v>49.972463699561658</v>
      </c>
      <c r="O3584" s="43">
        <v>15436.263422906857</v>
      </c>
    </row>
    <row r="3585" spans="12:15" x14ac:dyDescent="0.2">
      <c r="L3585" s="4">
        <v>3579</v>
      </c>
      <c r="M3585" s="21">
        <v>-163003.07556955441</v>
      </c>
      <c r="N3585" s="42">
        <v>48.951307643705192</v>
      </c>
      <c r="O3585" s="43">
        <v>13417.592831848902</v>
      </c>
    </row>
    <row r="3586" spans="12:15" x14ac:dyDescent="0.2">
      <c r="L3586" s="4">
        <v>3580</v>
      </c>
      <c r="M3586" s="21">
        <v>-31125.259104278579</v>
      </c>
      <c r="N3586" s="42">
        <v>51.521106067546199</v>
      </c>
      <c r="O3586" s="43">
        <v>13823.529779269538</v>
      </c>
    </row>
    <row r="3587" spans="12:15" x14ac:dyDescent="0.2">
      <c r="L3587" s="4">
        <v>3581</v>
      </c>
      <c r="M3587" s="21">
        <v>-156113.54844443666</v>
      </c>
      <c r="N3587" s="42">
        <v>47.263925203945298</v>
      </c>
      <c r="O3587" s="43">
        <v>16550.986826088028</v>
      </c>
    </row>
    <row r="3588" spans="12:15" x14ac:dyDescent="0.2">
      <c r="L3588" s="4">
        <v>3582</v>
      </c>
      <c r="M3588" s="21">
        <v>70278.36069109902</v>
      </c>
      <c r="N3588" s="42">
        <v>48.515523572317612</v>
      </c>
      <c r="O3588" s="43">
        <v>15008.993156605393</v>
      </c>
    </row>
    <row r="3589" spans="12:15" x14ac:dyDescent="0.2">
      <c r="L3589" s="4">
        <v>3583</v>
      </c>
      <c r="M3589" s="21">
        <v>113093.25386331161</v>
      </c>
      <c r="N3589" s="42">
        <v>51.474960068435038</v>
      </c>
      <c r="O3589" s="43">
        <v>15507.44361561772</v>
      </c>
    </row>
    <row r="3590" spans="12:15" x14ac:dyDescent="0.2">
      <c r="L3590" s="4">
        <v>3584</v>
      </c>
      <c r="M3590" s="21">
        <v>113779.8358463652</v>
      </c>
      <c r="N3590" s="42">
        <v>49.296723757770728</v>
      </c>
      <c r="O3590" s="43">
        <v>14512.817905026232</v>
      </c>
    </row>
    <row r="3591" spans="12:15" x14ac:dyDescent="0.2">
      <c r="L3591" s="4">
        <v>3585</v>
      </c>
      <c r="M3591" s="21">
        <v>98281.680497449415</v>
      </c>
      <c r="N3591" s="42">
        <v>49.212883880803012</v>
      </c>
      <c r="O3591" s="43">
        <v>16942.374645025084</v>
      </c>
    </row>
    <row r="3592" spans="12:15" x14ac:dyDescent="0.2">
      <c r="L3592" s="4">
        <v>3586</v>
      </c>
      <c r="M3592" s="21">
        <v>97666.315171303053</v>
      </c>
      <c r="N3592" s="42">
        <v>48.551323830587634</v>
      </c>
      <c r="O3592" s="43">
        <v>16070.53097311023</v>
      </c>
    </row>
    <row r="3593" spans="12:15" x14ac:dyDescent="0.2">
      <c r="L3593" s="4">
        <v>3587</v>
      </c>
      <c r="M3593" s="21">
        <v>38832.875606820686</v>
      </c>
      <c r="N3593" s="42">
        <v>51.467716905258158</v>
      </c>
      <c r="O3593" s="43">
        <v>14786.506248173924</v>
      </c>
    </row>
    <row r="3594" spans="12:15" x14ac:dyDescent="0.2">
      <c r="L3594" s="4">
        <v>3588</v>
      </c>
      <c r="M3594" s="21">
        <v>-105138.36395054517</v>
      </c>
      <c r="N3594" s="42">
        <v>51.581165206914385</v>
      </c>
      <c r="O3594" s="43">
        <v>12228.137461840719</v>
      </c>
    </row>
    <row r="3595" spans="12:15" x14ac:dyDescent="0.2">
      <c r="L3595" s="4">
        <v>3589</v>
      </c>
      <c r="M3595" s="21">
        <v>-76420.014470747221</v>
      </c>
      <c r="N3595" s="42">
        <v>49.258485420050647</v>
      </c>
      <c r="O3595" s="43">
        <v>14252.229897932662</v>
      </c>
    </row>
    <row r="3596" spans="12:15" x14ac:dyDescent="0.2">
      <c r="L3596" s="4">
        <v>3590</v>
      </c>
      <c r="M3596" s="21">
        <v>28582.963762749598</v>
      </c>
      <c r="N3596" s="42">
        <v>49.387579261926533</v>
      </c>
      <c r="O3596" s="43">
        <v>15134.73882312338</v>
      </c>
    </row>
    <row r="3597" spans="12:15" x14ac:dyDescent="0.2">
      <c r="L3597" s="4">
        <v>3591</v>
      </c>
      <c r="M3597" s="21">
        <v>35108.862459013209</v>
      </c>
      <c r="N3597" s="42">
        <v>48.341444459481281</v>
      </c>
      <c r="O3597" s="43">
        <v>17403.236320391985</v>
      </c>
    </row>
    <row r="3598" spans="12:15" x14ac:dyDescent="0.2">
      <c r="L3598" s="4">
        <v>3592</v>
      </c>
      <c r="M3598" s="21">
        <v>-111909.02631590865</v>
      </c>
      <c r="N3598" s="42">
        <v>51.256367082893576</v>
      </c>
      <c r="O3598" s="43">
        <v>13959.749646050801</v>
      </c>
    </row>
    <row r="3599" spans="12:15" x14ac:dyDescent="0.2">
      <c r="L3599" s="4">
        <v>3593</v>
      </c>
      <c r="M3599" s="21">
        <v>-109764.52120844068</v>
      </c>
      <c r="N3599" s="42">
        <v>50.17601002568739</v>
      </c>
      <c r="O3599" s="43">
        <v>13836.083041293878</v>
      </c>
    </row>
    <row r="3600" spans="12:15" x14ac:dyDescent="0.2">
      <c r="L3600" s="4">
        <v>3594</v>
      </c>
      <c r="M3600" s="21">
        <v>-86288.725902184917</v>
      </c>
      <c r="N3600" s="42">
        <v>49.447734668669725</v>
      </c>
      <c r="O3600" s="43">
        <v>14452.733942033337</v>
      </c>
    </row>
    <row r="3601" spans="12:15" x14ac:dyDescent="0.2">
      <c r="L3601" s="4">
        <v>3595</v>
      </c>
      <c r="M3601" s="21">
        <v>123425.15978103378</v>
      </c>
      <c r="N3601" s="42">
        <v>48.878315299863196</v>
      </c>
      <c r="O3601" s="43">
        <v>15004.509069996455</v>
      </c>
    </row>
    <row r="3602" spans="12:15" x14ac:dyDescent="0.2">
      <c r="L3602" s="4">
        <v>3596</v>
      </c>
      <c r="M3602" s="21">
        <v>119148.82472985046</v>
      </c>
      <c r="N3602" s="42">
        <v>49.576217187959756</v>
      </c>
      <c r="O3602" s="43">
        <v>16369.948116850685</v>
      </c>
    </row>
    <row r="3603" spans="12:15" x14ac:dyDescent="0.2">
      <c r="L3603" s="4">
        <v>3597</v>
      </c>
      <c r="M3603" s="21">
        <v>110767.67451577471</v>
      </c>
      <c r="N3603" s="42">
        <v>48.056424291653983</v>
      </c>
      <c r="O3603" s="43">
        <v>16144.113911424083</v>
      </c>
    </row>
    <row r="3604" spans="12:15" x14ac:dyDescent="0.2">
      <c r="L3604" s="4">
        <v>3598</v>
      </c>
      <c r="M3604" s="21">
        <v>-1761.6440760497353</v>
      </c>
      <c r="N3604" s="42">
        <v>48.673845484825662</v>
      </c>
      <c r="O3604" s="43">
        <v>14551.814021908282</v>
      </c>
    </row>
    <row r="3605" spans="12:15" x14ac:dyDescent="0.2">
      <c r="L3605" s="4">
        <v>3599</v>
      </c>
      <c r="M3605" s="21">
        <v>-117129.00295681643</v>
      </c>
      <c r="N3605" s="42">
        <v>49.046543357552338</v>
      </c>
      <c r="O3605" s="43">
        <v>14502.631492263985</v>
      </c>
    </row>
    <row r="3606" spans="12:15" x14ac:dyDescent="0.2">
      <c r="L3606" s="4">
        <v>3600</v>
      </c>
      <c r="M3606" s="21">
        <v>-214213.90908944199</v>
      </c>
      <c r="N3606" s="42">
        <v>47.751864363798596</v>
      </c>
      <c r="O3606" s="43">
        <v>13414.969763725036</v>
      </c>
    </row>
    <row r="3607" spans="12:15" x14ac:dyDescent="0.2">
      <c r="L3607" s="4">
        <v>3601</v>
      </c>
      <c r="M3607" s="21">
        <v>-130940.00053992785</v>
      </c>
      <c r="N3607" s="42">
        <v>50.689151548795465</v>
      </c>
      <c r="O3607" s="43">
        <v>11929.597674307272</v>
      </c>
    </row>
    <row r="3608" spans="12:15" x14ac:dyDescent="0.2">
      <c r="L3608" s="4">
        <v>3602</v>
      </c>
      <c r="M3608" s="21">
        <v>-46490.600368576008</v>
      </c>
      <c r="N3608" s="42">
        <v>46.05033275992065</v>
      </c>
      <c r="O3608" s="43">
        <v>17311.009748034696</v>
      </c>
    </row>
    <row r="3609" spans="12:15" x14ac:dyDescent="0.2">
      <c r="L3609" s="4">
        <v>3603</v>
      </c>
      <c r="M3609" s="21">
        <v>-24448.718184533733</v>
      </c>
      <c r="N3609" s="42">
        <v>49.382796352643844</v>
      </c>
      <c r="O3609" s="43">
        <v>13898.94047710927</v>
      </c>
    </row>
    <row r="3610" spans="12:15" x14ac:dyDescent="0.2">
      <c r="L3610" s="4">
        <v>3604</v>
      </c>
      <c r="M3610" s="21">
        <v>179340.26891934648</v>
      </c>
      <c r="N3610" s="42">
        <v>50.944992779428937</v>
      </c>
      <c r="O3610" s="43">
        <v>15893.727159206961</v>
      </c>
    </row>
    <row r="3611" spans="12:15" x14ac:dyDescent="0.2">
      <c r="L3611" s="4">
        <v>3605</v>
      </c>
      <c r="M3611" s="21">
        <v>-35821.83016210208</v>
      </c>
      <c r="N3611" s="42">
        <v>50.142317330116661</v>
      </c>
      <c r="O3611" s="43">
        <v>14338.65448203111</v>
      </c>
    </row>
    <row r="3612" spans="12:15" x14ac:dyDescent="0.2">
      <c r="L3612" s="4">
        <v>3606</v>
      </c>
      <c r="M3612" s="21">
        <v>-153166.66628932903</v>
      </c>
      <c r="N3612" s="42">
        <v>49.098995885737551</v>
      </c>
      <c r="O3612" s="43">
        <v>14179.262013295378</v>
      </c>
    </row>
    <row r="3613" spans="12:15" x14ac:dyDescent="0.2">
      <c r="L3613" s="4">
        <v>3607</v>
      </c>
      <c r="M3613" s="21">
        <v>-175047.5354612252</v>
      </c>
      <c r="N3613" s="42">
        <v>49.449286190483484</v>
      </c>
      <c r="O3613" s="43">
        <v>13863.353155012368</v>
      </c>
    </row>
    <row r="3614" spans="12:15" x14ac:dyDescent="0.2">
      <c r="L3614" s="4">
        <v>3608</v>
      </c>
      <c r="M3614" s="21">
        <v>-115948.60770119671</v>
      </c>
      <c r="N3614" s="42">
        <v>51.357634563064444</v>
      </c>
      <c r="O3614" s="43">
        <v>12634.231308797647</v>
      </c>
    </row>
    <row r="3615" spans="12:15" x14ac:dyDescent="0.2">
      <c r="L3615" s="4">
        <v>3609</v>
      </c>
      <c r="M3615" s="21">
        <v>120425.58920819862</v>
      </c>
      <c r="N3615" s="42">
        <v>48.847367748591168</v>
      </c>
      <c r="O3615" s="43">
        <v>16326.344771562133</v>
      </c>
    </row>
    <row r="3616" spans="12:15" x14ac:dyDescent="0.2">
      <c r="L3616" s="4">
        <v>3610</v>
      </c>
      <c r="M3616" s="21">
        <v>-51354.381454421018</v>
      </c>
      <c r="N3616" s="42">
        <v>51.189980240465353</v>
      </c>
      <c r="O3616" s="43">
        <v>13411.159593719602</v>
      </c>
    </row>
    <row r="3617" spans="12:15" x14ac:dyDescent="0.2">
      <c r="L3617" s="4">
        <v>3611</v>
      </c>
      <c r="M3617" s="21">
        <v>-285907.51219247945</v>
      </c>
      <c r="N3617" s="42">
        <v>46.185298421954386</v>
      </c>
      <c r="O3617" s="43">
        <v>15336.037399342671</v>
      </c>
    </row>
    <row r="3618" spans="12:15" x14ac:dyDescent="0.2">
      <c r="L3618" s="4">
        <v>3612</v>
      </c>
      <c r="M3618" s="21">
        <v>95530.518588405917</v>
      </c>
      <c r="N3618" s="42">
        <v>51.23912342476445</v>
      </c>
      <c r="O3618" s="43">
        <v>14947.902915242747</v>
      </c>
    </row>
    <row r="3619" spans="12:15" x14ac:dyDescent="0.2">
      <c r="L3619" s="4">
        <v>3613</v>
      </c>
      <c r="M3619" s="21">
        <v>-46638.02500718816</v>
      </c>
      <c r="N3619" s="42">
        <v>47.195782399864548</v>
      </c>
      <c r="O3619" s="43">
        <v>17177.905159965576</v>
      </c>
    </row>
    <row r="3620" spans="12:15" x14ac:dyDescent="0.2">
      <c r="L3620" s="4">
        <v>3614</v>
      </c>
      <c r="M3620" s="21">
        <v>25947.375597105769</v>
      </c>
      <c r="N3620" s="42">
        <v>48.745695005493637</v>
      </c>
      <c r="O3620" s="43">
        <v>17492.331717890145</v>
      </c>
    </row>
    <row r="3621" spans="12:15" x14ac:dyDescent="0.2">
      <c r="L3621" s="4">
        <v>3615</v>
      </c>
      <c r="M3621" s="21">
        <v>109299.41765910975</v>
      </c>
      <c r="N3621" s="42">
        <v>50.077720292482091</v>
      </c>
      <c r="O3621" s="43">
        <v>16925.553020913252</v>
      </c>
    </row>
    <row r="3622" spans="12:15" x14ac:dyDescent="0.2">
      <c r="L3622" s="4">
        <v>3616</v>
      </c>
      <c r="M3622" s="21">
        <v>-214972.22185702232</v>
      </c>
      <c r="N3622" s="42">
        <v>51.294186728187604</v>
      </c>
      <c r="O3622" s="43">
        <v>12061.033134320374</v>
      </c>
    </row>
    <row r="3623" spans="12:15" x14ac:dyDescent="0.2">
      <c r="L3623" s="4">
        <v>3617</v>
      </c>
      <c r="M3623" s="21">
        <v>62650.379729230597</v>
      </c>
      <c r="N3623" s="42">
        <v>47.230696317770217</v>
      </c>
      <c r="O3623" s="43">
        <v>16246.355368459115</v>
      </c>
    </row>
    <row r="3624" spans="12:15" x14ac:dyDescent="0.2">
      <c r="L3624" s="4">
        <v>3618</v>
      </c>
      <c r="M3624" s="21">
        <v>-13420.290669075926</v>
      </c>
      <c r="N3624" s="42">
        <v>48.634147612405897</v>
      </c>
      <c r="O3624" s="43">
        <v>14579.981672370557</v>
      </c>
    </row>
    <row r="3625" spans="12:15" x14ac:dyDescent="0.2">
      <c r="L3625" s="4">
        <v>3619</v>
      </c>
      <c r="M3625" s="21">
        <v>5646.0841620745196</v>
      </c>
      <c r="N3625" s="42">
        <v>50.311889073749164</v>
      </c>
      <c r="O3625" s="43">
        <v>14091.13518795965</v>
      </c>
    </row>
    <row r="3626" spans="12:15" x14ac:dyDescent="0.2">
      <c r="L3626" s="4">
        <v>3620</v>
      </c>
      <c r="M3626" s="21">
        <v>71837.710332847695</v>
      </c>
      <c r="N3626" s="42">
        <v>51.272287968331575</v>
      </c>
      <c r="O3626" s="43">
        <v>16288.12322885984</v>
      </c>
    </row>
    <row r="3627" spans="12:15" x14ac:dyDescent="0.2">
      <c r="L3627" s="4">
        <v>3621</v>
      </c>
      <c r="M3627" s="21">
        <v>-33379.572438932562</v>
      </c>
      <c r="N3627" s="42">
        <v>50.481278742093942</v>
      </c>
      <c r="O3627" s="43">
        <v>13671.070766629964</v>
      </c>
    </row>
    <row r="3628" spans="12:15" x14ac:dyDescent="0.2">
      <c r="L3628" s="4">
        <v>3622</v>
      </c>
      <c r="M3628" s="21">
        <v>-74340.53507154742</v>
      </c>
      <c r="N3628" s="42">
        <v>50.445244207252529</v>
      </c>
      <c r="O3628" s="43">
        <v>14330.840350356561</v>
      </c>
    </row>
    <row r="3629" spans="12:15" x14ac:dyDescent="0.2">
      <c r="L3629" s="4">
        <v>3623</v>
      </c>
      <c r="M3629" s="21">
        <v>61221.645680397254</v>
      </c>
      <c r="N3629" s="42">
        <v>46.333920571967191</v>
      </c>
      <c r="O3629" s="43">
        <v>17206.299718309128</v>
      </c>
    </row>
    <row r="3630" spans="12:15" x14ac:dyDescent="0.2">
      <c r="L3630" s="4">
        <v>3624</v>
      </c>
      <c r="M3630" s="21">
        <v>-103566.8022474438</v>
      </c>
      <c r="N3630" s="42">
        <v>49.133265656368145</v>
      </c>
      <c r="O3630" s="43">
        <v>14098.300601609631</v>
      </c>
    </row>
    <row r="3631" spans="12:15" x14ac:dyDescent="0.2">
      <c r="L3631" s="4">
        <v>3625</v>
      </c>
      <c r="M3631" s="21">
        <v>47229.815884960088</v>
      </c>
      <c r="N3631" s="42">
        <v>48.198902914695495</v>
      </c>
      <c r="O3631" s="43">
        <v>15768.597408424061</v>
      </c>
    </row>
    <row r="3632" spans="12:15" x14ac:dyDescent="0.2">
      <c r="L3632" s="4">
        <v>3626</v>
      </c>
      <c r="M3632" s="21">
        <v>186521.45686583259</v>
      </c>
      <c r="N3632" s="42">
        <v>51.591880812591612</v>
      </c>
      <c r="O3632" s="43">
        <v>17548.887503001883</v>
      </c>
    </row>
    <row r="3633" spans="12:15" x14ac:dyDescent="0.2">
      <c r="L3633" s="4">
        <v>3627</v>
      </c>
      <c r="M3633" s="21">
        <v>-139424.57255814859</v>
      </c>
      <c r="N3633" s="42">
        <v>45.714558357464938</v>
      </c>
      <c r="O3633" s="43">
        <v>16021.398061387064</v>
      </c>
    </row>
    <row r="3634" spans="12:15" x14ac:dyDescent="0.2">
      <c r="L3634" s="4">
        <v>3628</v>
      </c>
      <c r="M3634" s="21">
        <v>89208.40123396655</v>
      </c>
      <c r="N3634" s="42">
        <v>49.352632727965045</v>
      </c>
      <c r="O3634" s="43">
        <v>17007.660762502823</v>
      </c>
    </row>
    <row r="3635" spans="12:15" x14ac:dyDescent="0.2">
      <c r="L3635" s="4">
        <v>3629</v>
      </c>
      <c r="M3635" s="21">
        <v>5811.5876184000517</v>
      </c>
      <c r="N3635" s="42">
        <v>51.312172365073195</v>
      </c>
      <c r="O3635" s="43">
        <v>13540.904726546825</v>
      </c>
    </row>
    <row r="3636" spans="12:15" x14ac:dyDescent="0.2">
      <c r="L3636" s="4">
        <v>3630</v>
      </c>
      <c r="M3636" s="21">
        <v>-117997.60976174196</v>
      </c>
      <c r="N3636" s="42">
        <v>48.908890722346911</v>
      </c>
      <c r="O3636" s="43">
        <v>14329.83604121879</v>
      </c>
    </row>
    <row r="3637" spans="12:15" x14ac:dyDescent="0.2">
      <c r="L3637" s="4">
        <v>3631</v>
      </c>
      <c r="M3637" s="21">
        <v>447480.50027491723</v>
      </c>
      <c r="N3637" s="42">
        <v>51.268156004573186</v>
      </c>
      <c r="O3637" s="43">
        <v>16680.484680475263</v>
      </c>
    </row>
    <row r="3638" spans="12:15" x14ac:dyDescent="0.2">
      <c r="L3638" s="4">
        <v>3632</v>
      </c>
      <c r="M3638" s="21">
        <v>-4228.7365717290668</v>
      </c>
      <c r="N3638" s="42">
        <v>48.445644855641902</v>
      </c>
      <c r="O3638" s="43">
        <v>15418.241239088571</v>
      </c>
    </row>
    <row r="3639" spans="12:15" x14ac:dyDescent="0.2">
      <c r="L3639" s="4">
        <v>3633</v>
      </c>
      <c r="M3639" s="21">
        <v>119853.18193802773</v>
      </c>
      <c r="N3639" s="42">
        <v>51.583296501417905</v>
      </c>
      <c r="O3639" s="43">
        <v>13533.331958196391</v>
      </c>
    </row>
    <row r="3640" spans="12:15" x14ac:dyDescent="0.2">
      <c r="L3640" s="4">
        <v>3634</v>
      </c>
      <c r="M3640" s="21">
        <v>112551.50911473139</v>
      </c>
      <c r="N3640" s="42">
        <v>48.253394370722376</v>
      </c>
      <c r="O3640" s="43">
        <v>16908.999611201947</v>
      </c>
    </row>
    <row r="3641" spans="12:15" x14ac:dyDescent="0.2">
      <c r="L3641" s="4">
        <v>3635</v>
      </c>
      <c r="M3641" s="21">
        <v>-19352.488711485872</v>
      </c>
      <c r="N3641" s="42">
        <v>50.82603468755859</v>
      </c>
      <c r="O3641" s="43">
        <v>12152.579596153155</v>
      </c>
    </row>
    <row r="3642" spans="12:15" x14ac:dyDescent="0.2">
      <c r="L3642" s="4">
        <v>3636</v>
      </c>
      <c r="M3642" s="21">
        <v>-79822.635365590235</v>
      </c>
      <c r="N3642" s="42">
        <v>50.622126510540056</v>
      </c>
      <c r="O3642" s="43">
        <v>13773.234191227028</v>
      </c>
    </row>
    <row r="3643" spans="12:15" x14ac:dyDescent="0.2">
      <c r="L3643" s="4">
        <v>3637</v>
      </c>
      <c r="M3643" s="21">
        <v>-103693.08914493272</v>
      </c>
      <c r="N3643" s="42">
        <v>49.277453058802543</v>
      </c>
      <c r="O3643" s="43">
        <v>15019.7475429601</v>
      </c>
    </row>
    <row r="3644" spans="12:15" x14ac:dyDescent="0.2">
      <c r="L3644" s="4">
        <v>3638</v>
      </c>
      <c r="M3644" s="21">
        <v>75446.272738660977</v>
      </c>
      <c r="N3644" s="42">
        <v>47.449277379112097</v>
      </c>
      <c r="O3644" s="43">
        <v>16561.003408293334</v>
      </c>
    </row>
    <row r="3645" spans="12:15" x14ac:dyDescent="0.2">
      <c r="L3645" s="4">
        <v>3639</v>
      </c>
      <c r="M3645" s="21">
        <v>-153568.70923336345</v>
      </c>
      <c r="N3645" s="42">
        <v>49.435648438878211</v>
      </c>
      <c r="O3645" s="43">
        <v>14613.659120803499</v>
      </c>
    </row>
    <row r="3646" spans="12:15" x14ac:dyDescent="0.2">
      <c r="L3646" s="4">
        <v>3640</v>
      </c>
      <c r="M3646" s="21">
        <v>-267890.51942253247</v>
      </c>
      <c r="N3646" s="42">
        <v>50.519241917038663</v>
      </c>
      <c r="O3646" s="43">
        <v>13291.600144097263</v>
      </c>
    </row>
    <row r="3647" spans="12:15" x14ac:dyDescent="0.2">
      <c r="L3647" s="4">
        <v>3641</v>
      </c>
      <c r="M3647" s="21">
        <v>-38937.577607141342</v>
      </c>
      <c r="N3647" s="42">
        <v>51.007870921783208</v>
      </c>
      <c r="O3647" s="43">
        <v>13525.098634571683</v>
      </c>
    </row>
    <row r="3648" spans="12:15" x14ac:dyDescent="0.2">
      <c r="L3648" s="4">
        <v>3642</v>
      </c>
      <c r="M3648" s="21">
        <v>102036.83875100719</v>
      </c>
      <c r="N3648" s="42">
        <v>50.793707380121965</v>
      </c>
      <c r="O3648" s="43">
        <v>15118.125114525788</v>
      </c>
    </row>
    <row r="3649" spans="12:15" x14ac:dyDescent="0.2">
      <c r="L3649" s="4">
        <v>3643</v>
      </c>
      <c r="M3649" s="21">
        <v>-162672.98814315133</v>
      </c>
      <c r="N3649" s="42">
        <v>49.826569467412789</v>
      </c>
      <c r="O3649" s="43">
        <v>13191.809257528606</v>
      </c>
    </row>
    <row r="3650" spans="12:15" x14ac:dyDescent="0.2">
      <c r="L3650" s="4">
        <v>3644</v>
      </c>
      <c r="M3650" s="21">
        <v>-238456.3716328934</v>
      </c>
      <c r="N3650" s="42">
        <v>49.855095756667588</v>
      </c>
      <c r="O3650" s="43">
        <v>12577.499259726141</v>
      </c>
    </row>
    <row r="3651" spans="12:15" x14ac:dyDescent="0.2">
      <c r="L3651" s="4">
        <v>3645</v>
      </c>
      <c r="M3651" s="21">
        <v>73690.413590123935</v>
      </c>
      <c r="N3651" s="42">
        <v>49.138307842992099</v>
      </c>
      <c r="O3651" s="43">
        <v>14616.883680608647</v>
      </c>
    </row>
    <row r="3652" spans="12:15" x14ac:dyDescent="0.2">
      <c r="L3652" s="4">
        <v>3646</v>
      </c>
      <c r="M3652" s="21">
        <v>-221017.06424824585</v>
      </c>
      <c r="N3652" s="42">
        <v>49.223939625683116</v>
      </c>
      <c r="O3652" s="43">
        <v>12823.382584237854</v>
      </c>
    </row>
    <row r="3653" spans="12:15" x14ac:dyDescent="0.2">
      <c r="L3653" s="4">
        <v>3647</v>
      </c>
      <c r="M3653" s="21">
        <v>-218434.79891551961</v>
      </c>
      <c r="N3653" s="42">
        <v>50.109317588635605</v>
      </c>
      <c r="O3653" s="43">
        <v>10973.661305396749</v>
      </c>
    </row>
    <row r="3654" spans="12:15" x14ac:dyDescent="0.2">
      <c r="L3654" s="4">
        <v>3648</v>
      </c>
      <c r="M3654" s="21">
        <v>-119308.2629090531</v>
      </c>
      <c r="N3654" s="42">
        <v>50.891324805023231</v>
      </c>
      <c r="O3654" s="43">
        <v>13111.723208365607</v>
      </c>
    </row>
    <row r="3655" spans="12:15" x14ac:dyDescent="0.2">
      <c r="L3655" s="4">
        <v>3649</v>
      </c>
      <c r="M3655" s="21">
        <v>-233544.06940412486</v>
      </c>
      <c r="N3655" s="42">
        <v>46.461352756018805</v>
      </c>
      <c r="O3655" s="43">
        <v>14759.737745168966</v>
      </c>
    </row>
    <row r="3656" spans="12:15" x14ac:dyDescent="0.2">
      <c r="L3656" s="4">
        <v>3650</v>
      </c>
      <c r="M3656" s="21">
        <v>-69713.42075764059</v>
      </c>
      <c r="N3656" s="42">
        <v>51.465699827219957</v>
      </c>
      <c r="O3656" s="43">
        <v>13942.96254448959</v>
      </c>
    </row>
    <row r="3657" spans="12:15" x14ac:dyDescent="0.2">
      <c r="L3657" s="4">
        <v>3651</v>
      </c>
      <c r="M3657" s="21">
        <v>-97740.738625604936</v>
      </c>
      <c r="N3657" s="42">
        <v>48.779950612336954</v>
      </c>
      <c r="O3657" s="43">
        <v>13676.674294822595</v>
      </c>
    </row>
    <row r="3658" spans="12:15" x14ac:dyDescent="0.2">
      <c r="L3658" s="4">
        <v>3652</v>
      </c>
      <c r="M3658" s="21">
        <v>-179309.96401606133</v>
      </c>
      <c r="N3658" s="42">
        <v>49.259728754095413</v>
      </c>
      <c r="O3658" s="43">
        <v>12366.520889895064</v>
      </c>
    </row>
    <row r="3659" spans="12:15" x14ac:dyDescent="0.2">
      <c r="L3659" s="4">
        <v>3653</v>
      </c>
      <c r="M3659" s="21">
        <v>-109023.60857898129</v>
      </c>
      <c r="N3659" s="42">
        <v>50.116765441845537</v>
      </c>
      <c r="O3659" s="43">
        <v>13758.710282385211</v>
      </c>
    </row>
    <row r="3660" spans="12:15" x14ac:dyDescent="0.2">
      <c r="L3660" s="4">
        <v>3654</v>
      </c>
      <c r="M3660" s="21">
        <v>-172740.38583540724</v>
      </c>
      <c r="N3660" s="42">
        <v>48.641323699116512</v>
      </c>
      <c r="O3660" s="43">
        <v>14858.165477165428</v>
      </c>
    </row>
    <row r="3661" spans="12:15" x14ac:dyDescent="0.2">
      <c r="L3661" s="4">
        <v>3655</v>
      </c>
      <c r="M3661" s="21">
        <v>-20510.62941884817</v>
      </c>
      <c r="N3661" s="42">
        <v>48.826680790720303</v>
      </c>
      <c r="O3661" s="43">
        <v>13107.872307600988</v>
      </c>
    </row>
    <row r="3662" spans="12:15" x14ac:dyDescent="0.2">
      <c r="L3662" s="4">
        <v>3656</v>
      </c>
      <c r="M3662" s="21">
        <v>-119771.51751569359</v>
      </c>
      <c r="N3662" s="42">
        <v>49.23732252436362</v>
      </c>
      <c r="O3662" s="43">
        <v>13628.580550916278</v>
      </c>
    </row>
    <row r="3663" spans="12:15" x14ac:dyDescent="0.2">
      <c r="L3663" s="4">
        <v>3657</v>
      </c>
      <c r="M3663" s="21">
        <v>-125151.16231441783</v>
      </c>
      <c r="N3663" s="42">
        <v>51.628286530429449</v>
      </c>
      <c r="O3663" s="43">
        <v>12354.512036430871</v>
      </c>
    </row>
    <row r="3664" spans="12:15" x14ac:dyDescent="0.2">
      <c r="L3664" s="4">
        <v>3658</v>
      </c>
      <c r="M3664" s="21">
        <v>34481.190022247261</v>
      </c>
      <c r="N3664" s="42">
        <v>48.341137467579998</v>
      </c>
      <c r="O3664" s="43">
        <v>15065.765965549524</v>
      </c>
    </row>
    <row r="3665" spans="12:15" x14ac:dyDescent="0.2">
      <c r="L3665" s="4">
        <v>3659</v>
      </c>
      <c r="M3665" s="21">
        <v>120035.06254030802</v>
      </c>
      <c r="N3665" s="42">
        <v>49.972426352581103</v>
      </c>
      <c r="O3665" s="43">
        <v>15395.875089758008</v>
      </c>
    </row>
    <row r="3666" spans="12:15" x14ac:dyDescent="0.2">
      <c r="L3666" s="4">
        <v>3660</v>
      </c>
      <c r="M3666" s="21">
        <v>-56315.482002992285</v>
      </c>
      <c r="N3666" s="42">
        <v>47.584785111512048</v>
      </c>
      <c r="O3666" s="43">
        <v>16790.63168282239</v>
      </c>
    </row>
    <row r="3667" spans="12:15" x14ac:dyDescent="0.2">
      <c r="L3667" s="4">
        <v>3661</v>
      </c>
      <c r="M3667" s="21">
        <v>154183.58466710779</v>
      </c>
      <c r="N3667" s="42">
        <v>51.702585240124684</v>
      </c>
      <c r="O3667" s="43">
        <v>13671.409896142781</v>
      </c>
    </row>
    <row r="3668" spans="12:15" x14ac:dyDescent="0.2">
      <c r="L3668" s="4">
        <v>3662</v>
      </c>
      <c r="M3668" s="21">
        <v>18529.675100674387</v>
      </c>
      <c r="N3668" s="42">
        <v>48.940701932465551</v>
      </c>
      <c r="O3668" s="43">
        <v>16103.557054253328</v>
      </c>
    </row>
    <row r="3669" spans="12:15" x14ac:dyDescent="0.2">
      <c r="L3669" s="4">
        <v>3663</v>
      </c>
      <c r="M3669" s="21">
        <v>-56025.279954247395</v>
      </c>
      <c r="N3669" s="42">
        <v>48.924228504909465</v>
      </c>
      <c r="O3669" s="43">
        <v>15510.750336773175</v>
      </c>
    </row>
    <row r="3670" spans="12:15" x14ac:dyDescent="0.2">
      <c r="L3670" s="4">
        <v>3664</v>
      </c>
      <c r="M3670" s="21">
        <v>6787.246240743174</v>
      </c>
      <c r="N3670" s="42">
        <v>49.035083491312399</v>
      </c>
      <c r="O3670" s="43">
        <v>15774.52318535115</v>
      </c>
    </row>
    <row r="3671" spans="12:15" x14ac:dyDescent="0.2">
      <c r="L3671" s="4">
        <v>3665</v>
      </c>
      <c r="M3671" s="21">
        <v>31596.49814856</v>
      </c>
      <c r="N3671" s="42">
        <v>48.999371419144495</v>
      </c>
      <c r="O3671" s="43">
        <v>15138.979444447848</v>
      </c>
    </row>
    <row r="3672" spans="12:15" x14ac:dyDescent="0.2">
      <c r="L3672" s="4">
        <v>3666</v>
      </c>
      <c r="M3672" s="21">
        <v>-135488.67199180718</v>
      </c>
      <c r="N3672" s="42">
        <v>50.284421621684317</v>
      </c>
      <c r="O3672" s="43">
        <v>13592.503907858858</v>
      </c>
    </row>
    <row r="3673" spans="12:15" x14ac:dyDescent="0.2">
      <c r="L3673" s="4">
        <v>3667</v>
      </c>
      <c r="M3673" s="21">
        <v>-131541.73754949289</v>
      </c>
      <c r="N3673" s="42">
        <v>50.452680825515614</v>
      </c>
      <c r="O3673" s="43">
        <v>12461.856262505757</v>
      </c>
    </row>
    <row r="3674" spans="12:15" x14ac:dyDescent="0.2">
      <c r="L3674" s="4">
        <v>3668</v>
      </c>
      <c r="M3674" s="21">
        <v>-19807.970291160149</v>
      </c>
      <c r="N3674" s="42">
        <v>48.132317241203467</v>
      </c>
      <c r="O3674" s="43">
        <v>17785.788808753477</v>
      </c>
    </row>
    <row r="3675" spans="12:15" x14ac:dyDescent="0.2">
      <c r="L3675" s="4">
        <v>3669</v>
      </c>
      <c r="M3675" s="21">
        <v>-2957.4437313364178</v>
      </c>
      <c r="N3675" s="42">
        <v>48.832749014334368</v>
      </c>
      <c r="O3675" s="43">
        <v>16034.820428190033</v>
      </c>
    </row>
    <row r="3676" spans="12:15" x14ac:dyDescent="0.2">
      <c r="L3676" s="4">
        <v>3670</v>
      </c>
      <c r="M3676" s="21">
        <v>-42605.769108442459</v>
      </c>
      <c r="N3676" s="42">
        <v>47.488816467569308</v>
      </c>
      <c r="O3676" s="43">
        <v>16157.526141073284</v>
      </c>
    </row>
    <row r="3677" spans="12:15" x14ac:dyDescent="0.2">
      <c r="L3677" s="4">
        <v>3671</v>
      </c>
      <c r="M3677" s="21">
        <v>-4313.516025730758</v>
      </c>
      <c r="N3677" s="42">
        <v>51.312305820830041</v>
      </c>
      <c r="O3677" s="43">
        <v>13272.07019248914</v>
      </c>
    </row>
    <row r="3678" spans="12:15" x14ac:dyDescent="0.2">
      <c r="L3678" s="4">
        <v>3672</v>
      </c>
      <c r="M3678" s="21">
        <v>-184838.07732304325</v>
      </c>
      <c r="N3678" s="42">
        <v>49.21478400400612</v>
      </c>
      <c r="O3678" s="43">
        <v>13833.109167565693</v>
      </c>
    </row>
    <row r="3679" spans="12:15" x14ac:dyDescent="0.2">
      <c r="L3679" s="4">
        <v>3673</v>
      </c>
      <c r="M3679" s="21">
        <v>29846.147768381692</v>
      </c>
      <c r="N3679" s="42">
        <v>49.974266228684641</v>
      </c>
      <c r="O3679" s="43">
        <v>14998.014846148286</v>
      </c>
    </row>
    <row r="3680" spans="12:15" x14ac:dyDescent="0.2">
      <c r="L3680" s="4">
        <v>3674</v>
      </c>
      <c r="M3680" s="21">
        <v>82603.61957929816</v>
      </c>
      <c r="N3680" s="42">
        <v>48.051176239037339</v>
      </c>
      <c r="O3680" s="43">
        <v>17446.735337620878</v>
      </c>
    </row>
    <row r="3681" spans="12:15" x14ac:dyDescent="0.2">
      <c r="L3681" s="4">
        <v>3675</v>
      </c>
      <c r="M3681" s="21">
        <v>121747.98524318784</v>
      </c>
      <c r="N3681" s="42">
        <v>48.258422402886289</v>
      </c>
      <c r="O3681" s="43">
        <v>17084.280318317597</v>
      </c>
    </row>
    <row r="3682" spans="12:15" x14ac:dyDescent="0.2">
      <c r="L3682" s="4">
        <v>3676</v>
      </c>
      <c r="M3682" s="21">
        <v>-36376.687172150894</v>
      </c>
      <c r="N3682" s="42">
        <v>47.034276437401836</v>
      </c>
      <c r="O3682" s="43">
        <v>16116.837740816616</v>
      </c>
    </row>
    <row r="3683" spans="12:15" x14ac:dyDescent="0.2">
      <c r="L3683" s="4">
        <v>3677</v>
      </c>
      <c r="M3683" s="21">
        <v>-80881.601075595609</v>
      </c>
      <c r="N3683" s="42">
        <v>48.273133751981632</v>
      </c>
      <c r="O3683" s="43">
        <v>14103.25551969329</v>
      </c>
    </row>
    <row r="3684" spans="12:15" x14ac:dyDescent="0.2">
      <c r="L3684" s="4">
        <v>3678</v>
      </c>
      <c r="M3684" s="21">
        <v>-269806.24127299886</v>
      </c>
      <c r="N3684" s="42">
        <v>44.404635629103325</v>
      </c>
      <c r="O3684" s="43">
        <v>19914.7232669566</v>
      </c>
    </row>
    <row r="3685" spans="12:15" x14ac:dyDescent="0.2">
      <c r="L3685" s="4">
        <v>3679</v>
      </c>
      <c r="M3685" s="21">
        <v>219389.22260988323</v>
      </c>
      <c r="N3685" s="42">
        <v>48.682759836604468</v>
      </c>
      <c r="O3685" s="43">
        <v>18976.376840220779</v>
      </c>
    </row>
    <row r="3686" spans="12:15" x14ac:dyDescent="0.2">
      <c r="L3686" s="4">
        <v>3680</v>
      </c>
      <c r="M3686" s="21">
        <v>-68100.065652766454</v>
      </c>
      <c r="N3686" s="42">
        <v>50.300797462091822</v>
      </c>
      <c r="O3686" s="43">
        <v>14024.70459822834</v>
      </c>
    </row>
    <row r="3687" spans="12:15" x14ac:dyDescent="0.2">
      <c r="L3687" s="4">
        <v>3681</v>
      </c>
      <c r="M3687" s="21">
        <v>169763.98518001163</v>
      </c>
      <c r="N3687" s="42">
        <v>49.518105640571143</v>
      </c>
      <c r="O3687" s="43">
        <v>17174.830823174128</v>
      </c>
    </row>
    <row r="3688" spans="12:15" x14ac:dyDescent="0.2">
      <c r="L3688" s="4">
        <v>3682</v>
      </c>
      <c r="M3688" s="21">
        <v>829.24933598330244</v>
      </c>
      <c r="N3688" s="42">
        <v>50.87126241660912</v>
      </c>
      <c r="O3688" s="43">
        <v>13516.473422897161</v>
      </c>
    </row>
    <row r="3689" spans="12:15" x14ac:dyDescent="0.2">
      <c r="L3689" s="4">
        <v>3683</v>
      </c>
      <c r="M3689" s="21">
        <v>87954.037176330254</v>
      </c>
      <c r="N3689" s="42">
        <v>50.443755800201046</v>
      </c>
      <c r="O3689" s="43">
        <v>14925.505073201484</v>
      </c>
    </row>
    <row r="3690" spans="12:15" x14ac:dyDescent="0.2">
      <c r="L3690" s="4">
        <v>3684</v>
      </c>
      <c r="M3690" s="21">
        <v>-141244.87788176257</v>
      </c>
      <c r="N3690" s="42">
        <v>50.177481934820008</v>
      </c>
      <c r="O3690" s="43">
        <v>15365.327487250404</v>
      </c>
    </row>
    <row r="3691" spans="12:15" x14ac:dyDescent="0.2">
      <c r="L3691" s="4">
        <v>3685</v>
      </c>
      <c r="M3691" s="21">
        <v>44870.17191307625</v>
      </c>
      <c r="N3691" s="42">
        <v>47.890460896624717</v>
      </c>
      <c r="O3691" s="43">
        <v>16481.101536964205</v>
      </c>
    </row>
    <row r="3692" spans="12:15" x14ac:dyDescent="0.2">
      <c r="L3692" s="4">
        <v>3686</v>
      </c>
      <c r="M3692" s="21">
        <v>61291.776913584938</v>
      </c>
      <c r="N3692" s="42">
        <v>51.147305072714772</v>
      </c>
      <c r="O3692" s="43">
        <v>13830.922496332572</v>
      </c>
    </row>
    <row r="3693" spans="12:15" x14ac:dyDescent="0.2">
      <c r="L3693" s="4">
        <v>3687</v>
      </c>
      <c r="M3693" s="21">
        <v>-151851.27615307638</v>
      </c>
      <c r="N3693" s="42">
        <v>46.321411942736383</v>
      </c>
      <c r="O3693" s="43">
        <v>16123.01728217134</v>
      </c>
    </row>
    <row r="3694" spans="12:15" x14ac:dyDescent="0.2">
      <c r="L3694" s="4">
        <v>3688</v>
      </c>
      <c r="M3694" s="21">
        <v>58345.151480177447</v>
      </c>
      <c r="N3694" s="42">
        <v>49.368192342804448</v>
      </c>
      <c r="O3694" s="43">
        <v>14155.484791977678</v>
      </c>
    </row>
    <row r="3695" spans="12:15" x14ac:dyDescent="0.2">
      <c r="L3695" s="4">
        <v>3689</v>
      </c>
      <c r="M3695" s="21">
        <v>-144168.59996099037</v>
      </c>
      <c r="N3695" s="42">
        <v>50.859224542613731</v>
      </c>
      <c r="O3695" s="43">
        <v>12809.001962167051</v>
      </c>
    </row>
    <row r="3696" spans="12:15" x14ac:dyDescent="0.2">
      <c r="L3696" s="4">
        <v>3690</v>
      </c>
      <c r="M3696" s="21">
        <v>58703.511214113474</v>
      </c>
      <c r="N3696" s="42">
        <v>48.862080641671717</v>
      </c>
      <c r="O3696" s="43">
        <v>14541.30017616373</v>
      </c>
    </row>
    <row r="3697" spans="12:15" x14ac:dyDescent="0.2">
      <c r="L3697" s="4">
        <v>3691</v>
      </c>
      <c r="M3697" s="21">
        <v>166026.76710622545</v>
      </c>
      <c r="N3697" s="42">
        <v>51.322868565690626</v>
      </c>
      <c r="O3697" s="43">
        <v>14232.732030257544</v>
      </c>
    </row>
    <row r="3698" spans="12:15" x14ac:dyDescent="0.2">
      <c r="L3698" s="4">
        <v>3692</v>
      </c>
      <c r="M3698" s="21">
        <v>148121.0255277307</v>
      </c>
      <c r="N3698" s="42">
        <v>47.627407056791867</v>
      </c>
      <c r="O3698" s="43">
        <v>16355.863678238476</v>
      </c>
    </row>
    <row r="3699" spans="12:15" x14ac:dyDescent="0.2">
      <c r="L3699" s="4">
        <v>3693</v>
      </c>
      <c r="M3699" s="21">
        <v>-112465.85378325166</v>
      </c>
      <c r="N3699" s="42">
        <v>48.925571331153471</v>
      </c>
      <c r="O3699" s="43">
        <v>15958.029720143617</v>
      </c>
    </row>
    <row r="3700" spans="12:15" x14ac:dyDescent="0.2">
      <c r="L3700" s="4">
        <v>3694</v>
      </c>
      <c r="M3700" s="21">
        <v>189610.41636177467</v>
      </c>
      <c r="N3700" s="42">
        <v>49.696372422671203</v>
      </c>
      <c r="O3700" s="43">
        <v>16540.653529757052</v>
      </c>
    </row>
    <row r="3701" spans="12:15" x14ac:dyDescent="0.2">
      <c r="L3701" s="4">
        <v>3695</v>
      </c>
      <c r="M3701" s="21">
        <v>-208731.8822997738</v>
      </c>
      <c r="N3701" s="42">
        <v>50.418730812800817</v>
      </c>
      <c r="O3701" s="43">
        <v>13399.176018107479</v>
      </c>
    </row>
    <row r="3702" spans="12:15" x14ac:dyDescent="0.2">
      <c r="L3702" s="4">
        <v>3696</v>
      </c>
      <c r="M3702" s="21">
        <v>19154.023893524543</v>
      </c>
      <c r="N3702" s="42">
        <v>46.988178459525116</v>
      </c>
      <c r="O3702" s="43">
        <v>17185.376386219104</v>
      </c>
    </row>
    <row r="3703" spans="12:15" x14ac:dyDescent="0.2">
      <c r="L3703" s="4">
        <v>3697</v>
      </c>
      <c r="M3703" s="21">
        <v>-138913.88677601551</v>
      </c>
      <c r="N3703" s="42">
        <v>50.25497137763147</v>
      </c>
      <c r="O3703" s="43">
        <v>13163.8043296167</v>
      </c>
    </row>
    <row r="3704" spans="12:15" x14ac:dyDescent="0.2">
      <c r="L3704" s="4">
        <v>3698</v>
      </c>
      <c r="M3704" s="21">
        <v>-65398.504851838719</v>
      </c>
      <c r="N3704" s="42">
        <v>48.423881621194035</v>
      </c>
      <c r="O3704" s="43">
        <v>16482.748828855874</v>
      </c>
    </row>
    <row r="3705" spans="12:15" x14ac:dyDescent="0.2">
      <c r="L3705" s="4">
        <v>3699</v>
      </c>
      <c r="M3705" s="21">
        <v>72089.786400490935</v>
      </c>
      <c r="N3705" s="42">
        <v>51.311613762166722</v>
      </c>
      <c r="O3705" s="43">
        <v>13713.794559969936</v>
      </c>
    </row>
    <row r="3706" spans="12:15" x14ac:dyDescent="0.2">
      <c r="L3706" s="4">
        <v>3700</v>
      </c>
      <c r="M3706" s="21">
        <v>-22584.522602038458</v>
      </c>
      <c r="N3706" s="42">
        <v>49.437605962508478</v>
      </c>
      <c r="O3706" s="43">
        <v>14199.146111749567</v>
      </c>
    </row>
    <row r="3707" spans="12:15" x14ac:dyDescent="0.2">
      <c r="L3707" s="4">
        <v>3701</v>
      </c>
      <c r="M3707" s="21">
        <v>136615.83578989512</v>
      </c>
      <c r="N3707" s="42">
        <v>51.422856429039122</v>
      </c>
      <c r="O3707" s="43">
        <v>15235.902532708838</v>
      </c>
    </row>
    <row r="3708" spans="12:15" x14ac:dyDescent="0.2">
      <c r="L3708" s="4">
        <v>3702</v>
      </c>
      <c r="M3708" s="21">
        <v>-20927.677535919502</v>
      </c>
      <c r="N3708" s="42">
        <v>51.571132347254803</v>
      </c>
      <c r="O3708" s="43">
        <v>12405.966459570835</v>
      </c>
    </row>
    <row r="3709" spans="12:15" x14ac:dyDescent="0.2">
      <c r="L3709" s="4">
        <v>3703</v>
      </c>
      <c r="M3709" s="21">
        <v>64307.925470385788</v>
      </c>
      <c r="N3709" s="42">
        <v>49.337865094474729</v>
      </c>
      <c r="O3709" s="43">
        <v>14982.81176751515</v>
      </c>
    </row>
    <row r="3710" spans="12:15" x14ac:dyDescent="0.2">
      <c r="L3710" s="4">
        <v>3704</v>
      </c>
      <c r="M3710" s="21">
        <v>90400.091499521368</v>
      </c>
      <c r="N3710" s="42">
        <v>47.155252624361658</v>
      </c>
      <c r="O3710" s="43">
        <v>16869.170119405419</v>
      </c>
    </row>
    <row r="3711" spans="12:15" x14ac:dyDescent="0.2">
      <c r="L3711" s="4">
        <v>3705</v>
      </c>
      <c r="M3711" s="21">
        <v>-111726.3015519703</v>
      </c>
      <c r="N3711" s="42">
        <v>47.738831896964058</v>
      </c>
      <c r="O3711" s="43">
        <v>14219.293613546442</v>
      </c>
    </row>
    <row r="3712" spans="12:15" x14ac:dyDescent="0.2">
      <c r="L3712" s="4">
        <v>3706</v>
      </c>
      <c r="M3712" s="21">
        <v>181943.93631885614</v>
      </c>
      <c r="N3712" s="42">
        <v>51.365380011170672</v>
      </c>
      <c r="O3712" s="43">
        <v>15766.669409796616</v>
      </c>
    </row>
    <row r="3713" spans="12:15" x14ac:dyDescent="0.2">
      <c r="L3713" s="4">
        <v>3707</v>
      </c>
      <c r="M3713" s="21">
        <v>-14824.272308577027</v>
      </c>
      <c r="N3713" s="42">
        <v>50.224982259464376</v>
      </c>
      <c r="O3713" s="43">
        <v>13258.524547225725</v>
      </c>
    </row>
    <row r="3714" spans="12:15" x14ac:dyDescent="0.2">
      <c r="L3714" s="4">
        <v>3708</v>
      </c>
      <c r="M3714" s="21">
        <v>95150.875361664657</v>
      </c>
      <c r="N3714" s="42">
        <v>50.616861228827524</v>
      </c>
      <c r="O3714" s="43">
        <v>15553.878120411448</v>
      </c>
    </row>
    <row r="3715" spans="12:15" x14ac:dyDescent="0.2">
      <c r="L3715" s="4">
        <v>3709</v>
      </c>
      <c r="M3715" s="21">
        <v>-124972.94855236335</v>
      </c>
      <c r="N3715" s="42">
        <v>47.468383955301285</v>
      </c>
      <c r="O3715" s="43">
        <v>14537.532024621489</v>
      </c>
    </row>
    <row r="3716" spans="12:15" x14ac:dyDescent="0.2">
      <c r="L3716" s="4">
        <v>3710</v>
      </c>
      <c r="M3716" s="21">
        <v>-92414.04641509903</v>
      </c>
      <c r="N3716" s="42">
        <v>49.486924125291637</v>
      </c>
      <c r="O3716" s="43">
        <v>12929.989716205191</v>
      </c>
    </row>
    <row r="3717" spans="12:15" x14ac:dyDescent="0.2">
      <c r="L3717" s="4">
        <v>3711</v>
      </c>
      <c r="M3717" s="21">
        <v>-121367.92811221993</v>
      </c>
      <c r="N3717" s="42">
        <v>46.416641660784897</v>
      </c>
      <c r="O3717" s="43">
        <v>15930.638663087277</v>
      </c>
    </row>
    <row r="3718" spans="12:15" x14ac:dyDescent="0.2">
      <c r="L3718" s="4">
        <v>3712</v>
      </c>
      <c r="M3718" s="21">
        <v>60835.783157229889</v>
      </c>
      <c r="N3718" s="42">
        <v>49.892833776626098</v>
      </c>
      <c r="O3718" s="43">
        <v>15244.6365436004</v>
      </c>
    </row>
    <row r="3719" spans="12:15" x14ac:dyDescent="0.2">
      <c r="L3719" s="4">
        <v>3713</v>
      </c>
      <c r="M3719" s="21">
        <v>115882.18658038124</v>
      </c>
      <c r="N3719" s="42">
        <v>49.980311640038522</v>
      </c>
      <c r="O3719" s="43">
        <v>15131.299566424437</v>
      </c>
    </row>
    <row r="3720" spans="12:15" x14ac:dyDescent="0.2">
      <c r="L3720" s="4">
        <v>3714</v>
      </c>
      <c r="M3720" s="21">
        <v>121772.65746807493</v>
      </c>
      <c r="N3720" s="42">
        <v>49.381452118964219</v>
      </c>
      <c r="O3720" s="43">
        <v>15447.267219227095</v>
      </c>
    </row>
    <row r="3721" spans="12:15" x14ac:dyDescent="0.2">
      <c r="L3721" s="4">
        <v>3715</v>
      </c>
      <c r="M3721" s="21">
        <v>-108583.81758389281</v>
      </c>
      <c r="N3721" s="42">
        <v>49.770665609742409</v>
      </c>
      <c r="O3721" s="43">
        <v>15566.706162820828</v>
      </c>
    </row>
    <row r="3722" spans="12:15" x14ac:dyDescent="0.2">
      <c r="L3722" s="4">
        <v>3716</v>
      </c>
      <c r="M3722" s="21">
        <v>-55334.050600897288</v>
      </c>
      <c r="N3722" s="42">
        <v>47.503240781022505</v>
      </c>
      <c r="O3722" s="43">
        <v>16113.638959175903</v>
      </c>
    </row>
    <row r="3723" spans="12:15" x14ac:dyDescent="0.2">
      <c r="L3723" s="4">
        <v>3717</v>
      </c>
      <c r="M3723" s="21">
        <v>-80289.79065790723</v>
      </c>
      <c r="N3723" s="42">
        <v>51.155888231504925</v>
      </c>
      <c r="O3723" s="43">
        <v>13624.980414991269</v>
      </c>
    </row>
    <row r="3724" spans="12:15" x14ac:dyDescent="0.2">
      <c r="L3724" s="4">
        <v>3718</v>
      </c>
      <c r="M3724" s="21">
        <v>-106549.78014406668</v>
      </c>
      <c r="N3724" s="42">
        <v>51.881811181849031</v>
      </c>
      <c r="O3724" s="43">
        <v>12588.912619931456</v>
      </c>
    </row>
    <row r="3725" spans="12:15" x14ac:dyDescent="0.2">
      <c r="L3725" s="4">
        <v>3719</v>
      </c>
      <c r="M3725" s="21">
        <v>135228.66979053567</v>
      </c>
      <c r="N3725" s="42">
        <v>49.302241070897281</v>
      </c>
      <c r="O3725" s="43">
        <v>15566.816749808127</v>
      </c>
    </row>
    <row r="3726" spans="12:15" x14ac:dyDescent="0.2">
      <c r="L3726" s="4">
        <v>3720</v>
      </c>
      <c r="M3726" s="21">
        <v>14628.422821152315</v>
      </c>
      <c r="N3726" s="42">
        <v>48.607841608611658</v>
      </c>
      <c r="O3726" s="43">
        <v>15249.364486154449</v>
      </c>
    </row>
    <row r="3727" spans="12:15" x14ac:dyDescent="0.2">
      <c r="L3727" s="4">
        <v>3721</v>
      </c>
      <c r="M3727" s="21">
        <v>-110679.55953158322</v>
      </c>
      <c r="N3727" s="42">
        <v>47.587919946198085</v>
      </c>
      <c r="O3727" s="43">
        <v>17256.638979739761</v>
      </c>
    </row>
    <row r="3728" spans="12:15" x14ac:dyDescent="0.2">
      <c r="L3728" s="4">
        <v>3722</v>
      </c>
      <c r="M3728" s="21">
        <v>-68743.105649760008</v>
      </c>
      <c r="N3728" s="42">
        <v>48.832589313522327</v>
      </c>
      <c r="O3728" s="43">
        <v>14303.658458203308</v>
      </c>
    </row>
    <row r="3729" spans="12:15" x14ac:dyDescent="0.2">
      <c r="L3729" s="4">
        <v>3723</v>
      </c>
      <c r="M3729" s="21">
        <v>-49532.138593284762</v>
      </c>
      <c r="N3729" s="42">
        <v>48.105262059273883</v>
      </c>
      <c r="O3729" s="43">
        <v>15726.409625679822</v>
      </c>
    </row>
    <row r="3730" spans="12:15" x14ac:dyDescent="0.2">
      <c r="L3730" s="4">
        <v>3724</v>
      </c>
      <c r="M3730" s="21">
        <v>-80573.940797824122</v>
      </c>
      <c r="N3730" s="42">
        <v>51.58814745230778</v>
      </c>
      <c r="O3730" s="43">
        <v>13110.237906548446</v>
      </c>
    </row>
    <row r="3731" spans="12:15" x14ac:dyDescent="0.2">
      <c r="L3731" s="4">
        <v>3725</v>
      </c>
      <c r="M3731" s="21">
        <v>82925.717915387155</v>
      </c>
      <c r="N3731" s="42">
        <v>49.385706004291507</v>
      </c>
      <c r="O3731" s="43">
        <v>16389.729077827287</v>
      </c>
    </row>
    <row r="3732" spans="12:15" x14ac:dyDescent="0.2">
      <c r="L3732" s="4">
        <v>3726</v>
      </c>
      <c r="M3732" s="21">
        <v>-56580.93094086647</v>
      </c>
      <c r="N3732" s="42">
        <v>51.366901052528469</v>
      </c>
      <c r="O3732" s="43">
        <v>13087.82194116545</v>
      </c>
    </row>
    <row r="3733" spans="12:15" x14ac:dyDescent="0.2">
      <c r="L3733" s="4">
        <v>3727</v>
      </c>
      <c r="M3733" s="21">
        <v>-107657.38669191636</v>
      </c>
      <c r="N3733" s="42">
        <v>47.131398155389725</v>
      </c>
      <c r="O3733" s="43">
        <v>15687.389902112231</v>
      </c>
    </row>
    <row r="3734" spans="12:15" x14ac:dyDescent="0.2">
      <c r="L3734" s="4">
        <v>3728</v>
      </c>
      <c r="M3734" s="21">
        <v>255761.13024482146</v>
      </c>
      <c r="N3734" s="42">
        <v>49.475664096102939</v>
      </c>
      <c r="O3734" s="43">
        <v>16786.916147972079</v>
      </c>
    </row>
    <row r="3735" spans="12:15" x14ac:dyDescent="0.2">
      <c r="L3735" s="4">
        <v>3729</v>
      </c>
      <c r="M3735" s="21">
        <v>-76447.907940240038</v>
      </c>
      <c r="N3735" s="42">
        <v>48.793705547758861</v>
      </c>
      <c r="O3735" s="43">
        <v>15205.203656805359</v>
      </c>
    </row>
    <row r="3736" spans="12:15" x14ac:dyDescent="0.2">
      <c r="L3736" s="4">
        <v>3730</v>
      </c>
      <c r="M3736" s="21">
        <v>43137.464316493308</v>
      </c>
      <c r="N3736" s="42">
        <v>49.204067870892068</v>
      </c>
      <c r="O3736" s="43">
        <v>14685.777057348527</v>
      </c>
    </row>
    <row r="3737" spans="12:15" x14ac:dyDescent="0.2">
      <c r="L3737" s="4">
        <v>3731</v>
      </c>
      <c r="M3737" s="21">
        <v>-19719.330546415644</v>
      </c>
      <c r="N3737" s="42">
        <v>48.995349548693895</v>
      </c>
      <c r="O3737" s="43">
        <v>12764.170847698373</v>
      </c>
    </row>
    <row r="3738" spans="12:15" x14ac:dyDescent="0.2">
      <c r="L3738" s="4">
        <v>3732</v>
      </c>
      <c r="M3738" s="21">
        <v>-120015.3974353385</v>
      </c>
      <c r="N3738" s="42">
        <v>48.109959319444513</v>
      </c>
      <c r="O3738" s="43">
        <v>14455.429854408669</v>
      </c>
    </row>
    <row r="3739" spans="12:15" x14ac:dyDescent="0.2">
      <c r="L3739" s="4">
        <v>3733</v>
      </c>
      <c r="M3739" s="21">
        <v>28870.909063954401</v>
      </c>
      <c r="N3739" s="42">
        <v>50.674358696274119</v>
      </c>
      <c r="O3739" s="43">
        <v>13750.896080060376</v>
      </c>
    </row>
    <row r="3740" spans="12:15" x14ac:dyDescent="0.2">
      <c r="L3740" s="4">
        <v>3734</v>
      </c>
      <c r="M3740" s="21">
        <v>-209429.32690947375</v>
      </c>
      <c r="N3740" s="42">
        <v>48.124130664444145</v>
      </c>
      <c r="O3740" s="43">
        <v>15392.066181974316</v>
      </c>
    </row>
    <row r="3741" spans="12:15" x14ac:dyDescent="0.2">
      <c r="L3741" s="4">
        <v>3735</v>
      </c>
      <c r="M3741" s="21">
        <v>-32508.220231243613</v>
      </c>
      <c r="N3741" s="42">
        <v>49.190366701967612</v>
      </c>
      <c r="O3741" s="43">
        <v>16033.523986796237</v>
      </c>
    </row>
    <row r="3742" spans="12:15" x14ac:dyDescent="0.2">
      <c r="L3742" s="4">
        <v>3736</v>
      </c>
      <c r="M3742" s="21">
        <v>58708.207940863882</v>
      </c>
      <c r="N3742" s="42">
        <v>49.696349465664838</v>
      </c>
      <c r="O3742" s="43">
        <v>14975.532793961009</v>
      </c>
    </row>
    <row r="3743" spans="12:15" x14ac:dyDescent="0.2">
      <c r="L3743" s="4">
        <v>3737</v>
      </c>
      <c r="M3743" s="21">
        <v>132093.68255351545</v>
      </c>
      <c r="N3743" s="42">
        <v>50.032897446974658</v>
      </c>
      <c r="O3743" s="43">
        <v>17474.507625907583</v>
      </c>
    </row>
    <row r="3744" spans="12:15" x14ac:dyDescent="0.2">
      <c r="L3744" s="4">
        <v>3738</v>
      </c>
      <c r="M3744" s="21">
        <v>97993.017572721845</v>
      </c>
      <c r="N3744" s="42">
        <v>48.910171328840363</v>
      </c>
      <c r="O3744" s="43">
        <v>16967.612506103644</v>
      </c>
    </row>
    <row r="3745" spans="12:15" x14ac:dyDescent="0.2">
      <c r="L3745" s="4">
        <v>3739</v>
      </c>
      <c r="M3745" s="21">
        <v>122054.67063434987</v>
      </c>
      <c r="N3745" s="42">
        <v>50.218137649677956</v>
      </c>
      <c r="O3745" s="43">
        <v>14422.770472329119</v>
      </c>
    </row>
    <row r="3746" spans="12:15" x14ac:dyDescent="0.2">
      <c r="L3746" s="4">
        <v>3740</v>
      </c>
      <c r="M3746" s="21">
        <v>-5286.5853346580116</v>
      </c>
      <c r="N3746" s="42">
        <v>49.342044364610388</v>
      </c>
      <c r="O3746" s="43">
        <v>15735.515140341749</v>
      </c>
    </row>
    <row r="3747" spans="12:15" x14ac:dyDescent="0.2">
      <c r="L3747" s="4">
        <v>3741</v>
      </c>
      <c r="M3747" s="21">
        <v>264224.20771329792</v>
      </c>
      <c r="N3747" s="42">
        <v>51.104851594225572</v>
      </c>
      <c r="O3747" s="43">
        <v>15553.427530669016</v>
      </c>
    </row>
    <row r="3748" spans="12:15" x14ac:dyDescent="0.2">
      <c r="L3748" s="4">
        <v>3742</v>
      </c>
      <c r="M3748" s="21">
        <v>-11591.240475592582</v>
      </c>
      <c r="N3748" s="42">
        <v>51.533388885869726</v>
      </c>
      <c r="O3748" s="43">
        <v>13292.95283354924</v>
      </c>
    </row>
    <row r="3749" spans="12:15" x14ac:dyDescent="0.2">
      <c r="L3749" s="4">
        <v>3743</v>
      </c>
      <c r="M3749" s="21">
        <v>-122626.5024425109</v>
      </c>
      <c r="N3749" s="42">
        <v>49.074158391023005</v>
      </c>
      <c r="O3749" s="43">
        <v>13570.20567295506</v>
      </c>
    </row>
    <row r="3750" spans="12:15" x14ac:dyDescent="0.2">
      <c r="L3750" s="4">
        <v>3744</v>
      </c>
      <c r="M3750" s="21">
        <v>-246411.21104356577</v>
      </c>
      <c r="N3750" s="42">
        <v>51.650466452471569</v>
      </c>
      <c r="O3750" s="43">
        <v>11561.029805469998</v>
      </c>
    </row>
    <row r="3751" spans="12:15" x14ac:dyDescent="0.2">
      <c r="L3751" s="4">
        <v>3745</v>
      </c>
      <c r="M3751" s="21">
        <v>-371290.50994507293</v>
      </c>
      <c r="N3751" s="42">
        <v>51.632992648351205</v>
      </c>
      <c r="O3751" s="43">
        <v>9949.9257242811073</v>
      </c>
    </row>
    <row r="3752" spans="12:15" x14ac:dyDescent="0.2">
      <c r="L3752" s="4">
        <v>3746</v>
      </c>
      <c r="M3752" s="21">
        <v>-80305.201607166324</v>
      </c>
      <c r="N3752" s="42">
        <v>47.907880642603402</v>
      </c>
      <c r="O3752" s="43">
        <v>14453.124363078978</v>
      </c>
    </row>
    <row r="3753" spans="12:15" x14ac:dyDescent="0.2">
      <c r="L3753" s="4">
        <v>3747</v>
      </c>
      <c r="M3753" s="21">
        <v>81662.390266351635</v>
      </c>
      <c r="N3753" s="42">
        <v>48.25849706968264</v>
      </c>
      <c r="O3753" s="43">
        <v>16966.458414422446</v>
      </c>
    </row>
    <row r="3754" spans="12:15" x14ac:dyDescent="0.2">
      <c r="L3754" s="4">
        <v>3748</v>
      </c>
      <c r="M3754" s="21">
        <v>-77014.052833937254</v>
      </c>
      <c r="N3754" s="42">
        <v>48.133710873278957</v>
      </c>
      <c r="O3754" s="43">
        <v>15134.743455837941</v>
      </c>
    </row>
    <row r="3755" spans="12:15" x14ac:dyDescent="0.2">
      <c r="L3755" s="4">
        <v>3749</v>
      </c>
      <c r="M3755" s="21">
        <v>-41133.099407991263</v>
      </c>
      <c r="N3755" s="42">
        <v>47.236004733477394</v>
      </c>
      <c r="O3755" s="43">
        <v>15731.34276929995</v>
      </c>
    </row>
    <row r="3756" spans="12:15" x14ac:dyDescent="0.2">
      <c r="L3756" s="4">
        <v>3750</v>
      </c>
      <c r="M3756" s="21">
        <v>-108917.19233087015</v>
      </c>
      <c r="N3756" s="42">
        <v>47.450108302648538</v>
      </c>
      <c r="O3756" s="43">
        <v>15306.405734012285</v>
      </c>
    </row>
    <row r="3757" spans="12:15" x14ac:dyDescent="0.2">
      <c r="L3757" s="4">
        <v>3751</v>
      </c>
      <c r="M3757" s="21">
        <v>-39225.777551915118</v>
      </c>
      <c r="N3757" s="42">
        <v>46.131116373969547</v>
      </c>
      <c r="O3757" s="43">
        <v>18098.268369543643</v>
      </c>
    </row>
    <row r="3758" spans="12:15" x14ac:dyDescent="0.2">
      <c r="L3758" s="4">
        <v>3752</v>
      </c>
      <c r="M3758" s="21">
        <v>322976.68876602699</v>
      </c>
      <c r="N3758" s="42">
        <v>51.126723584468053</v>
      </c>
      <c r="O3758" s="43">
        <v>16751.896035798418</v>
      </c>
    </row>
    <row r="3759" spans="12:15" x14ac:dyDescent="0.2">
      <c r="L3759" s="4">
        <v>3753</v>
      </c>
      <c r="M3759" s="21">
        <v>-136333.20876984781</v>
      </c>
      <c r="N3759" s="42">
        <v>50.251233887020362</v>
      </c>
      <c r="O3759" s="43">
        <v>12888.258583385803</v>
      </c>
    </row>
    <row r="3760" spans="12:15" x14ac:dyDescent="0.2">
      <c r="L3760" s="4">
        <v>3754</v>
      </c>
      <c r="M3760" s="21">
        <v>51329.832769561937</v>
      </c>
      <c r="N3760" s="42">
        <v>50.027773426506364</v>
      </c>
      <c r="O3760" s="43">
        <v>16574.253000288849</v>
      </c>
    </row>
    <row r="3761" spans="12:15" x14ac:dyDescent="0.2">
      <c r="L3761" s="4">
        <v>3755</v>
      </c>
      <c r="M3761" s="21">
        <v>-20374.137055643092</v>
      </c>
      <c r="N3761" s="42">
        <v>48.825735496685638</v>
      </c>
      <c r="O3761" s="43">
        <v>14019.715313941437</v>
      </c>
    </row>
    <row r="3762" spans="12:15" x14ac:dyDescent="0.2">
      <c r="L3762" s="4">
        <v>3756</v>
      </c>
      <c r="M3762" s="21">
        <v>280487.84604243515</v>
      </c>
      <c r="N3762" s="42">
        <v>51.821214634958622</v>
      </c>
      <c r="O3762" s="43">
        <v>14920.597655368107</v>
      </c>
    </row>
    <row r="3763" spans="12:15" x14ac:dyDescent="0.2">
      <c r="L3763" s="4">
        <v>3757</v>
      </c>
      <c r="M3763" s="21">
        <v>-11007.839976870353</v>
      </c>
      <c r="N3763" s="42">
        <v>49.657051471243179</v>
      </c>
      <c r="O3763" s="43">
        <v>14850.160533922353</v>
      </c>
    </row>
    <row r="3764" spans="12:15" x14ac:dyDescent="0.2">
      <c r="L3764" s="4">
        <v>3758</v>
      </c>
      <c r="M3764" s="21">
        <v>-159721.26327304138</v>
      </c>
      <c r="N3764" s="42">
        <v>51.007802740816672</v>
      </c>
      <c r="O3764" s="43">
        <v>12141.01895997769</v>
      </c>
    </row>
    <row r="3765" spans="12:15" x14ac:dyDescent="0.2">
      <c r="L3765" s="4">
        <v>3759</v>
      </c>
      <c r="M3765" s="21">
        <v>-338551.44733407994</v>
      </c>
      <c r="N3765" s="42">
        <v>50.382001772710183</v>
      </c>
      <c r="O3765" s="43">
        <v>11979.170435006619</v>
      </c>
    </row>
    <row r="3766" spans="12:15" x14ac:dyDescent="0.2">
      <c r="L3766" s="4">
        <v>3760</v>
      </c>
      <c r="M3766" s="21">
        <v>-17577.953700150203</v>
      </c>
      <c r="N3766" s="42">
        <v>50.305588017526205</v>
      </c>
      <c r="O3766" s="43">
        <v>13955.308140733763</v>
      </c>
    </row>
    <row r="3767" spans="12:15" x14ac:dyDescent="0.2">
      <c r="L3767" s="4">
        <v>3761</v>
      </c>
      <c r="M3767" s="21">
        <v>101517.18767205635</v>
      </c>
      <c r="N3767" s="42">
        <v>48.12832001862327</v>
      </c>
      <c r="O3767" s="43">
        <v>16950.806146999403</v>
      </c>
    </row>
    <row r="3768" spans="12:15" x14ac:dyDescent="0.2">
      <c r="L3768" s="4">
        <v>3762</v>
      </c>
      <c r="M3768" s="21">
        <v>-135360.38724973396</v>
      </c>
      <c r="N3768" s="42">
        <v>51.881875959358119</v>
      </c>
      <c r="O3768" s="43">
        <v>11751.859147946778</v>
      </c>
    </row>
    <row r="3769" spans="12:15" x14ac:dyDescent="0.2">
      <c r="L3769" s="4">
        <v>3763</v>
      </c>
      <c r="M3769" s="21">
        <v>67324.005359497038</v>
      </c>
      <c r="N3769" s="42">
        <v>51.743091886381372</v>
      </c>
      <c r="O3769" s="43">
        <v>12621.642939488855</v>
      </c>
    </row>
    <row r="3770" spans="12:15" x14ac:dyDescent="0.2">
      <c r="L3770" s="4">
        <v>3764</v>
      </c>
      <c r="M3770" s="21">
        <v>6361.9149155394698</v>
      </c>
      <c r="N3770" s="42">
        <v>49.920435524715309</v>
      </c>
      <c r="O3770" s="43">
        <v>14619.347465821589</v>
      </c>
    </row>
    <row r="3771" spans="12:15" x14ac:dyDescent="0.2">
      <c r="L3771" s="4">
        <v>3765</v>
      </c>
      <c r="M3771" s="21">
        <v>31855.88889376205</v>
      </c>
      <c r="N3771" s="42">
        <v>48.660010808548499</v>
      </c>
      <c r="O3771" s="43">
        <v>17968.956864098076</v>
      </c>
    </row>
    <row r="3772" spans="12:15" x14ac:dyDescent="0.2">
      <c r="L3772" s="4">
        <v>3766</v>
      </c>
      <c r="M3772" s="21">
        <v>-62591.510121977641</v>
      </c>
      <c r="N3772" s="42">
        <v>48.974491258820123</v>
      </c>
      <c r="O3772" s="43">
        <v>15908.405723824742</v>
      </c>
    </row>
    <row r="3773" spans="12:15" x14ac:dyDescent="0.2">
      <c r="L3773" s="4">
        <v>3767</v>
      </c>
      <c r="M3773" s="21">
        <v>-293888.55625709007</v>
      </c>
      <c r="N3773" s="42">
        <v>51.032638393575112</v>
      </c>
      <c r="O3773" s="43">
        <v>12040.638254728576</v>
      </c>
    </row>
    <row r="3774" spans="12:15" x14ac:dyDescent="0.2">
      <c r="L3774" s="4">
        <v>3768</v>
      </c>
      <c r="M3774" s="21">
        <v>-6671.1375024403824</v>
      </c>
      <c r="N3774" s="42">
        <v>49.937086879190133</v>
      </c>
      <c r="O3774" s="43">
        <v>14721.521082853775</v>
      </c>
    </row>
    <row r="3775" spans="12:15" x14ac:dyDescent="0.2">
      <c r="L3775" s="4">
        <v>3769</v>
      </c>
      <c r="M3775" s="21">
        <v>214977.0370830191</v>
      </c>
      <c r="N3775" s="42">
        <v>49.51280322944249</v>
      </c>
      <c r="O3775" s="43">
        <v>17237.841472743461</v>
      </c>
    </row>
    <row r="3776" spans="12:15" x14ac:dyDescent="0.2">
      <c r="L3776" s="4">
        <v>3770</v>
      </c>
      <c r="M3776" s="21">
        <v>125780.12157883335</v>
      </c>
      <c r="N3776" s="42">
        <v>49.888747574592074</v>
      </c>
      <c r="O3776" s="43">
        <v>15444.753970403559</v>
      </c>
    </row>
    <row r="3777" spans="12:15" x14ac:dyDescent="0.2">
      <c r="L3777" s="4">
        <v>3771</v>
      </c>
      <c r="M3777" s="21">
        <v>-177009.18223444035</v>
      </c>
      <c r="N3777" s="42">
        <v>51.159676843933141</v>
      </c>
      <c r="O3777" s="43">
        <v>12363.108275989611</v>
      </c>
    </row>
    <row r="3778" spans="12:15" x14ac:dyDescent="0.2">
      <c r="L3778" s="4">
        <v>3772</v>
      </c>
      <c r="M3778" s="21">
        <v>-253609.27050465663</v>
      </c>
      <c r="N3778" s="42">
        <v>51.299054811165476</v>
      </c>
      <c r="O3778" s="43">
        <v>12123.417963769669</v>
      </c>
    </row>
    <row r="3779" spans="12:15" x14ac:dyDescent="0.2">
      <c r="L3779" s="4">
        <v>3773</v>
      </c>
      <c r="M3779" s="21">
        <v>-104270.41310073885</v>
      </c>
      <c r="N3779" s="42">
        <v>50.38346491999868</v>
      </c>
      <c r="O3779" s="43">
        <v>12878.412308389719</v>
      </c>
    </row>
    <row r="3780" spans="12:15" x14ac:dyDescent="0.2">
      <c r="L3780" s="4">
        <v>3774</v>
      </c>
      <c r="M3780" s="21">
        <v>-274355.82724791748</v>
      </c>
      <c r="N3780" s="42">
        <v>46.818906516103361</v>
      </c>
      <c r="O3780" s="43">
        <v>13446.710590786715</v>
      </c>
    </row>
    <row r="3781" spans="12:15" x14ac:dyDescent="0.2">
      <c r="L3781" s="4">
        <v>3775</v>
      </c>
      <c r="M3781" s="21">
        <v>-35362.856457700022</v>
      </c>
      <c r="N3781" s="42">
        <v>49.817845410831758</v>
      </c>
      <c r="O3781" s="43">
        <v>15090.553533073004</v>
      </c>
    </row>
    <row r="3782" spans="12:15" x14ac:dyDescent="0.2">
      <c r="L3782" s="4">
        <v>3776</v>
      </c>
      <c r="M3782" s="21">
        <v>-44340.861470541829</v>
      </c>
      <c r="N3782" s="42">
        <v>50.465906207797559</v>
      </c>
      <c r="O3782" s="43">
        <v>15452.828452987096</v>
      </c>
    </row>
    <row r="3783" spans="12:15" x14ac:dyDescent="0.2">
      <c r="L3783" s="4">
        <v>3777</v>
      </c>
      <c r="M3783" s="21">
        <v>123633.51485554644</v>
      </c>
      <c r="N3783" s="42">
        <v>51.530226648357342</v>
      </c>
      <c r="O3783" s="43">
        <v>14723.404645404304</v>
      </c>
    </row>
    <row r="3784" spans="12:15" x14ac:dyDescent="0.2">
      <c r="L3784" s="4">
        <v>3778</v>
      </c>
      <c r="M3784" s="21">
        <v>-147822.5699982192</v>
      </c>
      <c r="N3784" s="42">
        <v>47.781623076690494</v>
      </c>
      <c r="O3784" s="43">
        <v>15145.004318678262</v>
      </c>
    </row>
    <row r="3785" spans="12:15" x14ac:dyDescent="0.2">
      <c r="L3785" s="4">
        <v>3779</v>
      </c>
      <c r="M3785" s="21">
        <v>-134794.42865778485</v>
      </c>
      <c r="N3785" s="42">
        <v>49.639236390502099</v>
      </c>
      <c r="O3785" s="43">
        <v>13381.742641043315</v>
      </c>
    </row>
    <row r="3786" spans="12:15" x14ac:dyDescent="0.2">
      <c r="L3786" s="4">
        <v>3780</v>
      </c>
      <c r="M3786" s="21">
        <v>377188.10714910302</v>
      </c>
      <c r="N3786" s="42">
        <v>51.670957871073689</v>
      </c>
      <c r="O3786" s="43">
        <v>17110.015678830823</v>
      </c>
    </row>
    <row r="3787" spans="12:15" x14ac:dyDescent="0.2">
      <c r="L3787" s="4">
        <v>3781</v>
      </c>
      <c r="M3787" s="21">
        <v>-201323.49933305697</v>
      </c>
      <c r="N3787" s="42">
        <v>46.40421531213152</v>
      </c>
      <c r="O3787" s="43">
        <v>14674.538038629118</v>
      </c>
    </row>
    <row r="3788" spans="12:15" x14ac:dyDescent="0.2">
      <c r="L3788" s="4">
        <v>3782</v>
      </c>
      <c r="M3788" s="21">
        <v>12940.832156658726</v>
      </c>
      <c r="N3788" s="42">
        <v>49.604865974696111</v>
      </c>
      <c r="O3788" s="43">
        <v>14939.47691726033</v>
      </c>
    </row>
    <row r="3789" spans="12:15" x14ac:dyDescent="0.2">
      <c r="L3789" s="4">
        <v>3783</v>
      </c>
      <c r="M3789" s="21">
        <v>48314.458833651064</v>
      </c>
      <c r="N3789" s="42">
        <v>50.166909339461519</v>
      </c>
      <c r="O3789" s="43">
        <v>14805.255163263711</v>
      </c>
    </row>
    <row r="3790" spans="12:15" x14ac:dyDescent="0.2">
      <c r="L3790" s="4">
        <v>3784</v>
      </c>
      <c r="M3790" s="21">
        <v>126536.05607676849</v>
      </c>
      <c r="N3790" s="42">
        <v>50.950456920483205</v>
      </c>
      <c r="O3790" s="43">
        <v>15876.205740777285</v>
      </c>
    </row>
    <row r="3791" spans="12:15" x14ac:dyDescent="0.2">
      <c r="L3791" s="4">
        <v>3785</v>
      </c>
      <c r="M3791" s="21">
        <v>-131233.52708414634</v>
      </c>
      <c r="N3791" s="42">
        <v>47.155725463042707</v>
      </c>
      <c r="O3791" s="43">
        <v>14973.481626986382</v>
      </c>
    </row>
    <row r="3792" spans="12:15" x14ac:dyDescent="0.2">
      <c r="L3792" s="4">
        <v>3786</v>
      </c>
      <c r="M3792" s="21">
        <v>-45211.731053580748</v>
      </c>
      <c r="N3792" s="42">
        <v>51.362656464486882</v>
      </c>
      <c r="O3792" s="43">
        <v>13788.797694583431</v>
      </c>
    </row>
    <row r="3793" spans="12:15" x14ac:dyDescent="0.2">
      <c r="L3793" s="4">
        <v>3787</v>
      </c>
      <c r="M3793" s="21">
        <v>57677.053979785647</v>
      </c>
      <c r="N3793" s="42">
        <v>49.082242473979875</v>
      </c>
      <c r="O3793" s="43">
        <v>15358.42128397972</v>
      </c>
    </row>
    <row r="3794" spans="12:15" x14ac:dyDescent="0.2">
      <c r="L3794" s="4">
        <v>3788</v>
      </c>
      <c r="M3794" s="21">
        <v>-172213.01727505686</v>
      </c>
      <c r="N3794" s="42">
        <v>48.094372253864975</v>
      </c>
      <c r="O3794" s="43">
        <v>15837.367881140772</v>
      </c>
    </row>
    <row r="3795" spans="12:15" x14ac:dyDescent="0.2">
      <c r="L3795" s="4">
        <v>3789</v>
      </c>
      <c r="M3795" s="21">
        <v>79582.776529221039</v>
      </c>
      <c r="N3795" s="42">
        <v>48.083590320245676</v>
      </c>
      <c r="O3795" s="43">
        <v>16394.218971364648</v>
      </c>
    </row>
    <row r="3796" spans="12:15" x14ac:dyDescent="0.2">
      <c r="L3796" s="4">
        <v>3790</v>
      </c>
      <c r="M3796" s="21">
        <v>157160.34881135868</v>
      </c>
      <c r="N3796" s="42">
        <v>51.062507820781846</v>
      </c>
      <c r="O3796" s="43">
        <v>15155.712000531814</v>
      </c>
    </row>
    <row r="3797" spans="12:15" x14ac:dyDescent="0.2">
      <c r="L3797" s="4">
        <v>3791</v>
      </c>
      <c r="M3797" s="21">
        <v>-22256.154429315371</v>
      </c>
      <c r="N3797" s="42">
        <v>51.004580421998767</v>
      </c>
      <c r="O3797" s="43">
        <v>12992.852237980376</v>
      </c>
    </row>
    <row r="3798" spans="12:15" x14ac:dyDescent="0.2">
      <c r="L3798" s="4">
        <v>3792</v>
      </c>
      <c r="M3798" s="21">
        <v>681.09552238398464</v>
      </c>
      <c r="N3798" s="42">
        <v>49.39507574124989</v>
      </c>
      <c r="O3798" s="43">
        <v>15627.443096724463</v>
      </c>
    </row>
    <row r="3799" spans="12:15" x14ac:dyDescent="0.2">
      <c r="L3799" s="4">
        <v>3793</v>
      </c>
      <c r="M3799" s="21">
        <v>-42060.755745230024</v>
      </c>
      <c r="N3799" s="42">
        <v>50.065910438196838</v>
      </c>
      <c r="O3799" s="43">
        <v>14213.176994474894</v>
      </c>
    </row>
    <row r="3800" spans="12:15" x14ac:dyDescent="0.2">
      <c r="L3800" s="4">
        <v>3794</v>
      </c>
      <c r="M3800" s="21">
        <v>36656.492466798634</v>
      </c>
      <c r="N3800" s="42">
        <v>50.246500298924687</v>
      </c>
      <c r="O3800" s="43">
        <v>14895.440691315389</v>
      </c>
    </row>
    <row r="3801" spans="12:15" x14ac:dyDescent="0.2">
      <c r="L3801" s="4">
        <v>3795</v>
      </c>
      <c r="M3801" s="21">
        <v>-255930.20791568019</v>
      </c>
      <c r="N3801" s="42">
        <v>51.004423407188575</v>
      </c>
      <c r="O3801" s="43">
        <v>12667.53989378603</v>
      </c>
    </row>
    <row r="3802" spans="12:15" x14ac:dyDescent="0.2">
      <c r="L3802" s="4">
        <v>3796</v>
      </c>
      <c r="M3802" s="21">
        <v>57953.732230079506</v>
      </c>
      <c r="N3802" s="42">
        <v>48.03251867842674</v>
      </c>
      <c r="O3802" s="43">
        <v>16602.266900770705</v>
      </c>
    </row>
    <row r="3803" spans="12:15" x14ac:dyDescent="0.2">
      <c r="L3803" s="4">
        <v>3797</v>
      </c>
      <c r="M3803" s="21">
        <v>141885.65672004985</v>
      </c>
      <c r="N3803" s="42">
        <v>48.102290156922514</v>
      </c>
      <c r="O3803" s="43">
        <v>16413.626616596877</v>
      </c>
    </row>
    <row r="3804" spans="12:15" x14ac:dyDescent="0.2">
      <c r="L3804" s="4">
        <v>3798</v>
      </c>
      <c r="M3804" s="21">
        <v>-78473.397032209745</v>
      </c>
      <c r="N3804" s="42">
        <v>50.374767485969215</v>
      </c>
      <c r="O3804" s="43">
        <v>14624.029785845945</v>
      </c>
    </row>
    <row r="3805" spans="12:15" x14ac:dyDescent="0.2">
      <c r="L3805" s="4">
        <v>3799</v>
      </c>
      <c r="M3805" s="21">
        <v>-117063.48995016617</v>
      </c>
      <c r="N3805" s="42">
        <v>46.950773057033224</v>
      </c>
      <c r="O3805" s="43">
        <v>16158.754094133186</v>
      </c>
    </row>
    <row r="3806" spans="12:15" x14ac:dyDescent="0.2">
      <c r="L3806" s="4">
        <v>3800</v>
      </c>
      <c r="M3806" s="21">
        <v>50211.362405415799</v>
      </c>
      <c r="N3806" s="42">
        <v>51.53069605661031</v>
      </c>
      <c r="O3806" s="43">
        <v>12971.572475177743</v>
      </c>
    </row>
    <row r="3807" spans="12:15" x14ac:dyDescent="0.2">
      <c r="L3807" s="4">
        <v>3801</v>
      </c>
      <c r="M3807" s="21">
        <v>168922.48701173058</v>
      </c>
      <c r="N3807" s="42">
        <v>48.629761268152855</v>
      </c>
      <c r="O3807" s="43">
        <v>16352.253415899482</v>
      </c>
    </row>
    <row r="3808" spans="12:15" x14ac:dyDescent="0.2">
      <c r="L3808" s="4">
        <v>3802</v>
      </c>
      <c r="M3808" s="21">
        <v>21646.912544478371</v>
      </c>
      <c r="N3808" s="42">
        <v>47.680495031263384</v>
      </c>
      <c r="O3808" s="43">
        <v>16578.049411569853</v>
      </c>
    </row>
    <row r="3809" spans="12:15" x14ac:dyDescent="0.2">
      <c r="L3809" s="4">
        <v>3803</v>
      </c>
      <c r="M3809" s="21">
        <v>55347.472134836018</v>
      </c>
      <c r="N3809" s="42">
        <v>50.722414626343109</v>
      </c>
      <c r="O3809" s="43">
        <v>15577.855830556889</v>
      </c>
    </row>
    <row r="3810" spans="12:15" x14ac:dyDescent="0.2">
      <c r="L3810" s="4">
        <v>3804</v>
      </c>
      <c r="M3810" s="21">
        <v>70805.626565261278</v>
      </c>
      <c r="N3810" s="42">
        <v>48.010943656597277</v>
      </c>
      <c r="O3810" s="43">
        <v>18441.606703241414</v>
      </c>
    </row>
    <row r="3811" spans="12:15" x14ac:dyDescent="0.2">
      <c r="L3811" s="4">
        <v>3805</v>
      </c>
      <c r="M3811" s="21">
        <v>129043.60345621576</v>
      </c>
      <c r="N3811" s="42">
        <v>49.6119073748118</v>
      </c>
      <c r="O3811" s="43">
        <v>15213.575713485208</v>
      </c>
    </row>
    <row r="3812" spans="12:15" x14ac:dyDescent="0.2">
      <c r="L3812" s="4">
        <v>3806</v>
      </c>
      <c r="M3812" s="21">
        <v>-74358.792556656947</v>
      </c>
      <c r="N3812" s="42">
        <v>49.956354811407792</v>
      </c>
      <c r="O3812" s="43">
        <v>13652.595521508265</v>
      </c>
    </row>
    <row r="3813" spans="12:15" x14ac:dyDescent="0.2">
      <c r="L3813" s="4">
        <v>3807</v>
      </c>
      <c r="M3813" s="21">
        <v>-65704.87824567256</v>
      </c>
      <c r="N3813" s="42">
        <v>50.598286091179531</v>
      </c>
      <c r="O3813" s="43">
        <v>13729.436962027161</v>
      </c>
    </row>
    <row r="3814" spans="12:15" x14ac:dyDescent="0.2">
      <c r="L3814" s="4">
        <v>3808</v>
      </c>
      <c r="M3814" s="21">
        <v>55048.123667511769</v>
      </c>
      <c r="N3814" s="42">
        <v>50.596889033489148</v>
      </c>
      <c r="O3814" s="43">
        <v>15054.813994359085</v>
      </c>
    </row>
    <row r="3815" spans="12:15" x14ac:dyDescent="0.2">
      <c r="L3815" s="4">
        <v>3809</v>
      </c>
      <c r="M3815" s="21">
        <v>51948.89707763982</v>
      </c>
      <c r="N3815" s="42">
        <v>50.88492533300105</v>
      </c>
      <c r="O3815" s="43">
        <v>14606.370679069387</v>
      </c>
    </row>
    <row r="3816" spans="12:15" x14ac:dyDescent="0.2">
      <c r="L3816" s="4">
        <v>3810</v>
      </c>
      <c r="M3816" s="21">
        <v>-102699.09490274123</v>
      </c>
      <c r="N3816" s="42">
        <v>48.333394666109577</v>
      </c>
      <c r="O3816" s="43">
        <v>15706.285476957215</v>
      </c>
    </row>
    <row r="3817" spans="12:15" x14ac:dyDescent="0.2">
      <c r="L3817" s="4">
        <v>3811</v>
      </c>
      <c r="M3817" s="21">
        <v>215076.18829897934</v>
      </c>
      <c r="N3817" s="42">
        <v>49.836054900331327</v>
      </c>
      <c r="O3817" s="43">
        <v>17093.610368014368</v>
      </c>
    </row>
    <row r="3818" spans="12:15" x14ac:dyDescent="0.2">
      <c r="L3818" s="4">
        <v>3812</v>
      </c>
      <c r="M3818" s="21">
        <v>-50638.684831566032</v>
      </c>
      <c r="N3818" s="42">
        <v>48.298698296737001</v>
      </c>
      <c r="O3818" s="43">
        <v>13985.666121698465</v>
      </c>
    </row>
    <row r="3819" spans="12:15" x14ac:dyDescent="0.2">
      <c r="L3819" s="4">
        <v>3813</v>
      </c>
      <c r="M3819" s="21">
        <v>35928.302444561792</v>
      </c>
      <c r="N3819" s="42">
        <v>49.548896954675129</v>
      </c>
      <c r="O3819" s="43">
        <v>15055.257812531632</v>
      </c>
    </row>
    <row r="3820" spans="12:15" x14ac:dyDescent="0.2">
      <c r="L3820" s="4">
        <v>3814</v>
      </c>
      <c r="M3820" s="21">
        <v>213.44836042265524</v>
      </c>
      <c r="N3820" s="42">
        <v>49.342904896116259</v>
      </c>
      <c r="O3820" s="43">
        <v>15145.019240352494</v>
      </c>
    </row>
    <row r="3821" spans="12:15" x14ac:dyDescent="0.2">
      <c r="L3821" s="4">
        <v>3815</v>
      </c>
      <c r="M3821" s="21">
        <v>60389.906557082111</v>
      </c>
      <c r="N3821" s="42">
        <v>48.272052950111856</v>
      </c>
      <c r="O3821" s="43">
        <v>18012.828298097502</v>
      </c>
    </row>
    <row r="3822" spans="12:15" x14ac:dyDescent="0.2">
      <c r="L3822" s="4">
        <v>3816</v>
      </c>
      <c r="M3822" s="21">
        <v>-170698.69908789426</v>
      </c>
      <c r="N3822" s="42">
        <v>48.30704598576213</v>
      </c>
      <c r="O3822" s="43">
        <v>14010.083192979886</v>
      </c>
    </row>
    <row r="3823" spans="12:15" x14ac:dyDescent="0.2">
      <c r="L3823" s="4">
        <v>3817</v>
      </c>
      <c r="M3823" s="21">
        <v>31806.934602219029</v>
      </c>
      <c r="N3823" s="42">
        <v>49.207850386795407</v>
      </c>
      <c r="O3823" s="43">
        <v>15827.302807556949</v>
      </c>
    </row>
    <row r="3824" spans="12:15" x14ac:dyDescent="0.2">
      <c r="L3824" s="4">
        <v>3818</v>
      </c>
      <c r="M3824" s="21">
        <v>90516.591578858148</v>
      </c>
      <c r="N3824" s="42">
        <v>49.71234653861287</v>
      </c>
      <c r="O3824" s="43">
        <v>15673.638878241049</v>
      </c>
    </row>
    <row r="3825" spans="12:15" x14ac:dyDescent="0.2">
      <c r="L3825" s="4">
        <v>3819</v>
      </c>
      <c r="M3825" s="21">
        <v>-126760.37728417128</v>
      </c>
      <c r="N3825" s="42">
        <v>45.962399957714609</v>
      </c>
      <c r="O3825" s="43">
        <v>17286.982498360878</v>
      </c>
    </row>
    <row r="3826" spans="12:15" x14ac:dyDescent="0.2">
      <c r="L3826" s="4">
        <v>3820</v>
      </c>
      <c r="M3826" s="21">
        <v>-241149.04982442566</v>
      </c>
      <c r="N3826" s="42">
        <v>46.194210851501566</v>
      </c>
      <c r="O3826" s="43">
        <v>13037.158763429916</v>
      </c>
    </row>
    <row r="3827" spans="12:15" x14ac:dyDescent="0.2">
      <c r="L3827" s="4">
        <v>3821</v>
      </c>
      <c r="M3827" s="21">
        <v>114886.15010493388</v>
      </c>
      <c r="N3827" s="42">
        <v>50.923617104079185</v>
      </c>
      <c r="O3827" s="43">
        <v>15194.934770266214</v>
      </c>
    </row>
    <row r="3828" spans="12:15" x14ac:dyDescent="0.2">
      <c r="L3828" s="4">
        <v>3822</v>
      </c>
      <c r="M3828" s="21">
        <v>22948.89896093242</v>
      </c>
      <c r="N3828" s="42">
        <v>48.651476019685148</v>
      </c>
      <c r="O3828" s="43">
        <v>14548.40294306091</v>
      </c>
    </row>
    <row r="3829" spans="12:15" x14ac:dyDescent="0.2">
      <c r="L3829" s="4">
        <v>3823</v>
      </c>
      <c r="M3829" s="21">
        <v>40887.02083148231</v>
      </c>
      <c r="N3829" s="42">
        <v>49.997877413024312</v>
      </c>
      <c r="O3829" s="43">
        <v>14833.727299555947</v>
      </c>
    </row>
    <row r="3830" spans="12:15" x14ac:dyDescent="0.2">
      <c r="L3830" s="4">
        <v>3824</v>
      </c>
      <c r="M3830" s="21">
        <v>-107522.09192033074</v>
      </c>
      <c r="N3830" s="42">
        <v>48.108952466188541</v>
      </c>
      <c r="O3830" s="43">
        <v>17181.48873862411</v>
      </c>
    </row>
    <row r="3831" spans="12:15" x14ac:dyDescent="0.2">
      <c r="L3831" s="4">
        <v>3825</v>
      </c>
      <c r="M3831" s="21">
        <v>162997.52861996222</v>
      </c>
      <c r="N3831" s="42">
        <v>50.1103587306335</v>
      </c>
      <c r="O3831" s="43">
        <v>15968.99230442195</v>
      </c>
    </row>
    <row r="3832" spans="12:15" x14ac:dyDescent="0.2">
      <c r="L3832" s="4">
        <v>3826</v>
      </c>
      <c r="M3832" s="21">
        <v>-152628.04750598664</v>
      </c>
      <c r="N3832" s="42">
        <v>50.925539272230246</v>
      </c>
      <c r="O3832" s="43">
        <v>12411.81444444125</v>
      </c>
    </row>
    <row r="3833" spans="12:15" x14ac:dyDescent="0.2">
      <c r="L3833" s="4">
        <v>3827</v>
      </c>
      <c r="M3833" s="21">
        <v>-21977.461915837863</v>
      </c>
      <c r="N3833" s="42">
        <v>47.230093349118441</v>
      </c>
      <c r="O3833" s="43">
        <v>18127.085328273301</v>
      </c>
    </row>
    <row r="3834" spans="12:15" x14ac:dyDescent="0.2">
      <c r="L3834" s="4">
        <v>3828</v>
      </c>
      <c r="M3834" s="21">
        <v>-41815.168250095448</v>
      </c>
      <c r="N3834" s="42">
        <v>48.638616030637628</v>
      </c>
      <c r="O3834" s="43">
        <v>14081.303342156709</v>
      </c>
    </row>
    <row r="3835" spans="12:15" x14ac:dyDescent="0.2">
      <c r="L3835" s="4">
        <v>3829</v>
      </c>
      <c r="M3835" s="21">
        <v>109938.80125933184</v>
      </c>
      <c r="N3835" s="42">
        <v>51.540266538213125</v>
      </c>
      <c r="O3835" s="43">
        <v>14350.19359119223</v>
      </c>
    </row>
    <row r="3836" spans="12:15" x14ac:dyDescent="0.2">
      <c r="L3836" s="4">
        <v>3830</v>
      </c>
      <c r="M3836" s="21">
        <v>-110739.26599632383</v>
      </c>
      <c r="N3836" s="42">
        <v>45.312008521446614</v>
      </c>
      <c r="O3836" s="43">
        <v>16281.794696167226</v>
      </c>
    </row>
    <row r="3837" spans="12:15" x14ac:dyDescent="0.2">
      <c r="L3837" s="4">
        <v>3831</v>
      </c>
      <c r="M3837" s="21">
        <v>-144671.17132536293</v>
      </c>
      <c r="N3837" s="42">
        <v>47.037472655312541</v>
      </c>
      <c r="O3837" s="43">
        <v>15481.317541810484</v>
      </c>
    </row>
    <row r="3838" spans="12:15" x14ac:dyDescent="0.2">
      <c r="L3838" s="4">
        <v>3832</v>
      </c>
      <c r="M3838" s="21">
        <v>-73915.840836175485</v>
      </c>
      <c r="N3838" s="42">
        <v>46.088588283641059</v>
      </c>
      <c r="O3838" s="43">
        <v>17187.932147719195</v>
      </c>
    </row>
    <row r="3839" spans="12:15" x14ac:dyDescent="0.2">
      <c r="L3839" s="4">
        <v>3833</v>
      </c>
      <c r="M3839" s="21">
        <v>6214.2363053606823</v>
      </c>
      <c r="N3839" s="42">
        <v>50.998130557836845</v>
      </c>
      <c r="O3839" s="43">
        <v>14219.8264817442</v>
      </c>
    </row>
    <row r="3840" spans="12:15" x14ac:dyDescent="0.2">
      <c r="L3840" s="4">
        <v>3834</v>
      </c>
      <c r="M3840" s="21">
        <v>194112.76355348428</v>
      </c>
      <c r="N3840" s="42">
        <v>49.119240337934691</v>
      </c>
      <c r="O3840" s="43">
        <v>16683.418309485431</v>
      </c>
    </row>
    <row r="3841" spans="12:15" x14ac:dyDescent="0.2">
      <c r="L3841" s="4">
        <v>3835</v>
      </c>
      <c r="M3841" s="21">
        <v>-52003.449524651995</v>
      </c>
      <c r="N3841" s="42">
        <v>47.422048391740745</v>
      </c>
      <c r="O3841" s="43">
        <v>17279.142327422956</v>
      </c>
    </row>
    <row r="3842" spans="12:15" x14ac:dyDescent="0.2">
      <c r="L3842" s="4">
        <v>3836</v>
      </c>
      <c r="M3842" s="21">
        <v>-84815.925980494416</v>
      </c>
      <c r="N3842" s="42">
        <v>49.382606129591558</v>
      </c>
      <c r="O3842" s="43">
        <v>13551.667321098928</v>
      </c>
    </row>
    <row r="3843" spans="12:15" x14ac:dyDescent="0.2">
      <c r="L3843" s="4">
        <v>3837</v>
      </c>
      <c r="M3843" s="21">
        <v>-82625.944660911046</v>
      </c>
      <c r="N3843" s="42">
        <v>49.029990820842926</v>
      </c>
      <c r="O3843" s="43">
        <v>13867.104640916548</v>
      </c>
    </row>
    <row r="3844" spans="12:15" x14ac:dyDescent="0.2">
      <c r="L3844" s="4">
        <v>3838</v>
      </c>
      <c r="M3844" s="21">
        <v>92546.887214975985</v>
      </c>
      <c r="N3844" s="42">
        <v>49.997740785830452</v>
      </c>
      <c r="O3844" s="43">
        <v>15729.052893334689</v>
      </c>
    </row>
    <row r="3845" spans="12:15" x14ac:dyDescent="0.2">
      <c r="L3845" s="4">
        <v>3839</v>
      </c>
      <c r="M3845" s="21">
        <v>44835.260296133492</v>
      </c>
      <c r="N3845" s="42">
        <v>49.058656624892535</v>
      </c>
      <c r="O3845" s="43">
        <v>15531.357398228356</v>
      </c>
    </row>
    <row r="3846" spans="12:15" x14ac:dyDescent="0.2">
      <c r="L3846" s="4">
        <v>3840</v>
      </c>
      <c r="M3846" s="21">
        <v>-262216.34939539502</v>
      </c>
      <c r="N3846" s="42">
        <v>47.060196391730265</v>
      </c>
      <c r="O3846" s="43">
        <v>14689.95094319805</v>
      </c>
    </row>
    <row r="3847" spans="12:15" x14ac:dyDescent="0.2">
      <c r="L3847" s="4">
        <v>3841</v>
      </c>
      <c r="M3847" s="21">
        <v>57395.858019775449</v>
      </c>
      <c r="N3847" s="42">
        <v>47.664317169331227</v>
      </c>
      <c r="O3847" s="43">
        <v>17256.8218639591</v>
      </c>
    </row>
    <row r="3848" spans="12:15" x14ac:dyDescent="0.2">
      <c r="L3848" s="4">
        <v>3842</v>
      </c>
      <c r="M3848" s="21">
        <v>89567.165884168033</v>
      </c>
      <c r="N3848" s="42">
        <v>48.695732204803129</v>
      </c>
      <c r="O3848" s="43">
        <v>15535.635983841514</v>
      </c>
    </row>
    <row r="3849" spans="12:15" x14ac:dyDescent="0.2">
      <c r="L3849" s="4">
        <v>3843</v>
      </c>
      <c r="M3849" s="21">
        <v>177064.9566377757</v>
      </c>
      <c r="N3849" s="42">
        <v>50.348595377221159</v>
      </c>
      <c r="O3849" s="43">
        <v>16375.371408182444</v>
      </c>
    </row>
    <row r="3850" spans="12:15" x14ac:dyDescent="0.2">
      <c r="L3850" s="4">
        <v>3844</v>
      </c>
      <c r="M3850" s="21">
        <v>-11289.467281562844</v>
      </c>
      <c r="N3850" s="42">
        <v>50.136399288534875</v>
      </c>
      <c r="O3850" s="43">
        <v>16311.08883214918</v>
      </c>
    </row>
    <row r="3851" spans="12:15" x14ac:dyDescent="0.2">
      <c r="L3851" s="4">
        <v>3845</v>
      </c>
      <c r="M3851" s="21">
        <v>-61437.332847085068</v>
      </c>
      <c r="N3851" s="42">
        <v>47.714584337280016</v>
      </c>
      <c r="O3851" s="43">
        <v>15272.791197658969</v>
      </c>
    </row>
    <row r="3852" spans="12:15" x14ac:dyDescent="0.2">
      <c r="L3852" s="4">
        <v>3846</v>
      </c>
      <c r="M3852" s="21">
        <v>-217478.91193327837</v>
      </c>
      <c r="N3852" s="42">
        <v>51.0101090671983</v>
      </c>
      <c r="O3852" s="43">
        <v>11860.457412869095</v>
      </c>
    </row>
    <row r="3853" spans="12:15" x14ac:dyDescent="0.2">
      <c r="L3853" s="4">
        <v>3847</v>
      </c>
      <c r="M3853" s="21">
        <v>69364.763893433963</v>
      </c>
      <c r="N3853" s="42">
        <v>48.305552085312662</v>
      </c>
      <c r="O3853" s="43">
        <v>15929.408623404863</v>
      </c>
    </row>
    <row r="3854" spans="12:15" x14ac:dyDescent="0.2">
      <c r="L3854" s="4">
        <v>3848</v>
      </c>
      <c r="M3854" s="21">
        <v>-189190.41040020925</v>
      </c>
      <c r="N3854" s="42">
        <v>49.048127775636203</v>
      </c>
      <c r="O3854" s="43">
        <v>15261.9979105766</v>
      </c>
    </row>
    <row r="3855" spans="12:15" x14ac:dyDescent="0.2">
      <c r="L3855" s="4">
        <v>3849</v>
      </c>
      <c r="M3855" s="21">
        <v>-55292.722830335624</v>
      </c>
      <c r="N3855" s="42">
        <v>47.661531842278947</v>
      </c>
      <c r="O3855" s="43">
        <v>15654.263045410011</v>
      </c>
    </row>
    <row r="3856" spans="12:15" x14ac:dyDescent="0.2">
      <c r="L3856" s="4">
        <v>3850</v>
      </c>
      <c r="M3856" s="21">
        <v>49431.188882600953</v>
      </c>
      <c r="N3856" s="42">
        <v>50.656816531825477</v>
      </c>
      <c r="O3856" s="43">
        <v>14573.031343953164</v>
      </c>
    </row>
    <row r="3857" spans="12:15" x14ac:dyDescent="0.2">
      <c r="L3857" s="4">
        <v>3851</v>
      </c>
      <c r="M3857" s="21">
        <v>-49347.505679587441</v>
      </c>
      <c r="N3857" s="42">
        <v>51.619137494491504</v>
      </c>
      <c r="O3857" s="43">
        <v>14412.436456439144</v>
      </c>
    </row>
    <row r="3858" spans="12:15" x14ac:dyDescent="0.2">
      <c r="L3858" s="4">
        <v>3852</v>
      </c>
      <c r="M3858" s="21">
        <v>19674.698818049394</v>
      </c>
      <c r="N3858" s="42">
        <v>51.259619490568568</v>
      </c>
      <c r="O3858" s="43">
        <v>14424.566441565721</v>
      </c>
    </row>
    <row r="3859" spans="12:15" x14ac:dyDescent="0.2">
      <c r="L3859" s="4">
        <v>3853</v>
      </c>
      <c r="M3859" s="21">
        <v>-30107.253434641781</v>
      </c>
      <c r="N3859" s="42">
        <v>51.047417451765448</v>
      </c>
      <c r="O3859" s="43">
        <v>13611.759947789735</v>
      </c>
    </row>
    <row r="3860" spans="12:15" x14ac:dyDescent="0.2">
      <c r="L3860" s="4">
        <v>3854</v>
      </c>
      <c r="M3860" s="21">
        <v>73551.353321731905</v>
      </c>
      <c r="N3860" s="42">
        <v>49.611053478056881</v>
      </c>
      <c r="O3860" s="43">
        <v>14827.314148637914</v>
      </c>
    </row>
    <row r="3861" spans="12:15" x14ac:dyDescent="0.2">
      <c r="L3861" s="4">
        <v>3855</v>
      </c>
      <c r="M3861" s="21">
        <v>-95912.846079504612</v>
      </c>
      <c r="N3861" s="42">
        <v>50.621579073133162</v>
      </c>
      <c r="O3861" s="43">
        <v>13583.256441257447</v>
      </c>
    </row>
    <row r="3862" spans="12:15" x14ac:dyDescent="0.2">
      <c r="L3862" s="4">
        <v>3856</v>
      </c>
      <c r="M3862" s="21">
        <v>275215.79454057303</v>
      </c>
      <c r="N3862" s="42">
        <v>50.332814158522957</v>
      </c>
      <c r="O3862" s="43">
        <v>16867.268549667326</v>
      </c>
    </row>
    <row r="3863" spans="12:15" x14ac:dyDescent="0.2">
      <c r="L3863" s="4">
        <v>3857</v>
      </c>
      <c r="M3863" s="21">
        <v>-68236.524751488541</v>
      </c>
      <c r="N3863" s="42">
        <v>51.564078559008443</v>
      </c>
      <c r="O3863" s="43">
        <v>13094.149264792668</v>
      </c>
    </row>
    <row r="3864" spans="12:15" x14ac:dyDescent="0.2">
      <c r="L3864" s="4">
        <v>3858</v>
      </c>
      <c r="M3864" s="21">
        <v>-79202.90105677316</v>
      </c>
      <c r="N3864" s="42">
        <v>50.83216288977566</v>
      </c>
      <c r="O3864" s="43">
        <v>13096.426183945079</v>
      </c>
    </row>
    <row r="3865" spans="12:15" x14ac:dyDescent="0.2">
      <c r="L3865" s="4">
        <v>3859</v>
      </c>
      <c r="M3865" s="21">
        <v>161989.63059141484</v>
      </c>
      <c r="N3865" s="42">
        <v>50.613886598422695</v>
      </c>
      <c r="O3865" s="43">
        <v>15811.479991763346</v>
      </c>
    </row>
    <row r="3866" spans="12:15" x14ac:dyDescent="0.2">
      <c r="L3866" s="4">
        <v>3860</v>
      </c>
      <c r="M3866" s="21">
        <v>-48623.348053479262</v>
      </c>
      <c r="N3866" s="42">
        <v>47.894465070398958</v>
      </c>
      <c r="O3866" s="43">
        <v>14516.54595900982</v>
      </c>
    </row>
    <row r="3867" spans="12:15" x14ac:dyDescent="0.2">
      <c r="L3867" s="4">
        <v>3861</v>
      </c>
      <c r="M3867" s="21">
        <v>-319017.56732956704</v>
      </c>
      <c r="N3867" s="42">
        <v>47.695290956495164</v>
      </c>
      <c r="O3867" s="43">
        <v>15068.557169377666</v>
      </c>
    </row>
    <row r="3868" spans="12:15" x14ac:dyDescent="0.2">
      <c r="L3868" s="4">
        <v>3862</v>
      </c>
      <c r="M3868" s="21">
        <v>98146.338656960666</v>
      </c>
      <c r="N3868" s="42">
        <v>50.075365873996979</v>
      </c>
      <c r="O3868" s="43">
        <v>15634.533449102188</v>
      </c>
    </row>
    <row r="3869" spans="12:15" x14ac:dyDescent="0.2">
      <c r="L3869" s="4">
        <v>3863</v>
      </c>
      <c r="M3869" s="21">
        <v>4403.2422622810991</v>
      </c>
      <c r="N3869" s="42">
        <v>49.465423219291367</v>
      </c>
      <c r="O3869" s="43">
        <v>15211.943680393078</v>
      </c>
    </row>
    <row r="3870" spans="12:15" x14ac:dyDescent="0.2">
      <c r="L3870" s="4">
        <v>3864</v>
      </c>
      <c r="M3870" s="21">
        <v>51069.174916173972</v>
      </c>
      <c r="N3870" s="42">
        <v>47.383653196658749</v>
      </c>
      <c r="O3870" s="43">
        <v>18944.519741714848</v>
      </c>
    </row>
    <row r="3871" spans="12:15" x14ac:dyDescent="0.2">
      <c r="L3871" s="4">
        <v>3865</v>
      </c>
      <c r="M3871" s="21">
        <v>-9012.4079684196913</v>
      </c>
      <c r="N3871" s="42">
        <v>49.51579104668825</v>
      </c>
      <c r="O3871" s="43">
        <v>14029.448225115773</v>
      </c>
    </row>
    <row r="3872" spans="12:15" x14ac:dyDescent="0.2">
      <c r="L3872" s="4">
        <v>3866</v>
      </c>
      <c r="M3872" s="21">
        <v>1747.2721208347357</v>
      </c>
      <c r="N3872" s="42">
        <v>48.423291046703731</v>
      </c>
      <c r="O3872" s="43">
        <v>16478.494035172007</v>
      </c>
    </row>
    <row r="3873" spans="12:15" x14ac:dyDescent="0.2">
      <c r="L3873" s="4">
        <v>3867</v>
      </c>
      <c r="M3873" s="21">
        <v>28905.722285224736</v>
      </c>
      <c r="N3873" s="42">
        <v>50.504781538532526</v>
      </c>
      <c r="O3873" s="43">
        <v>15560.361107449035</v>
      </c>
    </row>
    <row r="3874" spans="12:15" x14ac:dyDescent="0.2">
      <c r="L3874" s="4">
        <v>3868</v>
      </c>
      <c r="M3874" s="21">
        <v>-30559.861470021293</v>
      </c>
      <c r="N3874" s="42">
        <v>49.252946789607918</v>
      </c>
      <c r="O3874" s="43">
        <v>14938.663385380996</v>
      </c>
    </row>
    <row r="3875" spans="12:15" x14ac:dyDescent="0.2">
      <c r="L3875" s="4">
        <v>3869</v>
      </c>
      <c r="M3875" s="21">
        <v>93939.896028018557</v>
      </c>
      <c r="N3875" s="42">
        <v>49.216878520704384</v>
      </c>
      <c r="O3875" s="43">
        <v>15006.468136402376</v>
      </c>
    </row>
    <row r="3876" spans="12:15" x14ac:dyDescent="0.2">
      <c r="L3876" s="4">
        <v>3870</v>
      </c>
      <c r="M3876" s="21">
        <v>82116.59635043412</v>
      </c>
      <c r="N3876" s="42">
        <v>50.777024688259992</v>
      </c>
      <c r="O3876" s="43">
        <v>15110.089982559944</v>
      </c>
    </row>
    <row r="3877" spans="12:15" x14ac:dyDescent="0.2">
      <c r="L3877" s="4">
        <v>3871</v>
      </c>
      <c r="M3877" s="21">
        <v>27311.219537620083</v>
      </c>
      <c r="N3877" s="42">
        <v>48.961085062708911</v>
      </c>
      <c r="O3877" s="43">
        <v>15390.963349102634</v>
      </c>
    </row>
    <row r="3878" spans="12:15" x14ac:dyDescent="0.2">
      <c r="L3878" s="4">
        <v>3872</v>
      </c>
      <c r="M3878" s="21">
        <v>129389.79922459542</v>
      </c>
      <c r="N3878" s="42">
        <v>50.909657984057745</v>
      </c>
      <c r="O3878" s="43">
        <v>16786.494458127825</v>
      </c>
    </row>
    <row r="3879" spans="12:15" x14ac:dyDescent="0.2">
      <c r="L3879" s="4">
        <v>3873</v>
      </c>
      <c r="M3879" s="21">
        <v>10798.738545898581</v>
      </c>
      <c r="N3879" s="42">
        <v>49.439411284648905</v>
      </c>
      <c r="O3879" s="43">
        <v>15720.627953731868</v>
      </c>
    </row>
    <row r="3880" spans="12:15" x14ac:dyDescent="0.2">
      <c r="L3880" s="4">
        <v>3874</v>
      </c>
      <c r="M3880" s="21">
        <v>29833.502479305345</v>
      </c>
      <c r="N3880" s="42">
        <v>50.663038372691858</v>
      </c>
      <c r="O3880" s="43">
        <v>13070.340085746269</v>
      </c>
    </row>
    <row r="3881" spans="12:15" x14ac:dyDescent="0.2">
      <c r="L3881" s="4">
        <v>3875</v>
      </c>
      <c r="M3881" s="21">
        <v>38491.604514358536</v>
      </c>
      <c r="N3881" s="42">
        <v>49.316205375967208</v>
      </c>
      <c r="O3881" s="43">
        <v>15316.822840444009</v>
      </c>
    </row>
    <row r="3882" spans="12:15" x14ac:dyDescent="0.2">
      <c r="L3882" s="4">
        <v>3876</v>
      </c>
      <c r="M3882" s="21">
        <v>27597.568042599014</v>
      </c>
      <c r="N3882" s="42">
        <v>48.603191593805292</v>
      </c>
      <c r="O3882" s="43">
        <v>16708.764898623289</v>
      </c>
    </row>
    <row r="3883" spans="12:15" x14ac:dyDescent="0.2">
      <c r="L3883" s="4">
        <v>3877</v>
      </c>
      <c r="M3883" s="21">
        <v>-179518.30167793966</v>
      </c>
      <c r="N3883" s="42">
        <v>45.495302564266062</v>
      </c>
      <c r="O3883" s="43">
        <v>17628.193290369534</v>
      </c>
    </row>
    <row r="3884" spans="12:15" x14ac:dyDescent="0.2">
      <c r="L3884" s="4">
        <v>3878</v>
      </c>
      <c r="M3884" s="21">
        <v>-303323.2566560285</v>
      </c>
      <c r="N3884" s="42">
        <v>51.71114021303913</v>
      </c>
      <c r="O3884" s="43">
        <v>11254.395050608164</v>
      </c>
    </row>
    <row r="3885" spans="12:15" x14ac:dyDescent="0.2">
      <c r="L3885" s="4">
        <v>3879</v>
      </c>
      <c r="M3885" s="21">
        <v>224777.90959055573</v>
      </c>
      <c r="N3885" s="42">
        <v>50.524900862539802</v>
      </c>
      <c r="O3885" s="43">
        <v>16315.813088061575</v>
      </c>
    </row>
    <row r="3886" spans="12:15" x14ac:dyDescent="0.2">
      <c r="L3886" s="4">
        <v>3880</v>
      </c>
      <c r="M3886" s="21">
        <v>87524.879389099078</v>
      </c>
      <c r="N3886" s="42">
        <v>49.659874461402119</v>
      </c>
      <c r="O3886" s="43">
        <v>16919.334205932748</v>
      </c>
    </row>
    <row r="3887" spans="12:15" x14ac:dyDescent="0.2">
      <c r="L3887" s="4">
        <v>3881</v>
      </c>
      <c r="M3887" s="21">
        <v>110370.94263346295</v>
      </c>
      <c r="N3887" s="42">
        <v>48.82713294897772</v>
      </c>
      <c r="O3887" s="43">
        <v>15870.168147284248</v>
      </c>
    </row>
    <row r="3888" spans="12:15" x14ac:dyDescent="0.2">
      <c r="L3888" s="4">
        <v>3882</v>
      </c>
      <c r="M3888" s="21">
        <v>181453.28943176175</v>
      </c>
      <c r="N3888" s="42">
        <v>51.031466102798049</v>
      </c>
      <c r="O3888" s="43">
        <v>14981.316066378577</v>
      </c>
    </row>
    <row r="3889" spans="12:15" x14ac:dyDescent="0.2">
      <c r="L3889" s="4">
        <v>3883</v>
      </c>
      <c r="M3889" s="21">
        <v>87646.551432446577</v>
      </c>
      <c r="N3889" s="42">
        <v>50.640006329593099</v>
      </c>
      <c r="O3889" s="43">
        <v>16118.931854422424</v>
      </c>
    </row>
    <row r="3890" spans="12:15" x14ac:dyDescent="0.2">
      <c r="L3890" s="4">
        <v>3884</v>
      </c>
      <c r="M3890" s="21">
        <v>180294.3132599612</v>
      </c>
      <c r="N3890" s="42">
        <v>47.786243348784147</v>
      </c>
      <c r="O3890" s="43">
        <v>16672.242821492906</v>
      </c>
    </row>
    <row r="3891" spans="12:15" x14ac:dyDescent="0.2">
      <c r="L3891" s="4">
        <v>3885</v>
      </c>
      <c r="M3891" s="21">
        <v>15071.444520660269</v>
      </c>
      <c r="N3891" s="42">
        <v>48.258351616756073</v>
      </c>
      <c r="O3891" s="43">
        <v>16572.47931321869</v>
      </c>
    </row>
    <row r="3892" spans="12:15" x14ac:dyDescent="0.2">
      <c r="L3892" s="4">
        <v>3886</v>
      </c>
      <c r="M3892" s="21">
        <v>-1186.9111776610371</v>
      </c>
      <c r="N3892" s="42">
        <v>49.198591746036136</v>
      </c>
      <c r="O3892" s="43">
        <v>15822.645814543766</v>
      </c>
    </row>
    <row r="3893" spans="12:15" x14ac:dyDescent="0.2">
      <c r="L3893" s="4">
        <v>3887</v>
      </c>
      <c r="M3893" s="21">
        <v>103899.87036728146</v>
      </c>
      <c r="N3893" s="42">
        <v>50.961019015445139</v>
      </c>
      <c r="O3893" s="43">
        <v>14828.723742422113</v>
      </c>
    </row>
    <row r="3894" spans="12:15" x14ac:dyDescent="0.2">
      <c r="L3894" s="4">
        <v>3888</v>
      </c>
      <c r="M3894" s="21">
        <v>7174.6882328281936</v>
      </c>
      <c r="N3894" s="42">
        <v>49.61131807691423</v>
      </c>
      <c r="O3894" s="43">
        <v>14825.145136660338</v>
      </c>
    </row>
    <row r="3895" spans="12:15" x14ac:dyDescent="0.2">
      <c r="L3895" s="4">
        <v>3889</v>
      </c>
      <c r="M3895" s="21">
        <v>-99189.705629101794</v>
      </c>
      <c r="N3895" s="42">
        <v>48.44720337481094</v>
      </c>
      <c r="O3895" s="43">
        <v>14509.831331751815</v>
      </c>
    </row>
    <row r="3896" spans="12:15" x14ac:dyDescent="0.2">
      <c r="L3896" s="4">
        <v>3890</v>
      </c>
      <c r="M3896" s="21">
        <v>184204.78088222881</v>
      </c>
      <c r="N3896" s="42">
        <v>51.462507457766172</v>
      </c>
      <c r="O3896" s="43">
        <v>15237.957209823573</v>
      </c>
    </row>
    <row r="3897" spans="12:15" x14ac:dyDescent="0.2">
      <c r="L3897" s="4">
        <v>3891</v>
      </c>
      <c r="M3897" s="21">
        <v>-64042.38402342498</v>
      </c>
      <c r="N3897" s="42">
        <v>46.695574699476914</v>
      </c>
      <c r="O3897" s="43">
        <v>16262.049238102572</v>
      </c>
    </row>
    <row r="3898" spans="12:15" x14ac:dyDescent="0.2">
      <c r="L3898" s="4">
        <v>3892</v>
      </c>
      <c r="M3898" s="21">
        <v>-179014.13377887727</v>
      </c>
      <c r="N3898" s="42">
        <v>49.14143807589388</v>
      </c>
      <c r="O3898" s="43">
        <v>13989.310005620846</v>
      </c>
    </row>
    <row r="3899" spans="12:15" x14ac:dyDescent="0.2">
      <c r="L3899" s="4">
        <v>3893</v>
      </c>
      <c r="M3899" s="21">
        <v>-56623.838977332751</v>
      </c>
      <c r="N3899" s="42">
        <v>49.778753026843873</v>
      </c>
      <c r="O3899" s="43">
        <v>14780.044160719586</v>
      </c>
    </row>
    <row r="3900" spans="12:15" x14ac:dyDescent="0.2">
      <c r="L3900" s="4">
        <v>3894</v>
      </c>
      <c r="M3900" s="21">
        <v>-9359.3782172820938</v>
      </c>
      <c r="N3900" s="42">
        <v>49.700082999481317</v>
      </c>
      <c r="O3900" s="43">
        <v>14543.373252673233</v>
      </c>
    </row>
    <row r="3901" spans="12:15" x14ac:dyDescent="0.2">
      <c r="L3901" s="4">
        <v>3895</v>
      </c>
      <c r="M3901" s="21">
        <v>53363.071142623172</v>
      </c>
      <c r="N3901" s="42">
        <v>51.109099920613161</v>
      </c>
      <c r="O3901" s="43">
        <v>14045.737537252795</v>
      </c>
    </row>
    <row r="3902" spans="12:15" x14ac:dyDescent="0.2">
      <c r="L3902" s="4">
        <v>3896</v>
      </c>
      <c r="M3902" s="21">
        <v>-198933.37194483238</v>
      </c>
      <c r="N3902" s="42">
        <v>45.706605540972333</v>
      </c>
      <c r="O3902" s="43">
        <v>14985.380985022826</v>
      </c>
    </row>
    <row r="3903" spans="12:15" x14ac:dyDescent="0.2">
      <c r="L3903" s="4">
        <v>3897</v>
      </c>
      <c r="M3903" s="21">
        <v>59452.319298694172</v>
      </c>
      <c r="N3903" s="42">
        <v>48.773313899164457</v>
      </c>
      <c r="O3903" s="43">
        <v>17284.528472406175</v>
      </c>
    </row>
    <row r="3904" spans="12:15" x14ac:dyDescent="0.2">
      <c r="L3904" s="4">
        <v>3898</v>
      </c>
      <c r="M3904" s="21">
        <v>14068.528244999266</v>
      </c>
      <c r="N3904" s="42">
        <v>48.096121025561956</v>
      </c>
      <c r="O3904" s="43">
        <v>16202.57201938477</v>
      </c>
    </row>
    <row r="3905" spans="12:15" x14ac:dyDescent="0.2">
      <c r="L3905" s="4">
        <v>3899</v>
      </c>
      <c r="M3905" s="21">
        <v>39787.630417540495</v>
      </c>
      <c r="N3905" s="42">
        <v>51.278113427787972</v>
      </c>
      <c r="O3905" s="43">
        <v>13348.929657313063</v>
      </c>
    </row>
    <row r="3906" spans="12:15" x14ac:dyDescent="0.2">
      <c r="L3906" s="4">
        <v>3900</v>
      </c>
      <c r="M3906" s="21">
        <v>-146897.36378953431</v>
      </c>
      <c r="N3906" s="42">
        <v>48.024635144690897</v>
      </c>
      <c r="O3906" s="43">
        <v>13998.537378511828</v>
      </c>
    </row>
    <row r="3907" spans="12:15" x14ac:dyDescent="0.2">
      <c r="L3907" s="4">
        <v>3901</v>
      </c>
      <c r="M3907" s="21">
        <v>43084.178247455187</v>
      </c>
      <c r="N3907" s="42">
        <v>51.264598822497547</v>
      </c>
      <c r="O3907" s="43">
        <v>14076.730306084004</v>
      </c>
    </row>
    <row r="3908" spans="12:15" x14ac:dyDescent="0.2">
      <c r="L3908" s="4">
        <v>3902</v>
      </c>
      <c r="M3908" s="21">
        <v>43494.610363384563</v>
      </c>
      <c r="N3908" s="42">
        <v>48.428958794765975</v>
      </c>
      <c r="O3908" s="43">
        <v>17421.446313142776</v>
      </c>
    </row>
    <row r="3909" spans="12:15" x14ac:dyDescent="0.2">
      <c r="L3909" s="4">
        <v>3903</v>
      </c>
      <c r="M3909" s="21">
        <v>94246.299739857292</v>
      </c>
      <c r="N3909" s="42">
        <v>49.132634378318606</v>
      </c>
      <c r="O3909" s="43">
        <v>16340.450293814849</v>
      </c>
    </row>
    <row r="3910" spans="12:15" x14ac:dyDescent="0.2">
      <c r="L3910" s="4">
        <v>3904</v>
      </c>
      <c r="M3910" s="21">
        <v>20392.321913443884</v>
      </c>
      <c r="N3910" s="42">
        <v>50.910210537802108</v>
      </c>
      <c r="O3910" s="43">
        <v>13209.869305129145</v>
      </c>
    </row>
    <row r="3911" spans="12:15" x14ac:dyDescent="0.2">
      <c r="L3911" s="4">
        <v>3905</v>
      </c>
      <c r="M3911" s="21">
        <v>147192.79521988763</v>
      </c>
      <c r="N3911" s="42">
        <v>49.316666064226631</v>
      </c>
      <c r="O3911" s="43">
        <v>17055.982886806181</v>
      </c>
    </row>
    <row r="3912" spans="12:15" x14ac:dyDescent="0.2">
      <c r="L3912" s="4">
        <v>3906</v>
      </c>
      <c r="M3912" s="21">
        <v>-12528.688262782249</v>
      </c>
      <c r="N3912" s="42">
        <v>50.420796670584906</v>
      </c>
      <c r="O3912" s="43">
        <v>15724.006117201952</v>
      </c>
    </row>
    <row r="3913" spans="12:15" x14ac:dyDescent="0.2">
      <c r="L3913" s="4">
        <v>3907</v>
      </c>
      <c r="M3913" s="21">
        <v>-107537.77503943539</v>
      </c>
      <c r="N3913" s="42">
        <v>48.270967277621921</v>
      </c>
      <c r="O3913" s="43">
        <v>16034.077219696577</v>
      </c>
    </row>
    <row r="3914" spans="12:15" x14ac:dyDescent="0.2">
      <c r="L3914" s="4">
        <v>3908</v>
      </c>
      <c r="M3914" s="21">
        <v>266223.2676240023</v>
      </c>
      <c r="N3914" s="42">
        <v>50.836993217938243</v>
      </c>
      <c r="O3914" s="43">
        <v>16101.4431410529</v>
      </c>
    </row>
    <row r="3915" spans="12:15" x14ac:dyDescent="0.2">
      <c r="L3915" s="4">
        <v>3909</v>
      </c>
      <c r="M3915" s="21">
        <v>87310.537672366394</v>
      </c>
      <c r="N3915" s="42">
        <v>49.246152313045748</v>
      </c>
      <c r="O3915" s="43">
        <v>14558.893072951436</v>
      </c>
    </row>
    <row r="3916" spans="12:15" x14ac:dyDescent="0.2">
      <c r="L3916" s="4">
        <v>3910</v>
      </c>
      <c r="M3916" s="21">
        <v>-225904.75306504528</v>
      </c>
      <c r="N3916" s="42">
        <v>44.952634184985392</v>
      </c>
      <c r="O3916" s="43">
        <v>17571.979689731837</v>
      </c>
    </row>
    <row r="3917" spans="12:15" x14ac:dyDescent="0.2">
      <c r="L3917" s="4">
        <v>3911</v>
      </c>
      <c r="M3917" s="21">
        <v>-187837.84994017717</v>
      </c>
      <c r="N3917" s="42">
        <v>51.319487963439585</v>
      </c>
      <c r="O3917" s="43">
        <v>11568.758492527562</v>
      </c>
    </row>
    <row r="3918" spans="12:15" x14ac:dyDescent="0.2">
      <c r="L3918" s="4">
        <v>3912</v>
      </c>
      <c r="M3918" s="21">
        <v>68476.809238153248</v>
      </c>
      <c r="N3918" s="42">
        <v>49.196214912110776</v>
      </c>
      <c r="O3918" s="43">
        <v>16119.337974943686</v>
      </c>
    </row>
    <row r="3919" spans="12:15" x14ac:dyDescent="0.2">
      <c r="L3919" s="4">
        <v>3913</v>
      </c>
      <c r="M3919" s="21">
        <v>-25451.981834494654</v>
      </c>
      <c r="N3919" s="42">
        <v>50.715355025412549</v>
      </c>
      <c r="O3919" s="43">
        <v>13749.692220637797</v>
      </c>
    </row>
    <row r="3920" spans="12:15" x14ac:dyDescent="0.2">
      <c r="L3920" s="4">
        <v>3914</v>
      </c>
      <c r="M3920" s="21">
        <v>-136826.91034323315</v>
      </c>
      <c r="N3920" s="42">
        <v>50.654893588059643</v>
      </c>
      <c r="O3920" s="43">
        <v>11995.184999868734</v>
      </c>
    </row>
    <row r="3921" spans="12:15" x14ac:dyDescent="0.2">
      <c r="L3921" s="4">
        <v>3915</v>
      </c>
      <c r="M3921" s="21">
        <v>153524.34466392291</v>
      </c>
      <c r="N3921" s="42">
        <v>51.009302040097829</v>
      </c>
      <c r="O3921" s="43">
        <v>16709.419213639059</v>
      </c>
    </row>
    <row r="3922" spans="12:15" x14ac:dyDescent="0.2">
      <c r="L3922" s="4">
        <v>3916</v>
      </c>
      <c r="M3922" s="21">
        <v>-63767.672143250267</v>
      </c>
      <c r="N3922" s="42">
        <v>49.044604090005649</v>
      </c>
      <c r="O3922" s="43">
        <v>14842.120525560476</v>
      </c>
    </row>
    <row r="3923" spans="12:15" x14ac:dyDescent="0.2">
      <c r="L3923" s="4">
        <v>3917</v>
      </c>
      <c r="M3923" s="21">
        <v>247267.34513231341</v>
      </c>
      <c r="N3923" s="42">
        <v>50.924324216322354</v>
      </c>
      <c r="O3923" s="43">
        <v>15768.971922178667</v>
      </c>
    </row>
    <row r="3924" spans="12:15" x14ac:dyDescent="0.2">
      <c r="L3924" s="4">
        <v>3918</v>
      </c>
      <c r="M3924" s="21">
        <v>88745.445431903849</v>
      </c>
      <c r="N3924" s="42">
        <v>50.871883203573752</v>
      </c>
      <c r="O3924" s="43">
        <v>14083.744157781153</v>
      </c>
    </row>
    <row r="3925" spans="12:15" x14ac:dyDescent="0.2">
      <c r="L3925" s="4">
        <v>3919</v>
      </c>
      <c r="M3925" s="21">
        <v>-185528.30482983502</v>
      </c>
      <c r="N3925" s="42">
        <v>45.457360476474136</v>
      </c>
      <c r="O3925" s="43">
        <v>18315.572345372024</v>
      </c>
    </row>
    <row r="3926" spans="12:15" x14ac:dyDescent="0.2">
      <c r="L3926" s="4">
        <v>3920</v>
      </c>
      <c r="M3926" s="21">
        <v>199690.73022044939</v>
      </c>
      <c r="N3926" s="42">
        <v>50.964090652131368</v>
      </c>
      <c r="O3926" s="43">
        <v>17469.52005896292</v>
      </c>
    </row>
    <row r="3927" spans="12:15" x14ac:dyDescent="0.2">
      <c r="L3927" s="4">
        <v>3921</v>
      </c>
      <c r="M3927" s="21">
        <v>-3079.9844198630017</v>
      </c>
      <c r="N3927" s="42">
        <v>48.945890996134509</v>
      </c>
      <c r="O3927" s="43">
        <v>15727.752736626617</v>
      </c>
    </row>
    <row r="3928" spans="12:15" x14ac:dyDescent="0.2">
      <c r="L3928" s="4">
        <v>3922</v>
      </c>
      <c r="M3928" s="21">
        <v>66713.237851171609</v>
      </c>
      <c r="N3928" s="42">
        <v>48.435069307604941</v>
      </c>
      <c r="O3928" s="43">
        <v>17097.133890011679</v>
      </c>
    </row>
    <row r="3929" spans="12:15" x14ac:dyDescent="0.2">
      <c r="L3929" s="4">
        <v>3923</v>
      </c>
      <c r="M3929" s="21">
        <v>82014.67735535989</v>
      </c>
      <c r="N3929" s="42">
        <v>50.692870045073221</v>
      </c>
      <c r="O3929" s="43">
        <v>14754.005108643834</v>
      </c>
    </row>
    <row r="3930" spans="12:15" x14ac:dyDescent="0.2">
      <c r="L3930" s="4">
        <v>3924</v>
      </c>
      <c r="M3930" s="21">
        <v>139114.8072298101</v>
      </c>
      <c r="N3930" s="42">
        <v>49.975232358140275</v>
      </c>
      <c r="O3930" s="43">
        <v>16453.662462209264</v>
      </c>
    </row>
    <row r="3931" spans="12:15" x14ac:dyDescent="0.2">
      <c r="L3931" s="4">
        <v>3925</v>
      </c>
      <c r="M3931" s="21">
        <v>-138222.77032561501</v>
      </c>
      <c r="N3931" s="42">
        <v>49.641651424484131</v>
      </c>
      <c r="O3931" s="43">
        <v>13676.19447199159</v>
      </c>
    </row>
    <row r="3932" spans="12:15" x14ac:dyDescent="0.2">
      <c r="L3932" s="4">
        <v>3926</v>
      </c>
      <c r="M3932" s="21">
        <v>136637.60608972399</v>
      </c>
      <c r="N3932" s="42">
        <v>48.535378757850204</v>
      </c>
      <c r="O3932" s="43">
        <v>15840.775373652068</v>
      </c>
    </row>
    <row r="3933" spans="12:15" x14ac:dyDescent="0.2">
      <c r="L3933" s="4">
        <v>3927</v>
      </c>
      <c r="M3933" s="21">
        <v>22784.788574354228</v>
      </c>
      <c r="N3933" s="42">
        <v>51.625784910156838</v>
      </c>
      <c r="O3933" s="43">
        <v>13083.32221612208</v>
      </c>
    </row>
    <row r="3934" spans="12:15" x14ac:dyDescent="0.2">
      <c r="L3934" s="4">
        <v>3928</v>
      </c>
      <c r="M3934" s="21">
        <v>106709.95220781118</v>
      </c>
      <c r="N3934" s="42">
        <v>51.052082200997425</v>
      </c>
      <c r="O3934" s="43">
        <v>15139.289801091454</v>
      </c>
    </row>
    <row r="3935" spans="12:15" x14ac:dyDescent="0.2">
      <c r="L3935" s="4">
        <v>3929</v>
      </c>
      <c r="M3935" s="21">
        <v>-126340.53811375597</v>
      </c>
      <c r="N3935" s="42">
        <v>49.906557275633794</v>
      </c>
      <c r="O3935" s="43">
        <v>13029.996441171248</v>
      </c>
    </row>
    <row r="3936" spans="12:15" x14ac:dyDescent="0.2">
      <c r="L3936" s="4">
        <v>3930</v>
      </c>
      <c r="M3936" s="21">
        <v>92542.009983925731</v>
      </c>
      <c r="N3936" s="42">
        <v>48.910232511950198</v>
      </c>
      <c r="O3936" s="43">
        <v>16409.490289729583</v>
      </c>
    </row>
    <row r="3937" spans="12:15" x14ac:dyDescent="0.2">
      <c r="L3937" s="4">
        <v>3931</v>
      </c>
      <c r="M3937" s="21">
        <v>-18671.57039282225</v>
      </c>
      <c r="N3937" s="42">
        <v>49.710099934208102</v>
      </c>
      <c r="O3937" s="43">
        <v>13885.249179866236</v>
      </c>
    </row>
    <row r="3938" spans="12:15" x14ac:dyDescent="0.2">
      <c r="L3938" s="4">
        <v>3932</v>
      </c>
      <c r="M3938" s="21">
        <v>-104541.19046113125</v>
      </c>
      <c r="N3938" s="42">
        <v>49.961871947538668</v>
      </c>
      <c r="O3938" s="43">
        <v>13944.239203158222</v>
      </c>
    </row>
    <row r="3939" spans="12:15" x14ac:dyDescent="0.2">
      <c r="L3939" s="4">
        <v>3933</v>
      </c>
      <c r="M3939" s="21">
        <v>104329.10702002147</v>
      </c>
      <c r="N3939" s="42">
        <v>50.593605488785158</v>
      </c>
      <c r="O3939" s="43">
        <v>15363.187269470471</v>
      </c>
    </row>
    <row r="3940" spans="12:15" x14ac:dyDescent="0.2">
      <c r="L3940" s="4">
        <v>3934</v>
      </c>
      <c r="M3940" s="21">
        <v>-134109.55962606039</v>
      </c>
      <c r="N3940" s="42">
        <v>50.91643931510373</v>
      </c>
      <c r="O3940" s="43">
        <v>13697.330692685851</v>
      </c>
    </row>
    <row r="3941" spans="12:15" x14ac:dyDescent="0.2">
      <c r="L3941" s="4">
        <v>3935</v>
      </c>
      <c r="M3941" s="21">
        <v>7431.2920146164251</v>
      </c>
      <c r="N3941" s="42">
        <v>48.23165635132856</v>
      </c>
      <c r="O3941" s="43">
        <v>13917.465149714146</v>
      </c>
    </row>
    <row r="3942" spans="12:15" x14ac:dyDescent="0.2">
      <c r="L3942" s="4">
        <v>3936</v>
      </c>
      <c r="M3942" s="21">
        <v>133425.19057066078</v>
      </c>
      <c r="N3942" s="42">
        <v>49.07575575311153</v>
      </c>
      <c r="O3942" s="43">
        <v>17623.311013203966</v>
      </c>
    </row>
    <row r="3943" spans="12:15" x14ac:dyDescent="0.2">
      <c r="L3943" s="4">
        <v>3937</v>
      </c>
      <c r="M3943" s="21">
        <v>-101830.30681763469</v>
      </c>
      <c r="N3943" s="42">
        <v>51.711489228181584</v>
      </c>
      <c r="O3943" s="43">
        <v>11577.865540558993</v>
      </c>
    </row>
    <row r="3944" spans="12:15" x14ac:dyDescent="0.2">
      <c r="L3944" s="4">
        <v>3938</v>
      </c>
      <c r="M3944" s="21">
        <v>-104941.42289430572</v>
      </c>
      <c r="N3944" s="42">
        <v>51.057624868866611</v>
      </c>
      <c r="O3944" s="43">
        <v>12519.313222569217</v>
      </c>
    </row>
    <row r="3945" spans="12:15" x14ac:dyDescent="0.2">
      <c r="L3945" s="4">
        <v>3939</v>
      </c>
      <c r="M3945" s="21">
        <v>-55632.630907486717</v>
      </c>
      <c r="N3945" s="42">
        <v>49.484818179496095</v>
      </c>
      <c r="O3945" s="43">
        <v>14941.941246021792</v>
      </c>
    </row>
    <row r="3946" spans="12:15" x14ac:dyDescent="0.2">
      <c r="L3946" s="4">
        <v>3940</v>
      </c>
      <c r="M3946" s="21">
        <v>231384.94162914419</v>
      </c>
      <c r="N3946" s="42">
        <v>50.449912477817811</v>
      </c>
      <c r="O3946" s="43">
        <v>16830.78904367876</v>
      </c>
    </row>
    <row r="3947" spans="12:15" x14ac:dyDescent="0.2">
      <c r="L3947" s="4">
        <v>3941</v>
      </c>
      <c r="M3947" s="21">
        <v>71626.333541347441</v>
      </c>
      <c r="N3947" s="42">
        <v>49.127145572375056</v>
      </c>
      <c r="O3947" s="43">
        <v>16261.787781286006</v>
      </c>
    </row>
    <row r="3948" spans="12:15" x14ac:dyDescent="0.2">
      <c r="L3948" s="4">
        <v>3942</v>
      </c>
      <c r="M3948" s="21">
        <v>-55251.817803362486</v>
      </c>
      <c r="N3948" s="42">
        <v>50.981274986737581</v>
      </c>
      <c r="O3948" s="43">
        <v>13497.217055880326</v>
      </c>
    </row>
    <row r="3949" spans="12:15" x14ac:dyDescent="0.2">
      <c r="L3949" s="4">
        <v>3943</v>
      </c>
      <c r="M3949" s="21">
        <v>-103415.71436122429</v>
      </c>
      <c r="N3949" s="42">
        <v>47.572508381799054</v>
      </c>
      <c r="O3949" s="43">
        <v>15321.325793536267</v>
      </c>
    </row>
    <row r="3950" spans="12:15" x14ac:dyDescent="0.2">
      <c r="L3950" s="4">
        <v>3944</v>
      </c>
      <c r="M3950" s="21">
        <v>69824.168979622977</v>
      </c>
      <c r="N3950" s="42">
        <v>49.489413228387548</v>
      </c>
      <c r="O3950" s="43">
        <v>14784.645743900115</v>
      </c>
    </row>
    <row r="3951" spans="12:15" x14ac:dyDescent="0.2">
      <c r="L3951" s="4">
        <v>3945</v>
      </c>
      <c r="M3951" s="21">
        <v>210771.99356097067</v>
      </c>
      <c r="N3951" s="42">
        <v>50.954617286658745</v>
      </c>
      <c r="O3951" s="43">
        <v>14936.402373473898</v>
      </c>
    </row>
    <row r="3952" spans="12:15" x14ac:dyDescent="0.2">
      <c r="L3952" s="4">
        <v>3946</v>
      </c>
      <c r="M3952" s="21">
        <v>-62220.195484170763</v>
      </c>
      <c r="N3952" s="42">
        <v>48.837669036462856</v>
      </c>
      <c r="O3952" s="43">
        <v>14923.228655312936</v>
      </c>
    </row>
    <row r="3953" spans="12:15" x14ac:dyDescent="0.2">
      <c r="L3953" s="4">
        <v>3947</v>
      </c>
      <c r="M3953" s="21">
        <v>-124710.28821090586</v>
      </c>
      <c r="N3953" s="42">
        <v>50.817334994245684</v>
      </c>
      <c r="O3953" s="43">
        <v>13153.245641819442</v>
      </c>
    </row>
    <row r="3954" spans="12:15" x14ac:dyDescent="0.2">
      <c r="L3954" s="4">
        <v>3948</v>
      </c>
      <c r="M3954" s="21">
        <v>-278817.14699494769</v>
      </c>
      <c r="N3954" s="42">
        <v>46.154717611747891</v>
      </c>
      <c r="O3954" s="43">
        <v>15976.614357600023</v>
      </c>
    </row>
    <row r="3955" spans="12:15" x14ac:dyDescent="0.2">
      <c r="L3955" s="4">
        <v>3949</v>
      </c>
      <c r="M3955" s="21">
        <v>217819.25497796433</v>
      </c>
      <c r="N3955" s="42">
        <v>50.264135020824739</v>
      </c>
      <c r="O3955" s="43">
        <v>15592.912305855667</v>
      </c>
    </row>
    <row r="3956" spans="12:15" x14ac:dyDescent="0.2">
      <c r="L3956" s="4">
        <v>3950</v>
      </c>
      <c r="M3956" s="21">
        <v>132008.73504505964</v>
      </c>
      <c r="N3956" s="42">
        <v>48.247521424906786</v>
      </c>
      <c r="O3956" s="43">
        <v>15663.106143719529</v>
      </c>
    </row>
    <row r="3957" spans="12:15" x14ac:dyDescent="0.2">
      <c r="L3957" s="4">
        <v>3951</v>
      </c>
      <c r="M3957" s="21">
        <v>160110.69629383757</v>
      </c>
      <c r="N3957" s="42">
        <v>49.91329276728213</v>
      </c>
      <c r="O3957" s="43">
        <v>18282.072672791506</v>
      </c>
    </row>
    <row r="3958" spans="12:15" x14ac:dyDescent="0.2">
      <c r="L3958" s="4">
        <v>3952</v>
      </c>
      <c r="M3958" s="21">
        <v>101860.18141982798</v>
      </c>
      <c r="N3958" s="42">
        <v>50.257859449963654</v>
      </c>
      <c r="O3958" s="43">
        <v>15511.232252910093</v>
      </c>
    </row>
    <row r="3959" spans="12:15" x14ac:dyDescent="0.2">
      <c r="L3959" s="4">
        <v>3953</v>
      </c>
      <c r="M3959" s="21">
        <v>9699.1897199968225</v>
      </c>
      <c r="N3959" s="42">
        <v>49.608136569321552</v>
      </c>
      <c r="O3959" s="43">
        <v>14164.517041987072</v>
      </c>
    </row>
    <row r="3960" spans="12:15" x14ac:dyDescent="0.2">
      <c r="L3960" s="4">
        <v>3954</v>
      </c>
      <c r="M3960" s="21">
        <v>-76261.920033634364</v>
      </c>
      <c r="N3960" s="42">
        <v>47.939385437998645</v>
      </c>
      <c r="O3960" s="43">
        <v>15260.173502116886</v>
      </c>
    </row>
    <row r="3961" spans="12:15" x14ac:dyDescent="0.2">
      <c r="L3961" s="4">
        <v>3955</v>
      </c>
      <c r="M3961" s="21">
        <v>-47019.515989404914</v>
      </c>
      <c r="N3961" s="42">
        <v>48.810936705906627</v>
      </c>
      <c r="O3961" s="43">
        <v>14676.343546393256</v>
      </c>
    </row>
    <row r="3962" spans="12:15" x14ac:dyDescent="0.2">
      <c r="L3962" s="4">
        <v>3956</v>
      </c>
      <c r="M3962" s="21">
        <v>-154871.65045386425</v>
      </c>
      <c r="N3962" s="42">
        <v>48.408031743180786</v>
      </c>
      <c r="O3962" s="43">
        <v>13510.825993115717</v>
      </c>
    </row>
    <row r="3963" spans="12:15" x14ac:dyDescent="0.2">
      <c r="L3963" s="4">
        <v>3957</v>
      </c>
      <c r="M3963" s="21">
        <v>38374.46686686232</v>
      </c>
      <c r="N3963" s="42">
        <v>50.800049002897566</v>
      </c>
      <c r="O3963" s="43">
        <v>14025.32536263743</v>
      </c>
    </row>
    <row r="3964" spans="12:15" x14ac:dyDescent="0.2">
      <c r="L3964" s="4">
        <v>3958</v>
      </c>
      <c r="M3964" s="21">
        <v>-36988.14576501488</v>
      </c>
      <c r="N3964" s="42">
        <v>48.333109862646751</v>
      </c>
      <c r="O3964" s="43">
        <v>14985.816234982371</v>
      </c>
    </row>
    <row r="3965" spans="12:15" x14ac:dyDescent="0.2">
      <c r="L3965" s="4">
        <v>3959</v>
      </c>
      <c r="M3965" s="21">
        <v>-39835.244788014286</v>
      </c>
      <c r="N3965" s="42">
        <v>48.742468741992226</v>
      </c>
      <c r="O3965" s="43">
        <v>16626.072593047666</v>
      </c>
    </row>
    <row r="3966" spans="12:15" x14ac:dyDescent="0.2">
      <c r="L3966" s="4">
        <v>3960</v>
      </c>
      <c r="M3966" s="21">
        <v>-141023.35533475544</v>
      </c>
      <c r="N3966" s="42">
        <v>50.858170851443354</v>
      </c>
      <c r="O3966" s="43">
        <v>13133.554271483086</v>
      </c>
    </row>
    <row r="3967" spans="12:15" x14ac:dyDescent="0.2">
      <c r="L3967" s="4">
        <v>3961</v>
      </c>
      <c r="M3967" s="21">
        <v>-113760.05102089886</v>
      </c>
      <c r="N3967" s="42">
        <v>47.943439835819348</v>
      </c>
      <c r="O3967" s="43">
        <v>16040.592222797259</v>
      </c>
    </row>
    <row r="3968" spans="12:15" x14ac:dyDescent="0.2">
      <c r="L3968" s="4">
        <v>3962</v>
      </c>
      <c r="M3968" s="21">
        <v>-155262.35498927269</v>
      </c>
      <c r="N3968" s="42">
        <v>48.714838091104667</v>
      </c>
      <c r="O3968" s="43">
        <v>13637.754627180853</v>
      </c>
    </row>
    <row r="3969" spans="12:15" x14ac:dyDescent="0.2">
      <c r="L3969" s="4">
        <v>3963</v>
      </c>
      <c r="M3969" s="21">
        <v>-48178.85198136112</v>
      </c>
      <c r="N3969" s="42">
        <v>50.401541929487301</v>
      </c>
      <c r="O3969" s="43">
        <v>14826.353373028547</v>
      </c>
    </row>
    <row r="3970" spans="12:15" x14ac:dyDescent="0.2">
      <c r="L3970" s="4">
        <v>3964</v>
      </c>
      <c r="M3970" s="21">
        <v>-4841.810237609825</v>
      </c>
      <c r="N3970" s="42">
        <v>48.966333304965843</v>
      </c>
      <c r="O3970" s="43">
        <v>16207.674269457801</v>
      </c>
    </row>
    <row r="3971" spans="12:15" x14ac:dyDescent="0.2">
      <c r="L3971" s="4">
        <v>3965</v>
      </c>
      <c r="M3971" s="21">
        <v>-176795.88386854585</v>
      </c>
      <c r="N3971" s="42">
        <v>46.967192023606223</v>
      </c>
      <c r="O3971" s="43">
        <v>14948.271236782675</v>
      </c>
    </row>
    <row r="3972" spans="12:15" x14ac:dyDescent="0.2">
      <c r="L3972" s="4">
        <v>3966</v>
      </c>
      <c r="M3972" s="21">
        <v>48143.522182792658</v>
      </c>
      <c r="N3972" s="42">
        <v>50.797143573144055</v>
      </c>
      <c r="O3972" s="43">
        <v>13763.675558183457</v>
      </c>
    </row>
    <row r="3973" spans="12:15" x14ac:dyDescent="0.2">
      <c r="L3973" s="4">
        <v>3967</v>
      </c>
      <c r="M3973" s="21">
        <v>212050.50718416291</v>
      </c>
      <c r="N3973" s="42">
        <v>49.538270806479709</v>
      </c>
      <c r="O3973" s="43">
        <v>17213.795120383998</v>
      </c>
    </row>
    <row r="3974" spans="12:15" x14ac:dyDescent="0.2">
      <c r="L3974" s="4">
        <v>3968</v>
      </c>
      <c r="M3974" s="21">
        <v>184998.83252074645</v>
      </c>
      <c r="N3974" s="42">
        <v>50.160844239185813</v>
      </c>
      <c r="O3974" s="43">
        <v>16249.227458875725</v>
      </c>
    </row>
    <row r="3975" spans="12:15" x14ac:dyDescent="0.2">
      <c r="L3975" s="4">
        <v>3969</v>
      </c>
      <c r="M3975" s="21">
        <v>47719.499554481416</v>
      </c>
      <c r="N3975" s="42">
        <v>50.540436359880808</v>
      </c>
      <c r="O3975" s="43">
        <v>14859.640012862566</v>
      </c>
    </row>
    <row r="3976" spans="12:15" x14ac:dyDescent="0.2">
      <c r="L3976" s="4">
        <v>3970</v>
      </c>
      <c r="M3976" s="21">
        <v>-56711.087514272658</v>
      </c>
      <c r="N3976" s="42">
        <v>48.571313652897445</v>
      </c>
      <c r="O3976" s="43">
        <v>15688.952337179782</v>
      </c>
    </row>
    <row r="3977" spans="12:15" x14ac:dyDescent="0.2">
      <c r="L3977" s="4">
        <v>3971</v>
      </c>
      <c r="M3977" s="21">
        <v>-133972.20484353486</v>
      </c>
      <c r="N3977" s="42">
        <v>50.094934288355716</v>
      </c>
      <c r="O3977" s="43">
        <v>13557.758340005757</v>
      </c>
    </row>
    <row r="3978" spans="12:15" x14ac:dyDescent="0.2">
      <c r="L3978" s="4">
        <v>3972</v>
      </c>
      <c r="M3978" s="21">
        <v>-131865.69798706443</v>
      </c>
      <c r="N3978" s="42">
        <v>50.546404247270566</v>
      </c>
      <c r="O3978" s="43">
        <v>13647.296678039487</v>
      </c>
    </row>
    <row r="3979" spans="12:15" x14ac:dyDescent="0.2">
      <c r="L3979" s="4">
        <v>3973</v>
      </c>
      <c r="M3979" s="21">
        <v>120329.23451487152</v>
      </c>
      <c r="N3979" s="42">
        <v>49.383553960494503</v>
      </c>
      <c r="O3979" s="43">
        <v>15249.543097481865</v>
      </c>
    </row>
    <row r="3980" spans="12:15" x14ac:dyDescent="0.2">
      <c r="L3980" s="4">
        <v>3974</v>
      </c>
      <c r="M3980" s="21">
        <v>-5754.3481354685209</v>
      </c>
      <c r="N3980" s="42">
        <v>47.731857100310037</v>
      </c>
      <c r="O3980" s="43">
        <v>15558.988414448911</v>
      </c>
    </row>
    <row r="3981" spans="12:15" x14ac:dyDescent="0.2">
      <c r="L3981" s="4">
        <v>3975</v>
      </c>
      <c r="M3981" s="21">
        <v>-189956.62552584358</v>
      </c>
      <c r="N3981" s="42">
        <v>51.844806431177169</v>
      </c>
      <c r="O3981" s="43">
        <v>12015.509824376746</v>
      </c>
    </row>
    <row r="3982" spans="12:15" x14ac:dyDescent="0.2">
      <c r="L3982" s="4">
        <v>3976</v>
      </c>
      <c r="M3982" s="21">
        <v>16514.062566079607</v>
      </c>
      <c r="N3982" s="42">
        <v>50.859790340236373</v>
      </c>
      <c r="O3982" s="43">
        <v>14723.195689588547</v>
      </c>
    </row>
    <row r="3983" spans="12:15" x14ac:dyDescent="0.2">
      <c r="L3983" s="4">
        <v>3977</v>
      </c>
      <c r="M3983" s="21">
        <v>-360484.11343612953</v>
      </c>
      <c r="N3983" s="42">
        <v>50.847115106993584</v>
      </c>
      <c r="O3983" s="43">
        <v>9782.3348802686742</v>
      </c>
    </row>
    <row r="3984" spans="12:15" x14ac:dyDescent="0.2">
      <c r="L3984" s="4">
        <v>3978</v>
      </c>
      <c r="M3984" s="21">
        <v>-79536.478620826965</v>
      </c>
      <c r="N3984" s="42">
        <v>51.117096827476367</v>
      </c>
      <c r="O3984" s="43">
        <v>12006.785183441571</v>
      </c>
    </row>
    <row r="3985" spans="12:15" x14ac:dyDescent="0.2">
      <c r="L3985" s="4">
        <v>3979</v>
      </c>
      <c r="M3985" s="21">
        <v>-142012.37654507987</v>
      </c>
      <c r="N3985" s="42">
        <v>48.521114483439234</v>
      </c>
      <c r="O3985" s="43">
        <v>15111.009566186007</v>
      </c>
    </row>
    <row r="3986" spans="12:15" x14ac:dyDescent="0.2">
      <c r="L3986" s="4">
        <v>3980</v>
      </c>
      <c r="M3986" s="21">
        <v>123148.9487061089</v>
      </c>
      <c r="N3986" s="42">
        <v>50.330401414874032</v>
      </c>
      <c r="O3986" s="43">
        <v>15941.690006761804</v>
      </c>
    </row>
    <row r="3987" spans="12:15" x14ac:dyDescent="0.2">
      <c r="L3987" s="4">
        <v>3981</v>
      </c>
      <c r="M3987" s="21">
        <v>27563.802782421611</v>
      </c>
      <c r="N3987" s="42">
        <v>49.563317389311457</v>
      </c>
      <c r="O3987" s="43">
        <v>15061.472997360239</v>
      </c>
    </row>
    <row r="3988" spans="12:15" x14ac:dyDescent="0.2">
      <c r="L3988" s="4">
        <v>3982</v>
      </c>
      <c r="M3988" s="21">
        <v>-201650.01565043797</v>
      </c>
      <c r="N3988" s="42">
        <v>46.645355717737417</v>
      </c>
      <c r="O3988" s="43">
        <v>14331.684880207802</v>
      </c>
    </row>
    <row r="3989" spans="12:15" x14ac:dyDescent="0.2">
      <c r="L3989" s="4">
        <v>3983</v>
      </c>
      <c r="M3989" s="21">
        <v>-190524.90464471729</v>
      </c>
      <c r="N3989" s="42">
        <v>49.741087645603457</v>
      </c>
      <c r="O3989" s="43">
        <v>12557.357624195498</v>
      </c>
    </row>
    <row r="3990" spans="12:15" x14ac:dyDescent="0.2">
      <c r="L3990" s="4">
        <v>3984</v>
      </c>
      <c r="M3990" s="21">
        <v>98825.29579866436</v>
      </c>
      <c r="N3990" s="42">
        <v>49.957371482688117</v>
      </c>
      <c r="O3990" s="43">
        <v>16110.924492690916</v>
      </c>
    </row>
    <row r="3991" spans="12:15" x14ac:dyDescent="0.2">
      <c r="L3991" s="4">
        <v>3985</v>
      </c>
      <c r="M3991" s="21">
        <v>-16146.806038060997</v>
      </c>
      <c r="N3991" s="42">
        <v>50.576255121864072</v>
      </c>
      <c r="O3991" s="43">
        <v>13875.779469611347</v>
      </c>
    </row>
    <row r="3992" spans="12:15" x14ac:dyDescent="0.2">
      <c r="L3992" s="4">
        <v>3986</v>
      </c>
      <c r="M3992" s="21">
        <v>15672.867886895139</v>
      </c>
      <c r="N3992" s="42">
        <v>47.922057153897832</v>
      </c>
      <c r="O3992" s="43">
        <v>16256.447507860557</v>
      </c>
    </row>
    <row r="3993" spans="12:15" x14ac:dyDescent="0.2">
      <c r="L3993" s="4">
        <v>3987</v>
      </c>
      <c r="M3993" s="21">
        <v>24607.93096450856</v>
      </c>
      <c r="N3993" s="42">
        <v>49.708269794707647</v>
      </c>
      <c r="O3993" s="43">
        <v>15226.051602247575</v>
      </c>
    </row>
    <row r="3994" spans="12:15" x14ac:dyDescent="0.2">
      <c r="L3994" s="4">
        <v>3988</v>
      </c>
      <c r="M3994" s="21">
        <v>-6871.4827254592965</v>
      </c>
      <c r="N3994" s="42">
        <v>48.930089868953857</v>
      </c>
      <c r="O3994" s="43">
        <v>15312.790992379811</v>
      </c>
    </row>
    <row r="3995" spans="12:15" x14ac:dyDescent="0.2">
      <c r="L3995" s="4">
        <v>3989</v>
      </c>
      <c r="M3995" s="21">
        <v>-12117.763100488824</v>
      </c>
      <c r="N3995" s="42">
        <v>49.69890557156468</v>
      </c>
      <c r="O3995" s="43">
        <v>14793.147480590822</v>
      </c>
    </row>
    <row r="3996" spans="12:15" x14ac:dyDescent="0.2">
      <c r="L3996" s="4">
        <v>3990</v>
      </c>
      <c r="M3996" s="21">
        <v>118559.44913334804</v>
      </c>
      <c r="N3996" s="42">
        <v>49.364305376107588</v>
      </c>
      <c r="O3996" s="43">
        <v>17251.727356949421</v>
      </c>
    </row>
    <row r="3997" spans="12:15" x14ac:dyDescent="0.2">
      <c r="L3997" s="4">
        <v>3991</v>
      </c>
      <c r="M3997" s="21">
        <v>196413.06167899651</v>
      </c>
      <c r="N3997" s="42">
        <v>51.112171285880429</v>
      </c>
      <c r="O3997" s="43">
        <v>15612.652561548046</v>
      </c>
    </row>
    <row r="3998" spans="12:15" x14ac:dyDescent="0.2">
      <c r="L3998" s="4">
        <v>3992</v>
      </c>
      <c r="M3998" s="21">
        <v>42043.939970492502</v>
      </c>
      <c r="N3998" s="42">
        <v>50.006352854074279</v>
      </c>
      <c r="O3998" s="43">
        <v>14265.964738477964</v>
      </c>
    </row>
    <row r="3999" spans="12:15" x14ac:dyDescent="0.2">
      <c r="L3999" s="4">
        <v>3993</v>
      </c>
      <c r="M3999" s="21">
        <v>95571.317094115802</v>
      </c>
      <c r="N3999" s="42">
        <v>50.938988080297968</v>
      </c>
      <c r="O3999" s="43">
        <v>14611.463347522133</v>
      </c>
    </row>
    <row r="4000" spans="12:15" x14ac:dyDescent="0.2">
      <c r="L4000" s="4">
        <v>3994</v>
      </c>
      <c r="M4000" s="21">
        <v>23691.593486960977</v>
      </c>
      <c r="N4000" s="42">
        <v>48.051667423271198</v>
      </c>
      <c r="O4000" s="43">
        <v>16001.515283895202</v>
      </c>
    </row>
    <row r="4001" spans="12:15" x14ac:dyDescent="0.2">
      <c r="L4001" s="4">
        <v>3995</v>
      </c>
      <c r="M4001" s="21">
        <v>108782.84142372647</v>
      </c>
      <c r="N4001" s="42">
        <v>51.833272000870153</v>
      </c>
      <c r="O4001" s="43">
        <v>14616.872409978985</v>
      </c>
    </row>
    <row r="4002" spans="12:15" x14ac:dyDescent="0.2">
      <c r="L4002" s="4">
        <v>3996</v>
      </c>
      <c r="M4002" s="21">
        <v>-108365.57477319791</v>
      </c>
      <c r="N4002" s="42">
        <v>50.361505179677671</v>
      </c>
      <c r="O4002" s="43">
        <v>14365.125413868534</v>
      </c>
    </row>
    <row r="4003" spans="12:15" x14ac:dyDescent="0.2">
      <c r="L4003" s="4">
        <v>3997</v>
      </c>
      <c r="M4003" s="21">
        <v>-125205.22956459777</v>
      </c>
      <c r="N4003" s="42">
        <v>46.587630034465093</v>
      </c>
      <c r="O4003" s="43">
        <v>16219.24659796513</v>
      </c>
    </row>
    <row r="4004" spans="12:15" x14ac:dyDescent="0.2">
      <c r="L4004" s="4">
        <v>3998</v>
      </c>
      <c r="M4004" s="21">
        <v>-185489.81465203941</v>
      </c>
      <c r="N4004" s="42">
        <v>47.671238366857779</v>
      </c>
      <c r="O4004" s="43">
        <v>15697.151725004809</v>
      </c>
    </row>
    <row r="4005" spans="12:15" x14ac:dyDescent="0.2">
      <c r="L4005" s="4">
        <v>3999</v>
      </c>
      <c r="M4005" s="21">
        <v>92483.44276225628</v>
      </c>
      <c r="N4005" s="42">
        <v>48.298684393085573</v>
      </c>
      <c r="O4005" s="43">
        <v>16360.732676033367</v>
      </c>
    </row>
    <row r="4006" spans="12:15" x14ac:dyDescent="0.2">
      <c r="L4006" s="4">
        <v>4000</v>
      </c>
      <c r="M4006" s="21">
        <v>-61612.830915493803</v>
      </c>
      <c r="N4006" s="42">
        <v>51.274783275271083</v>
      </c>
      <c r="O4006" s="43">
        <v>12249.953990738833</v>
      </c>
    </row>
    <row r="4007" spans="12:15" x14ac:dyDescent="0.2">
      <c r="L4007" s="4">
        <v>4001</v>
      </c>
      <c r="M4007" s="21">
        <v>-14259.634814233432</v>
      </c>
      <c r="N4007" s="42">
        <v>48.218954626040933</v>
      </c>
      <c r="O4007" s="43">
        <v>16734.027667684299</v>
      </c>
    </row>
    <row r="4008" spans="12:15" x14ac:dyDescent="0.2">
      <c r="L4008" s="4">
        <v>4002</v>
      </c>
      <c r="M4008" s="21">
        <v>-48339.11484492477</v>
      </c>
      <c r="N4008" s="42">
        <v>51.643811743126804</v>
      </c>
      <c r="O4008" s="43">
        <v>12733.387965710455</v>
      </c>
    </row>
    <row r="4009" spans="12:15" x14ac:dyDescent="0.2">
      <c r="L4009" s="4">
        <v>4003</v>
      </c>
      <c r="M4009" s="21">
        <v>-55383.017278386178</v>
      </c>
      <c r="N4009" s="42">
        <v>48.102934466857832</v>
      </c>
      <c r="O4009" s="43">
        <v>14215.357149076877</v>
      </c>
    </row>
    <row r="4010" spans="12:15" x14ac:dyDescent="0.2">
      <c r="L4010" s="4">
        <v>4004</v>
      </c>
      <c r="M4010" s="21">
        <v>83087.392006356531</v>
      </c>
      <c r="N4010" s="42">
        <v>48.162479059046774</v>
      </c>
      <c r="O4010" s="43">
        <v>15766.14349770226</v>
      </c>
    </row>
    <row r="4011" spans="12:15" x14ac:dyDescent="0.2">
      <c r="L4011" s="4">
        <v>4005</v>
      </c>
      <c r="M4011" s="21">
        <v>24956.463329892227</v>
      </c>
      <c r="N4011" s="42">
        <v>49.07090879872316</v>
      </c>
      <c r="O4011" s="43">
        <v>15389.491357795167</v>
      </c>
    </row>
    <row r="4012" spans="12:15" x14ac:dyDescent="0.2">
      <c r="L4012" s="4">
        <v>4006</v>
      </c>
      <c r="M4012" s="21">
        <v>9645.0688772012363</v>
      </c>
      <c r="N4012" s="42">
        <v>47.901573506523903</v>
      </c>
      <c r="O4012" s="43">
        <v>15217.478678514242</v>
      </c>
    </row>
    <row r="4013" spans="12:15" x14ac:dyDescent="0.2">
      <c r="L4013" s="4">
        <v>4007</v>
      </c>
      <c r="M4013" s="21">
        <v>101157.16703414131</v>
      </c>
      <c r="N4013" s="42">
        <v>51.615154314790324</v>
      </c>
      <c r="O4013" s="43">
        <v>14665.833948393709</v>
      </c>
    </row>
    <row r="4014" spans="12:15" x14ac:dyDescent="0.2">
      <c r="L4014" s="4">
        <v>4008</v>
      </c>
      <c r="M4014" s="21">
        <v>-100347.50284553738</v>
      </c>
      <c r="N4014" s="42">
        <v>45.237443277651039</v>
      </c>
      <c r="O4014" s="43">
        <v>18798.483372477356</v>
      </c>
    </row>
    <row r="4015" spans="12:15" x14ac:dyDescent="0.2">
      <c r="L4015" s="4">
        <v>4009</v>
      </c>
      <c r="M4015" s="21">
        <v>19837.798256954527</v>
      </c>
      <c r="N4015" s="42">
        <v>50.675828743841969</v>
      </c>
      <c r="O4015" s="43">
        <v>13836.056503617623</v>
      </c>
    </row>
    <row r="4016" spans="12:15" x14ac:dyDescent="0.2">
      <c r="L4016" s="4">
        <v>4010</v>
      </c>
      <c r="M4016" s="21">
        <v>-107325.36299561331</v>
      </c>
      <c r="N4016" s="42">
        <v>49.758402812512287</v>
      </c>
      <c r="O4016" s="43">
        <v>14234.659572446912</v>
      </c>
    </row>
    <row r="4017" spans="12:15" x14ac:dyDescent="0.2">
      <c r="L4017" s="4">
        <v>4011</v>
      </c>
      <c r="M4017" s="21">
        <v>170950.99764609322</v>
      </c>
      <c r="N4017" s="42">
        <v>50.693627965106671</v>
      </c>
      <c r="O4017" s="43">
        <v>15641.785621142239</v>
      </c>
    </row>
    <row r="4018" spans="12:15" x14ac:dyDescent="0.2">
      <c r="L4018" s="4">
        <v>4012</v>
      </c>
      <c r="M4018" s="21">
        <v>212028.46246461291</v>
      </c>
      <c r="N4018" s="42">
        <v>50.71523653690803</v>
      </c>
      <c r="O4018" s="43">
        <v>15592.835001941636</v>
      </c>
    </row>
    <row r="4019" spans="12:15" x14ac:dyDescent="0.2">
      <c r="L4019" s="4">
        <v>4013</v>
      </c>
      <c r="M4019" s="21">
        <v>123521.11249322235</v>
      </c>
      <c r="N4019" s="42">
        <v>51.612152485447069</v>
      </c>
      <c r="O4019" s="43">
        <v>14185.377323900198</v>
      </c>
    </row>
    <row r="4020" spans="12:15" x14ac:dyDescent="0.2">
      <c r="L4020" s="4">
        <v>4014</v>
      </c>
      <c r="M4020" s="21">
        <v>-24185.20192548132</v>
      </c>
      <c r="N4020" s="42">
        <v>50.938371759825721</v>
      </c>
      <c r="O4020" s="43">
        <v>14847.305611722484</v>
      </c>
    </row>
    <row r="4021" spans="12:15" x14ac:dyDescent="0.2">
      <c r="L4021" s="4">
        <v>4015</v>
      </c>
      <c r="M4021" s="21">
        <v>-146545.34050883329</v>
      </c>
      <c r="N4021" s="42">
        <v>48.626574866479011</v>
      </c>
      <c r="O4021" s="43">
        <v>13019.36642775867</v>
      </c>
    </row>
    <row r="4022" spans="12:15" x14ac:dyDescent="0.2">
      <c r="L4022" s="4">
        <v>4016</v>
      </c>
      <c r="M4022" s="21">
        <v>-20296.334812663874</v>
      </c>
      <c r="N4022" s="42">
        <v>48.063533725916713</v>
      </c>
      <c r="O4022" s="43">
        <v>15505.636908201603</v>
      </c>
    </row>
    <row r="4023" spans="12:15" x14ac:dyDescent="0.2">
      <c r="L4023" s="4">
        <v>4017</v>
      </c>
      <c r="M4023" s="21">
        <v>34092.696283057507</v>
      </c>
      <c r="N4023" s="42">
        <v>51.11809537384886</v>
      </c>
      <c r="O4023" s="43">
        <v>14209.085486380274</v>
      </c>
    </row>
    <row r="4024" spans="12:15" x14ac:dyDescent="0.2">
      <c r="L4024" s="4">
        <v>4018</v>
      </c>
      <c r="M4024" s="21">
        <v>-23073.237360145591</v>
      </c>
      <c r="N4024" s="42">
        <v>49.698656803420484</v>
      </c>
      <c r="O4024" s="43">
        <v>15074.628455025097</v>
      </c>
    </row>
    <row r="4025" spans="12:15" x14ac:dyDescent="0.2">
      <c r="L4025" s="4">
        <v>4019</v>
      </c>
      <c r="M4025" s="21">
        <v>-72735.994752450366</v>
      </c>
      <c r="N4025" s="42">
        <v>50.52272889141679</v>
      </c>
      <c r="O4025" s="43">
        <v>13638.937415874558</v>
      </c>
    </row>
    <row r="4026" spans="12:15" x14ac:dyDescent="0.2">
      <c r="L4026" s="4">
        <v>4020</v>
      </c>
      <c r="M4026" s="21">
        <v>266080.60043243761</v>
      </c>
      <c r="N4026" s="42">
        <v>51.64278328710428</v>
      </c>
      <c r="O4026" s="43">
        <v>15664.265175025675</v>
      </c>
    </row>
    <row r="4027" spans="12:15" x14ac:dyDescent="0.2">
      <c r="L4027" s="4">
        <v>4021</v>
      </c>
      <c r="M4027" s="21">
        <v>-88643.563196167233</v>
      </c>
      <c r="N4027" s="42">
        <v>49.760491999900864</v>
      </c>
      <c r="O4027" s="43">
        <v>14149.719136512796</v>
      </c>
    </row>
    <row r="4028" spans="12:15" x14ac:dyDescent="0.2">
      <c r="L4028" s="4">
        <v>4022</v>
      </c>
      <c r="M4028" s="21">
        <v>-86583.100536151105</v>
      </c>
      <c r="N4028" s="42">
        <v>47.781312861488409</v>
      </c>
      <c r="O4028" s="43">
        <v>15957.297308276025</v>
      </c>
    </row>
    <row r="4029" spans="12:15" x14ac:dyDescent="0.2">
      <c r="L4029" s="4">
        <v>4023</v>
      </c>
      <c r="M4029" s="21">
        <v>136079.04109189296</v>
      </c>
      <c r="N4029" s="42">
        <v>50.948593086717324</v>
      </c>
      <c r="O4029" s="43">
        <v>14225.373704956917</v>
      </c>
    </row>
    <row r="4030" spans="12:15" x14ac:dyDescent="0.2">
      <c r="L4030" s="4">
        <v>4024</v>
      </c>
      <c r="M4030" s="21">
        <v>-61365.440870447928</v>
      </c>
      <c r="N4030" s="42">
        <v>46.946405600787685</v>
      </c>
      <c r="O4030" s="43">
        <v>15656.285628396139</v>
      </c>
    </row>
    <row r="4031" spans="12:15" x14ac:dyDescent="0.2">
      <c r="L4031" s="4">
        <v>4025</v>
      </c>
      <c r="M4031" s="21">
        <v>-227281.1034110834</v>
      </c>
      <c r="N4031" s="42">
        <v>48.800226396732974</v>
      </c>
      <c r="O4031" s="43">
        <v>14930.583242154331</v>
      </c>
    </row>
    <row r="4032" spans="12:15" x14ac:dyDescent="0.2">
      <c r="L4032" s="4">
        <v>4026</v>
      </c>
      <c r="M4032" s="21">
        <v>-265848.68118145387</v>
      </c>
      <c r="N4032" s="42">
        <v>49.338329327816105</v>
      </c>
      <c r="O4032" s="43">
        <v>14359.387623745317</v>
      </c>
    </row>
    <row r="4033" spans="12:15" x14ac:dyDescent="0.2">
      <c r="L4033" s="4">
        <v>4027</v>
      </c>
      <c r="M4033" s="21">
        <v>-35420.621018774764</v>
      </c>
      <c r="N4033" s="42">
        <v>49.706007786060759</v>
      </c>
      <c r="O4033" s="43">
        <v>15222.456243901963</v>
      </c>
    </row>
    <row r="4034" spans="12:15" x14ac:dyDescent="0.2">
      <c r="L4034" s="4">
        <v>4028</v>
      </c>
      <c r="M4034" s="21">
        <v>42008.571482170955</v>
      </c>
      <c r="N4034" s="42">
        <v>48.10987784846251</v>
      </c>
      <c r="O4034" s="43">
        <v>15531.529853028458</v>
      </c>
    </row>
    <row r="4035" spans="12:15" x14ac:dyDescent="0.2">
      <c r="L4035" s="4">
        <v>4029</v>
      </c>
      <c r="M4035" s="21">
        <v>-242217.84191412927</v>
      </c>
      <c r="N4035" s="42">
        <v>48.435806524568889</v>
      </c>
      <c r="O4035" s="43">
        <v>12748.257278954468</v>
      </c>
    </row>
    <row r="4036" spans="12:15" x14ac:dyDescent="0.2">
      <c r="L4036" s="4">
        <v>4030</v>
      </c>
      <c r="M4036" s="21">
        <v>19186.569290906744</v>
      </c>
      <c r="N4036" s="42">
        <v>50.031181852991153</v>
      </c>
      <c r="O4036" s="43">
        <v>14770.896150663079</v>
      </c>
    </row>
    <row r="4037" spans="12:15" x14ac:dyDescent="0.2">
      <c r="L4037" s="4">
        <v>4031</v>
      </c>
      <c r="M4037" s="21">
        <v>-257429.74199068331</v>
      </c>
      <c r="N4037" s="42">
        <v>47.310046803438105</v>
      </c>
      <c r="O4037" s="43">
        <v>14677.189933876158</v>
      </c>
    </row>
    <row r="4038" spans="12:15" x14ac:dyDescent="0.2">
      <c r="L4038" s="4">
        <v>4032</v>
      </c>
      <c r="M4038" s="21">
        <v>-28692.472897315936</v>
      </c>
      <c r="N4038" s="42">
        <v>48.587375002144043</v>
      </c>
      <c r="O4038" s="43">
        <v>18119.329883328457</v>
      </c>
    </row>
    <row r="4039" spans="12:15" x14ac:dyDescent="0.2">
      <c r="L4039" s="4">
        <v>4033</v>
      </c>
      <c r="M4039" s="21">
        <v>66346.655913808936</v>
      </c>
      <c r="N4039" s="42">
        <v>48.942041519075318</v>
      </c>
      <c r="O4039" s="43">
        <v>15906.429478400563</v>
      </c>
    </row>
    <row r="4040" spans="12:15" x14ac:dyDescent="0.2">
      <c r="L4040" s="4">
        <v>4034</v>
      </c>
      <c r="M4040" s="21">
        <v>253117.98190373089</v>
      </c>
      <c r="N4040" s="42">
        <v>50.312159171350281</v>
      </c>
      <c r="O4040" s="43">
        <v>16825.411651885268</v>
      </c>
    </row>
    <row r="4041" spans="12:15" x14ac:dyDescent="0.2">
      <c r="L4041" s="4">
        <v>4035</v>
      </c>
      <c r="M4041" s="21">
        <v>45160.106749182654</v>
      </c>
      <c r="N4041" s="42">
        <v>51.197096247375725</v>
      </c>
      <c r="O4041" s="43">
        <v>14983.617251374744</v>
      </c>
    </row>
    <row r="4042" spans="12:15" x14ac:dyDescent="0.2">
      <c r="L4042" s="4">
        <v>4036</v>
      </c>
      <c r="M4042" s="21">
        <v>64931.006494317495</v>
      </c>
      <c r="N4042" s="42">
        <v>51.143780764150328</v>
      </c>
      <c r="O4042" s="43">
        <v>14622.604724700146</v>
      </c>
    </row>
    <row r="4043" spans="12:15" x14ac:dyDescent="0.2">
      <c r="L4043" s="4">
        <v>4037</v>
      </c>
      <c r="M4043" s="21">
        <v>141435.73215285386</v>
      </c>
      <c r="N4043" s="42">
        <v>49.675791634734395</v>
      </c>
      <c r="O4043" s="43">
        <v>16520.3197307357</v>
      </c>
    </row>
    <row r="4044" spans="12:15" x14ac:dyDescent="0.2">
      <c r="L4044" s="4">
        <v>4038</v>
      </c>
      <c r="M4044" s="21">
        <v>96853.944818416872</v>
      </c>
      <c r="N4044" s="42">
        <v>50.326363266888492</v>
      </c>
      <c r="O4044" s="43">
        <v>15128.485489178613</v>
      </c>
    </row>
    <row r="4045" spans="12:15" x14ac:dyDescent="0.2">
      <c r="L4045" s="4">
        <v>4039</v>
      </c>
      <c r="M4045" s="21">
        <v>-161105.18035868902</v>
      </c>
      <c r="N4045" s="42">
        <v>51.214882280335452</v>
      </c>
      <c r="O4045" s="43">
        <v>11731.243202364152</v>
      </c>
    </row>
    <row r="4046" spans="12:15" x14ac:dyDescent="0.2">
      <c r="L4046" s="4">
        <v>4040</v>
      </c>
      <c r="M4046" s="21">
        <v>-154825.29088966764</v>
      </c>
      <c r="N4046" s="42">
        <v>49.959695518683645</v>
      </c>
      <c r="O4046" s="43">
        <v>13799.630106187204</v>
      </c>
    </row>
    <row r="4047" spans="12:15" x14ac:dyDescent="0.2">
      <c r="L4047" s="4">
        <v>4041</v>
      </c>
      <c r="M4047" s="21">
        <v>-164956.14802523679</v>
      </c>
      <c r="N4047" s="42">
        <v>49.634752739727233</v>
      </c>
      <c r="O4047" s="43">
        <v>13481.174411854519</v>
      </c>
    </row>
    <row r="4048" spans="12:15" x14ac:dyDescent="0.2">
      <c r="L4048" s="4">
        <v>4042</v>
      </c>
      <c r="M4048" s="21">
        <v>-59486.081284026368</v>
      </c>
      <c r="N4048" s="42">
        <v>48.627467801561565</v>
      </c>
      <c r="O4048" s="43">
        <v>14849.033907706124</v>
      </c>
    </row>
    <row r="4049" spans="12:15" x14ac:dyDescent="0.2">
      <c r="L4049" s="4">
        <v>4043</v>
      </c>
      <c r="M4049" s="21">
        <v>-89679.076571516023</v>
      </c>
      <c r="N4049" s="42">
        <v>49.079374040745314</v>
      </c>
      <c r="O4049" s="43">
        <v>14621.107730081312</v>
      </c>
    </row>
    <row r="4050" spans="12:15" x14ac:dyDescent="0.2">
      <c r="L4050" s="4">
        <v>4044</v>
      </c>
      <c r="M4050" s="21">
        <v>-44062.467971218823</v>
      </c>
      <c r="N4050" s="42">
        <v>48.079731104739587</v>
      </c>
      <c r="O4050" s="43">
        <v>17804.68793665164</v>
      </c>
    </row>
    <row r="4051" spans="12:15" x14ac:dyDescent="0.2">
      <c r="L4051" s="4">
        <v>4045</v>
      </c>
      <c r="M4051" s="21">
        <v>-41247.688390308816</v>
      </c>
      <c r="N4051" s="42">
        <v>50.32452008892168</v>
      </c>
      <c r="O4051" s="43">
        <v>13004.742272208705</v>
      </c>
    </row>
    <row r="4052" spans="12:15" x14ac:dyDescent="0.2">
      <c r="L4052" s="4">
        <v>4046</v>
      </c>
      <c r="M4052" s="21">
        <v>-281980.10289356532</v>
      </c>
      <c r="N4052" s="42">
        <v>47.690628868627215</v>
      </c>
      <c r="O4052" s="43">
        <v>13013.04887348326</v>
      </c>
    </row>
    <row r="4053" spans="12:15" x14ac:dyDescent="0.2">
      <c r="L4053" s="4">
        <v>4047</v>
      </c>
      <c r="M4053" s="21">
        <v>-90922.961399379477</v>
      </c>
      <c r="N4053" s="42">
        <v>47.122899643598835</v>
      </c>
      <c r="O4053" s="43">
        <v>17369.290800251161</v>
      </c>
    </row>
    <row r="4054" spans="12:15" x14ac:dyDescent="0.2">
      <c r="L4054" s="4">
        <v>4048</v>
      </c>
      <c r="M4054" s="21">
        <v>-121074.44369030879</v>
      </c>
      <c r="N4054" s="42">
        <v>49.031748137359124</v>
      </c>
      <c r="O4054" s="43">
        <v>14583.277366930924</v>
      </c>
    </row>
    <row r="4055" spans="12:15" x14ac:dyDescent="0.2">
      <c r="L4055" s="4">
        <v>4049</v>
      </c>
      <c r="M4055" s="21">
        <v>121513.8405841827</v>
      </c>
      <c r="N4055" s="42">
        <v>46.950626864156959</v>
      </c>
      <c r="O4055" s="43">
        <v>17095.362603243284</v>
      </c>
    </row>
    <row r="4056" spans="12:15" x14ac:dyDescent="0.2">
      <c r="L4056" s="4">
        <v>4050</v>
      </c>
      <c r="M4056" s="21">
        <v>95259.545147490629</v>
      </c>
      <c r="N4056" s="42">
        <v>48.002792672423006</v>
      </c>
      <c r="O4056" s="43">
        <v>16652.444567793591</v>
      </c>
    </row>
    <row r="4057" spans="12:15" x14ac:dyDescent="0.2">
      <c r="L4057" s="4">
        <v>4051</v>
      </c>
      <c r="M4057" s="21">
        <v>44500.741002982046</v>
      </c>
      <c r="N4057" s="42">
        <v>47.40390365852025</v>
      </c>
      <c r="O4057" s="43">
        <v>17193.72959848951</v>
      </c>
    </row>
    <row r="4058" spans="12:15" x14ac:dyDescent="0.2">
      <c r="L4058" s="4">
        <v>4052</v>
      </c>
      <c r="M4058" s="21">
        <v>15952.189844763227</v>
      </c>
      <c r="N4058" s="42">
        <v>46.833832969023199</v>
      </c>
      <c r="O4058" s="43">
        <v>17221.153120744653</v>
      </c>
    </row>
    <row r="4059" spans="12:15" x14ac:dyDescent="0.2">
      <c r="L4059" s="4">
        <v>4053</v>
      </c>
      <c r="M4059" s="21">
        <v>145721.33843018295</v>
      </c>
      <c r="N4059" s="42">
        <v>49.83694511592239</v>
      </c>
      <c r="O4059" s="43">
        <v>16127.064525122469</v>
      </c>
    </row>
    <row r="4060" spans="12:15" x14ac:dyDescent="0.2">
      <c r="L4060" s="4">
        <v>4054</v>
      </c>
      <c r="M4060" s="21">
        <v>46268.205750406225</v>
      </c>
      <c r="N4060" s="42">
        <v>50.216008812113081</v>
      </c>
      <c r="O4060" s="43">
        <v>16108.353953879981</v>
      </c>
    </row>
    <row r="4061" spans="12:15" x14ac:dyDescent="0.2">
      <c r="L4061" s="4">
        <v>4055</v>
      </c>
      <c r="M4061" s="21">
        <v>-135177.10360878782</v>
      </c>
      <c r="N4061" s="42">
        <v>49.026061845171824</v>
      </c>
      <c r="O4061" s="43">
        <v>13776.025024339653</v>
      </c>
    </row>
    <row r="4062" spans="12:15" x14ac:dyDescent="0.2">
      <c r="L4062" s="4">
        <v>4056</v>
      </c>
      <c r="M4062" s="21">
        <v>-96387.142507672732</v>
      </c>
      <c r="N4062" s="42">
        <v>48.674569120864312</v>
      </c>
      <c r="O4062" s="43">
        <v>15817.141323699328</v>
      </c>
    </row>
    <row r="4063" spans="12:15" x14ac:dyDescent="0.2">
      <c r="L4063" s="4">
        <v>4057</v>
      </c>
      <c r="M4063" s="21">
        <v>-126600.08831794591</v>
      </c>
      <c r="N4063" s="42">
        <v>50.456594933336746</v>
      </c>
      <c r="O4063" s="43">
        <v>12877.254461439461</v>
      </c>
    </row>
    <row r="4064" spans="12:15" x14ac:dyDescent="0.2">
      <c r="L4064" s="4">
        <v>4058</v>
      </c>
      <c r="M4064" s="21">
        <v>-53143.155690728163</v>
      </c>
      <c r="N4064" s="42">
        <v>49.682174533539097</v>
      </c>
      <c r="O4064" s="43">
        <v>13873.093234310512</v>
      </c>
    </row>
    <row r="4065" spans="12:15" x14ac:dyDescent="0.2">
      <c r="L4065" s="4">
        <v>4059</v>
      </c>
      <c r="M4065" s="21">
        <v>62239.493944565998</v>
      </c>
      <c r="N4065" s="42">
        <v>51.005958497974419</v>
      </c>
      <c r="O4065" s="43">
        <v>14257.890232814287</v>
      </c>
    </row>
    <row r="4066" spans="12:15" x14ac:dyDescent="0.2">
      <c r="L4066" s="4">
        <v>4060</v>
      </c>
      <c r="M4066" s="21">
        <v>-30631.14523365171</v>
      </c>
      <c r="N4066" s="42">
        <v>49.184265398568165</v>
      </c>
      <c r="O4066" s="43">
        <v>13969.497761328026</v>
      </c>
    </row>
    <row r="4067" spans="12:15" x14ac:dyDescent="0.2">
      <c r="L4067" s="4">
        <v>4061</v>
      </c>
      <c r="M4067" s="21">
        <v>62858.449627052847</v>
      </c>
      <c r="N4067" s="42">
        <v>46.545094710407405</v>
      </c>
      <c r="O4067" s="43">
        <v>16009.574683464998</v>
      </c>
    </row>
    <row r="4068" spans="12:15" x14ac:dyDescent="0.2">
      <c r="L4068" s="4">
        <v>4062</v>
      </c>
      <c r="M4068" s="21">
        <v>180877.9657276576</v>
      </c>
      <c r="N4068" s="42">
        <v>50.615985004647086</v>
      </c>
      <c r="O4068" s="43">
        <v>15407.791495081536</v>
      </c>
    </row>
    <row r="4069" spans="12:15" x14ac:dyDescent="0.2">
      <c r="L4069" s="4">
        <v>4063</v>
      </c>
      <c r="M4069" s="21">
        <v>12098.984847558371</v>
      </c>
      <c r="N4069" s="42">
        <v>50.338134668740835</v>
      </c>
      <c r="O4069" s="43">
        <v>13798.038926507716</v>
      </c>
    </row>
    <row r="4070" spans="12:15" x14ac:dyDescent="0.2">
      <c r="L4070" s="4">
        <v>4064</v>
      </c>
      <c r="M4070" s="21">
        <v>-202257.022610963</v>
      </c>
      <c r="N4070" s="42">
        <v>45.62546524807216</v>
      </c>
      <c r="O4070" s="43">
        <v>15444.442214035938</v>
      </c>
    </row>
    <row r="4071" spans="12:15" x14ac:dyDescent="0.2">
      <c r="L4071" s="4">
        <v>4065</v>
      </c>
      <c r="M4071" s="21">
        <v>198707.07898249157</v>
      </c>
      <c r="N4071" s="42">
        <v>50.014050222305428</v>
      </c>
      <c r="O4071" s="43">
        <v>17374.900637583625</v>
      </c>
    </row>
    <row r="4072" spans="12:15" x14ac:dyDescent="0.2">
      <c r="L4072" s="4">
        <v>4066</v>
      </c>
      <c r="M4072" s="21">
        <v>126216.46906288256</v>
      </c>
      <c r="N4072" s="42">
        <v>49.102403737609279</v>
      </c>
      <c r="O4072" s="43">
        <v>16878.209558056013</v>
      </c>
    </row>
    <row r="4073" spans="12:15" x14ac:dyDescent="0.2">
      <c r="L4073" s="4">
        <v>4067</v>
      </c>
      <c r="M4073" s="21">
        <v>-142209.84663912572</v>
      </c>
      <c r="N4073" s="42">
        <v>50.913435380862325</v>
      </c>
      <c r="O4073" s="43">
        <v>13311.415036226768</v>
      </c>
    </row>
    <row r="4074" spans="12:15" x14ac:dyDescent="0.2">
      <c r="L4074" s="4">
        <v>4068</v>
      </c>
      <c r="M4074" s="21">
        <v>-30793.037008384446</v>
      </c>
      <c r="N4074" s="42">
        <v>50.38308040803841</v>
      </c>
      <c r="O4074" s="43">
        <v>13860.60752239161</v>
      </c>
    </row>
    <row r="4075" spans="12:15" x14ac:dyDescent="0.2">
      <c r="L4075" s="4">
        <v>4069</v>
      </c>
      <c r="M4075" s="21">
        <v>53426.567960028158</v>
      </c>
      <c r="N4075" s="42">
        <v>48.027270239789182</v>
      </c>
      <c r="O4075" s="43">
        <v>16856.181416829375</v>
      </c>
    </row>
    <row r="4076" spans="12:15" x14ac:dyDescent="0.2">
      <c r="L4076" s="4">
        <v>4070</v>
      </c>
      <c r="M4076" s="21">
        <v>24371.583163682517</v>
      </c>
      <c r="N4076" s="42">
        <v>48.299713234784846</v>
      </c>
      <c r="O4076" s="43">
        <v>16554.771465857953</v>
      </c>
    </row>
    <row r="4077" spans="12:15" x14ac:dyDescent="0.2">
      <c r="L4077" s="4">
        <v>4071</v>
      </c>
      <c r="M4077" s="21">
        <v>-96861.158465533648</v>
      </c>
      <c r="N4077" s="42">
        <v>48.781126035231765</v>
      </c>
      <c r="O4077" s="43">
        <v>15018.040106999346</v>
      </c>
    </row>
    <row r="4078" spans="12:15" x14ac:dyDescent="0.2">
      <c r="L4078" s="4">
        <v>4072</v>
      </c>
      <c r="M4078" s="21">
        <v>45612.575725340954</v>
      </c>
      <c r="N4078" s="42">
        <v>49.344265163889482</v>
      </c>
      <c r="O4078" s="43">
        <v>13887.462675413286</v>
      </c>
    </row>
    <row r="4079" spans="12:15" x14ac:dyDescent="0.2">
      <c r="L4079" s="4">
        <v>4073</v>
      </c>
      <c r="M4079" s="21">
        <v>-84100.674347044973</v>
      </c>
      <c r="N4079" s="42">
        <v>47.584444882232646</v>
      </c>
      <c r="O4079" s="43">
        <v>18139.720870085301</v>
      </c>
    </row>
    <row r="4080" spans="12:15" x14ac:dyDescent="0.2">
      <c r="L4080" s="4">
        <v>4074</v>
      </c>
      <c r="M4080" s="21">
        <v>-75432.834637926804</v>
      </c>
      <c r="N4080" s="42">
        <v>49.885221456281478</v>
      </c>
      <c r="O4080" s="43">
        <v>13144.493016334496</v>
      </c>
    </row>
    <row r="4081" spans="12:15" x14ac:dyDescent="0.2">
      <c r="L4081" s="4">
        <v>4075</v>
      </c>
      <c r="M4081" s="21">
        <v>-21317.455951957018</v>
      </c>
      <c r="N4081" s="42">
        <v>49.688928782759554</v>
      </c>
      <c r="O4081" s="43">
        <v>14548.045100985206</v>
      </c>
    </row>
    <row r="4082" spans="12:15" x14ac:dyDescent="0.2">
      <c r="L4082" s="4">
        <v>4076</v>
      </c>
      <c r="M4082" s="21">
        <v>-58163.400489051637</v>
      </c>
      <c r="N4082" s="42">
        <v>47.737519627148721</v>
      </c>
      <c r="O4082" s="43">
        <v>15126.895094395953</v>
      </c>
    </row>
    <row r="4083" spans="12:15" x14ac:dyDescent="0.2">
      <c r="L4083" s="4">
        <v>4077</v>
      </c>
      <c r="M4083" s="21">
        <v>-71511.580814226822</v>
      </c>
      <c r="N4083" s="42">
        <v>51.103384270571077</v>
      </c>
      <c r="O4083" s="43">
        <v>12012.372387611762</v>
      </c>
    </row>
    <row r="4084" spans="12:15" x14ac:dyDescent="0.2">
      <c r="L4084" s="4">
        <v>4078</v>
      </c>
      <c r="M4084" s="21">
        <v>-263050.10212427995</v>
      </c>
      <c r="N4084" s="42">
        <v>46.131704011638746</v>
      </c>
      <c r="O4084" s="43">
        <v>16401.772588430791</v>
      </c>
    </row>
    <row r="4085" spans="12:15" x14ac:dyDescent="0.2">
      <c r="L4085" s="4">
        <v>4079</v>
      </c>
      <c r="M4085" s="21">
        <v>77979.338217283657</v>
      </c>
      <c r="N4085" s="42">
        <v>48.916554326586997</v>
      </c>
      <c r="O4085" s="43">
        <v>17727.907039336169</v>
      </c>
    </row>
    <row r="4086" spans="12:15" x14ac:dyDescent="0.2">
      <c r="L4086" s="4">
        <v>4080</v>
      </c>
      <c r="M4086" s="21">
        <v>-172744.74723009142</v>
      </c>
      <c r="N4086" s="42">
        <v>48.496896447719436</v>
      </c>
      <c r="O4086" s="43">
        <v>15316.939354558866</v>
      </c>
    </row>
    <row r="4087" spans="12:15" x14ac:dyDescent="0.2">
      <c r="L4087" s="4">
        <v>4081</v>
      </c>
      <c r="M4087" s="21">
        <v>-92102.962694730799</v>
      </c>
      <c r="N4087" s="42">
        <v>50.470406669680074</v>
      </c>
      <c r="O4087" s="43">
        <v>14018.680387104592</v>
      </c>
    </row>
    <row r="4088" spans="12:15" x14ac:dyDescent="0.2">
      <c r="L4088" s="4">
        <v>4082</v>
      </c>
      <c r="M4088" s="21">
        <v>-85643.195819298111</v>
      </c>
      <c r="N4088" s="42">
        <v>50.492538691263704</v>
      </c>
      <c r="O4088" s="43">
        <v>14579.219912584022</v>
      </c>
    </row>
    <row r="4089" spans="12:15" x14ac:dyDescent="0.2">
      <c r="L4089" s="4">
        <v>4083</v>
      </c>
      <c r="M4089" s="21">
        <v>46300.10485090912</v>
      </c>
      <c r="N4089" s="42">
        <v>48.718022114327525</v>
      </c>
      <c r="O4089" s="43">
        <v>15380.82355406309</v>
      </c>
    </row>
    <row r="4090" spans="12:15" x14ac:dyDescent="0.2">
      <c r="L4090" s="4">
        <v>4084</v>
      </c>
      <c r="M4090" s="21">
        <v>-196901.95848978881</v>
      </c>
      <c r="N4090" s="42">
        <v>49.012063097277348</v>
      </c>
      <c r="O4090" s="43">
        <v>12902.440815735212</v>
      </c>
    </row>
    <row r="4091" spans="12:15" x14ac:dyDescent="0.2">
      <c r="L4091" s="4">
        <v>4085</v>
      </c>
      <c r="M4091" s="21">
        <v>-40570.38306305866</v>
      </c>
      <c r="N4091" s="42">
        <v>50.995470894470557</v>
      </c>
      <c r="O4091" s="43">
        <v>13163.180594576121</v>
      </c>
    </row>
    <row r="4092" spans="12:15" x14ac:dyDescent="0.2">
      <c r="L4092" s="4">
        <v>4086</v>
      </c>
      <c r="M4092" s="21">
        <v>-104739.17454571443</v>
      </c>
      <c r="N4092" s="42">
        <v>47.84839797517516</v>
      </c>
      <c r="O4092" s="43">
        <v>15762.648931974025</v>
      </c>
    </row>
    <row r="4093" spans="12:15" x14ac:dyDescent="0.2">
      <c r="L4093" s="4">
        <v>4087</v>
      </c>
      <c r="M4093" s="21">
        <v>133213.15635727393</v>
      </c>
      <c r="N4093" s="42">
        <v>48.314262838927064</v>
      </c>
      <c r="O4093" s="43">
        <v>18691.438900969824</v>
      </c>
    </row>
    <row r="4094" spans="12:15" x14ac:dyDescent="0.2">
      <c r="L4094" s="4">
        <v>4088</v>
      </c>
      <c r="M4094" s="21">
        <v>-108266.86735019874</v>
      </c>
      <c r="N4094" s="42">
        <v>48.863988050239655</v>
      </c>
      <c r="O4094" s="43">
        <v>14477.987552871946</v>
      </c>
    </row>
    <row r="4095" spans="12:15" x14ac:dyDescent="0.2">
      <c r="L4095" s="4">
        <v>4089</v>
      </c>
      <c r="M4095" s="21">
        <v>-194248.25939024994</v>
      </c>
      <c r="N4095" s="42">
        <v>50.95331964083082</v>
      </c>
      <c r="O4095" s="43">
        <v>11530.181930007348</v>
      </c>
    </row>
    <row r="4096" spans="12:15" x14ac:dyDescent="0.2">
      <c r="L4096" s="4">
        <v>4090</v>
      </c>
      <c r="M4096" s="21">
        <v>5464.3658126354858</v>
      </c>
      <c r="N4096" s="42">
        <v>48.851389987776749</v>
      </c>
      <c r="O4096" s="43">
        <v>16299.926975875835</v>
      </c>
    </row>
    <row r="4097" spans="12:15" x14ac:dyDescent="0.2">
      <c r="L4097" s="4">
        <v>4091</v>
      </c>
      <c r="M4097" s="21">
        <v>-92089.765234754494</v>
      </c>
      <c r="N4097" s="42">
        <v>49.771713338903702</v>
      </c>
      <c r="O4097" s="43">
        <v>13602.484997544432</v>
      </c>
    </row>
    <row r="4098" spans="12:15" x14ac:dyDescent="0.2">
      <c r="L4098" s="4">
        <v>4092</v>
      </c>
      <c r="M4098" s="21">
        <v>-201718.15410072412</v>
      </c>
      <c r="N4098" s="42">
        <v>51.854301835323277</v>
      </c>
      <c r="O4098" s="43">
        <v>11644.474298661797</v>
      </c>
    </row>
    <row r="4099" spans="12:15" x14ac:dyDescent="0.2">
      <c r="L4099" s="4">
        <v>4093</v>
      </c>
      <c r="M4099" s="21">
        <v>-121110.61098688917</v>
      </c>
      <c r="N4099" s="42">
        <v>49.612195737929383</v>
      </c>
      <c r="O4099" s="43">
        <v>13729.63251137835</v>
      </c>
    </row>
    <row r="4100" spans="12:15" x14ac:dyDescent="0.2">
      <c r="L4100" s="4">
        <v>4094</v>
      </c>
      <c r="M4100" s="21">
        <v>78545.106526034011</v>
      </c>
      <c r="N4100" s="42">
        <v>50.830901236983628</v>
      </c>
      <c r="O4100" s="43">
        <v>14432.703677072874</v>
      </c>
    </row>
    <row r="4101" spans="12:15" x14ac:dyDescent="0.2">
      <c r="L4101" s="4">
        <v>4095</v>
      </c>
      <c r="M4101" s="21">
        <v>256905.77188857485</v>
      </c>
      <c r="N4101" s="42">
        <v>49.480700489827186</v>
      </c>
      <c r="O4101" s="43">
        <v>16708.80406427669</v>
      </c>
    </row>
    <row r="4102" spans="12:15" x14ac:dyDescent="0.2">
      <c r="L4102" s="4">
        <v>4096</v>
      </c>
      <c r="M4102" s="21">
        <v>-72231.256243453623</v>
      </c>
      <c r="N4102" s="42">
        <v>49.881296605946716</v>
      </c>
      <c r="O4102" s="43">
        <v>13769.636878279878</v>
      </c>
    </row>
    <row r="4103" spans="12:15" x14ac:dyDescent="0.2">
      <c r="L4103" s="4">
        <v>4097</v>
      </c>
      <c r="M4103" s="21">
        <v>111190.31110059182</v>
      </c>
      <c r="N4103" s="42">
        <v>49.081184583022711</v>
      </c>
      <c r="O4103" s="43">
        <v>17905.543099630555</v>
      </c>
    </row>
    <row r="4104" spans="12:15" x14ac:dyDescent="0.2">
      <c r="L4104" s="4">
        <v>4098</v>
      </c>
      <c r="M4104" s="21">
        <v>-232052.49285359256</v>
      </c>
      <c r="N4104" s="42">
        <v>49.737005940608945</v>
      </c>
      <c r="O4104" s="43">
        <v>12019.6430507113</v>
      </c>
    </row>
    <row r="4105" spans="12:15" x14ac:dyDescent="0.2">
      <c r="L4105" s="4">
        <v>4099</v>
      </c>
      <c r="M4105" s="21">
        <v>-113478.19324198573</v>
      </c>
      <c r="N4105" s="42">
        <v>49.376569539190534</v>
      </c>
      <c r="O4105" s="43">
        <v>14198.181263161681</v>
      </c>
    </row>
    <row r="4106" spans="12:15" x14ac:dyDescent="0.2">
      <c r="L4106" s="4">
        <v>4100</v>
      </c>
      <c r="M4106" s="21">
        <v>17678.779936285195</v>
      </c>
      <c r="N4106" s="42">
        <v>49.718011289592447</v>
      </c>
      <c r="O4106" s="43">
        <v>15289.135695701831</v>
      </c>
    </row>
    <row r="4107" spans="12:15" x14ac:dyDescent="0.2">
      <c r="L4107" s="4">
        <v>4101</v>
      </c>
      <c r="M4107" s="21">
        <v>66044.17486504736</v>
      </c>
      <c r="N4107" s="42">
        <v>51.146831010655198</v>
      </c>
      <c r="O4107" s="43">
        <v>13513.130707866643</v>
      </c>
    </row>
    <row r="4108" spans="12:15" x14ac:dyDescent="0.2">
      <c r="L4108" s="4">
        <v>4102</v>
      </c>
      <c r="M4108" s="21">
        <v>-59385.526501244531</v>
      </c>
      <c r="N4108" s="42">
        <v>50.235323322618228</v>
      </c>
      <c r="O4108" s="43">
        <v>14508.14960684542</v>
      </c>
    </row>
    <row r="4109" spans="12:15" x14ac:dyDescent="0.2">
      <c r="L4109" s="4">
        <v>4103</v>
      </c>
      <c r="M4109" s="21">
        <v>7586.7129122771439</v>
      </c>
      <c r="N4109" s="42">
        <v>48.789997727257337</v>
      </c>
      <c r="O4109" s="43">
        <v>16626.963730386724</v>
      </c>
    </row>
    <row r="4110" spans="12:15" x14ac:dyDescent="0.2">
      <c r="L4110" s="4">
        <v>4104</v>
      </c>
      <c r="M4110" s="21">
        <v>-226698.06582523926</v>
      </c>
      <c r="N4110" s="42">
        <v>48.005878394578801</v>
      </c>
      <c r="O4110" s="43">
        <v>12719.698806916256</v>
      </c>
    </row>
    <row r="4111" spans="12:15" x14ac:dyDescent="0.2">
      <c r="L4111" s="4">
        <v>4105</v>
      </c>
      <c r="M4111" s="21">
        <v>-74190.264871229097</v>
      </c>
      <c r="N4111" s="42">
        <v>48.211119922978142</v>
      </c>
      <c r="O4111" s="43">
        <v>15422.000971528092</v>
      </c>
    </row>
    <row r="4112" spans="12:15" x14ac:dyDescent="0.2">
      <c r="L4112" s="4">
        <v>4106</v>
      </c>
      <c r="M4112" s="21">
        <v>104308.99750125033</v>
      </c>
      <c r="N4112" s="42">
        <v>47.660301795553025</v>
      </c>
      <c r="O4112" s="43">
        <v>15881.266199033664</v>
      </c>
    </row>
    <row r="4113" spans="12:15" x14ac:dyDescent="0.2">
      <c r="L4113" s="4">
        <v>4107</v>
      </c>
      <c r="M4113" s="21">
        <v>145375.19462884846</v>
      </c>
      <c r="N4113" s="42">
        <v>50.767457931392052</v>
      </c>
      <c r="O4113" s="43">
        <v>15404.581756506313</v>
      </c>
    </row>
    <row r="4114" spans="12:15" x14ac:dyDescent="0.2">
      <c r="L4114" s="4">
        <v>4108</v>
      </c>
      <c r="M4114" s="21">
        <v>87976.036173807632</v>
      </c>
      <c r="N4114" s="42">
        <v>47.033378871538737</v>
      </c>
      <c r="O4114" s="43">
        <v>18645.283989653286</v>
      </c>
    </row>
    <row r="4115" spans="12:15" x14ac:dyDescent="0.2">
      <c r="L4115" s="4">
        <v>4109</v>
      </c>
      <c r="M4115" s="21">
        <v>103177.87454546933</v>
      </c>
      <c r="N4115" s="42">
        <v>49.968586381333608</v>
      </c>
      <c r="O4115" s="43">
        <v>15090.58488686802</v>
      </c>
    </row>
    <row r="4116" spans="12:15" x14ac:dyDescent="0.2">
      <c r="L4116" s="4">
        <v>4110</v>
      </c>
      <c r="M4116" s="21">
        <v>-83691.923133492979</v>
      </c>
      <c r="N4116" s="42">
        <v>50.030255686721588</v>
      </c>
      <c r="O4116" s="43">
        <v>13848.547162273786</v>
      </c>
    </row>
    <row r="4117" spans="12:15" x14ac:dyDescent="0.2">
      <c r="L4117" s="4">
        <v>4111</v>
      </c>
      <c r="M4117" s="21">
        <v>-151840.94672768662</v>
      </c>
      <c r="N4117" s="42">
        <v>48.906632897595493</v>
      </c>
      <c r="O4117" s="43">
        <v>15306.210472348683</v>
      </c>
    </row>
    <row r="4118" spans="12:15" x14ac:dyDescent="0.2">
      <c r="L4118" s="4">
        <v>4112</v>
      </c>
      <c r="M4118" s="21">
        <v>-32199.48763474563</v>
      </c>
      <c r="N4118" s="42">
        <v>50.669328861767113</v>
      </c>
      <c r="O4118" s="43">
        <v>14953.043327089737</v>
      </c>
    </row>
    <row r="4119" spans="12:15" x14ac:dyDescent="0.2">
      <c r="L4119" s="4">
        <v>4113</v>
      </c>
      <c r="M4119" s="21">
        <v>-159481.9691635652</v>
      </c>
      <c r="N4119" s="42">
        <v>46.983722044618077</v>
      </c>
      <c r="O4119" s="43">
        <v>16337.161118066657</v>
      </c>
    </row>
    <row r="4120" spans="12:15" x14ac:dyDescent="0.2">
      <c r="L4120" s="4">
        <v>4114</v>
      </c>
      <c r="M4120" s="21">
        <v>132135.50386695782</v>
      </c>
      <c r="N4120" s="42">
        <v>49.882344939815326</v>
      </c>
      <c r="O4120" s="43">
        <v>14805.320531136933</v>
      </c>
    </row>
    <row r="4121" spans="12:15" x14ac:dyDescent="0.2">
      <c r="L4121" s="4">
        <v>4115</v>
      </c>
      <c r="M4121" s="21">
        <v>-223444.37759795226</v>
      </c>
      <c r="N4121" s="42">
        <v>51.098316752715164</v>
      </c>
      <c r="O4121" s="43">
        <v>11817.981563006915</v>
      </c>
    </row>
    <row r="4122" spans="12:15" x14ac:dyDescent="0.2">
      <c r="L4122" s="4">
        <v>4116</v>
      </c>
      <c r="M4122" s="21">
        <v>-35756.822368200519</v>
      </c>
      <c r="N4122" s="42">
        <v>51.0562852117476</v>
      </c>
      <c r="O4122" s="43">
        <v>11956.641991986025</v>
      </c>
    </row>
    <row r="4123" spans="12:15" x14ac:dyDescent="0.2">
      <c r="L4123" s="4">
        <v>4117</v>
      </c>
      <c r="M4123" s="21">
        <v>-163681.86060919118</v>
      </c>
      <c r="N4123" s="42">
        <v>50.501819297140003</v>
      </c>
      <c r="O4123" s="43">
        <v>12942.721035174643</v>
      </c>
    </row>
    <row r="4124" spans="12:15" x14ac:dyDescent="0.2">
      <c r="L4124" s="4">
        <v>4118</v>
      </c>
      <c r="M4124" s="21">
        <v>-371811.08529145498</v>
      </c>
      <c r="N4124" s="42">
        <v>48.68293741223372</v>
      </c>
      <c r="O4124" s="43">
        <v>11915.68583352966</v>
      </c>
    </row>
    <row r="4125" spans="12:15" x14ac:dyDescent="0.2">
      <c r="L4125" s="4">
        <v>4119</v>
      </c>
      <c r="M4125" s="21">
        <v>63434.458435312466</v>
      </c>
      <c r="N4125" s="42">
        <v>48.481540410586632</v>
      </c>
      <c r="O4125" s="43">
        <v>16411.034395516581</v>
      </c>
    </row>
    <row r="4126" spans="12:15" x14ac:dyDescent="0.2">
      <c r="L4126" s="4">
        <v>4120</v>
      </c>
      <c r="M4126" s="21">
        <v>-90157.71471574335</v>
      </c>
      <c r="N4126" s="42">
        <v>48.720722631914406</v>
      </c>
      <c r="O4126" s="43">
        <v>14726.90405167797</v>
      </c>
    </row>
    <row r="4127" spans="12:15" x14ac:dyDescent="0.2">
      <c r="L4127" s="4">
        <v>4121</v>
      </c>
      <c r="M4127" s="21">
        <v>-14269.429707279618</v>
      </c>
      <c r="N4127" s="42">
        <v>48.443525633685809</v>
      </c>
      <c r="O4127" s="43">
        <v>16105.741667579119</v>
      </c>
    </row>
    <row r="4128" spans="12:15" x14ac:dyDescent="0.2">
      <c r="L4128" s="4">
        <v>4122</v>
      </c>
      <c r="M4128" s="21">
        <v>48190.29850991274</v>
      </c>
      <c r="N4128" s="42">
        <v>51.478113208183217</v>
      </c>
      <c r="O4128" s="43">
        <v>13161.013698563584</v>
      </c>
    </row>
    <row r="4129" spans="12:15" x14ac:dyDescent="0.2">
      <c r="L4129" s="4">
        <v>4123</v>
      </c>
      <c r="M4129" s="21">
        <v>-43452.407460954113</v>
      </c>
      <c r="N4129" s="42">
        <v>46.403212386790486</v>
      </c>
      <c r="O4129" s="43">
        <v>16770.784959081175</v>
      </c>
    </row>
    <row r="4130" spans="12:15" x14ac:dyDescent="0.2">
      <c r="L4130" s="4">
        <v>4124</v>
      </c>
      <c r="M4130" s="21">
        <v>-10222.42036035606</v>
      </c>
      <c r="N4130" s="42">
        <v>47.778093896755145</v>
      </c>
      <c r="O4130" s="43">
        <v>17313.416861169539</v>
      </c>
    </row>
    <row r="4131" spans="12:15" x14ac:dyDescent="0.2">
      <c r="L4131" s="4">
        <v>4125</v>
      </c>
      <c r="M4131" s="21">
        <v>55316.196692573692</v>
      </c>
      <c r="N4131" s="42">
        <v>49.401595694298621</v>
      </c>
      <c r="O4131" s="43">
        <v>16267.140777532904</v>
      </c>
    </row>
    <row r="4132" spans="12:15" x14ac:dyDescent="0.2">
      <c r="L4132" s="4">
        <v>4126</v>
      </c>
      <c r="M4132" s="21">
        <v>130891.63781200905</v>
      </c>
      <c r="N4132" s="42">
        <v>51.324265193444042</v>
      </c>
      <c r="O4132" s="43">
        <v>14252.259540988796</v>
      </c>
    </row>
    <row r="4133" spans="12:15" x14ac:dyDescent="0.2">
      <c r="L4133" s="4">
        <v>4127</v>
      </c>
      <c r="M4133" s="21">
        <v>8723.8538292449957</v>
      </c>
      <c r="N4133" s="42">
        <v>48.626025833950536</v>
      </c>
      <c r="O4133" s="43">
        <v>16503.18500270816</v>
      </c>
    </row>
    <row r="4134" spans="12:15" x14ac:dyDescent="0.2">
      <c r="L4134" s="4">
        <v>4128</v>
      </c>
      <c r="M4134" s="21">
        <v>-44939.546779980126</v>
      </c>
      <c r="N4134" s="42">
        <v>50.234670861886315</v>
      </c>
      <c r="O4134" s="43">
        <v>16313.850271166568</v>
      </c>
    </row>
    <row r="4135" spans="12:15" x14ac:dyDescent="0.2">
      <c r="L4135" s="4">
        <v>4129</v>
      </c>
      <c r="M4135" s="21">
        <v>-265612.47329175868</v>
      </c>
      <c r="N4135" s="42">
        <v>50.858318557096361</v>
      </c>
      <c r="O4135" s="43">
        <v>10692.431290174329</v>
      </c>
    </row>
    <row r="4136" spans="12:15" x14ac:dyDescent="0.2">
      <c r="L4136" s="4">
        <v>4130</v>
      </c>
      <c r="M4136" s="21">
        <v>-199345.41643677888</v>
      </c>
      <c r="N4136" s="42">
        <v>47.844879430141638</v>
      </c>
      <c r="O4136" s="43">
        <v>15824.74660418737</v>
      </c>
    </row>
    <row r="4137" spans="12:15" x14ac:dyDescent="0.2">
      <c r="L4137" s="4">
        <v>4131</v>
      </c>
      <c r="M4137" s="21">
        <v>-63830.417451042638</v>
      </c>
      <c r="N4137" s="42">
        <v>48.583830849021375</v>
      </c>
      <c r="O4137" s="43">
        <v>15738.142891770605</v>
      </c>
    </row>
    <row r="4138" spans="12:15" x14ac:dyDescent="0.2">
      <c r="L4138" s="4">
        <v>4132</v>
      </c>
      <c r="M4138" s="21">
        <v>-121194.37304028278</v>
      </c>
      <c r="N4138" s="42">
        <v>50.608775054043264</v>
      </c>
      <c r="O4138" s="43">
        <v>12704.93397565239</v>
      </c>
    </row>
    <row r="4139" spans="12:15" x14ac:dyDescent="0.2">
      <c r="L4139" s="4">
        <v>4133</v>
      </c>
      <c r="M4139" s="21">
        <v>88188.470478759875</v>
      </c>
      <c r="N4139" s="42">
        <v>49.475495925063193</v>
      </c>
      <c r="O4139" s="43">
        <v>16523.492876130636</v>
      </c>
    </row>
    <row r="4140" spans="12:15" x14ac:dyDescent="0.2">
      <c r="L4140" s="4">
        <v>4134</v>
      </c>
      <c r="M4140" s="21">
        <v>112094.3090463116</v>
      </c>
      <c r="N4140" s="42">
        <v>51.33874852824146</v>
      </c>
      <c r="O4140" s="43">
        <v>14743.679846318188</v>
      </c>
    </row>
    <row r="4141" spans="12:15" x14ac:dyDescent="0.2">
      <c r="L4141" s="4">
        <v>4135</v>
      </c>
      <c r="M4141" s="21">
        <v>47228.0087648193</v>
      </c>
      <c r="N4141" s="42">
        <v>49.051272858050595</v>
      </c>
      <c r="O4141" s="43">
        <v>15724.663752072671</v>
      </c>
    </row>
    <row r="4142" spans="12:15" x14ac:dyDescent="0.2">
      <c r="L4142" s="4">
        <v>4136</v>
      </c>
      <c r="M4142" s="21">
        <v>-131673.98047110863</v>
      </c>
      <c r="N4142" s="42">
        <v>47.667273830898949</v>
      </c>
      <c r="O4142" s="43">
        <v>15824.469141796004</v>
      </c>
    </row>
    <row r="4143" spans="12:15" x14ac:dyDescent="0.2">
      <c r="L4143" s="4">
        <v>4137</v>
      </c>
      <c r="M4143" s="21">
        <v>-87957.536446804923</v>
      </c>
      <c r="N4143" s="42">
        <v>48.731886069508604</v>
      </c>
      <c r="O4143" s="43">
        <v>14994.571502178875</v>
      </c>
    </row>
    <row r="4144" spans="12:15" x14ac:dyDescent="0.2">
      <c r="L4144" s="4">
        <v>4138</v>
      </c>
      <c r="M4144" s="21">
        <v>65525.970981287421</v>
      </c>
      <c r="N4144" s="42">
        <v>48.524135133150011</v>
      </c>
      <c r="O4144" s="43">
        <v>17083.022889844422</v>
      </c>
    </row>
    <row r="4145" spans="12:15" x14ac:dyDescent="0.2">
      <c r="L4145" s="4">
        <v>4139</v>
      </c>
      <c r="M4145" s="21">
        <v>-38873.10634941874</v>
      </c>
      <c r="N4145" s="42">
        <v>49.269955668909141</v>
      </c>
      <c r="O4145" s="43">
        <v>15680.799037707335</v>
      </c>
    </row>
    <row r="4146" spans="12:15" x14ac:dyDescent="0.2">
      <c r="L4146" s="4">
        <v>4140</v>
      </c>
      <c r="M4146" s="21">
        <v>36825.005589646287</v>
      </c>
      <c r="N4146" s="42">
        <v>49.238287944791203</v>
      </c>
      <c r="O4146" s="43">
        <v>14995.046089869187</v>
      </c>
    </row>
    <row r="4147" spans="12:15" x14ac:dyDescent="0.2">
      <c r="L4147" s="4">
        <v>4141</v>
      </c>
      <c r="M4147" s="21">
        <v>-132208.78857050784</v>
      </c>
      <c r="N4147" s="42">
        <v>48.112121059981135</v>
      </c>
      <c r="O4147" s="43">
        <v>15021.852120543743</v>
      </c>
    </row>
    <row r="4148" spans="12:15" x14ac:dyDescent="0.2">
      <c r="L4148" s="4">
        <v>4142</v>
      </c>
      <c r="M4148" s="21">
        <v>170961.41831874556</v>
      </c>
      <c r="N4148" s="42">
        <v>49.786904847135332</v>
      </c>
      <c r="O4148" s="43">
        <v>16282.104920150621</v>
      </c>
    </row>
    <row r="4149" spans="12:15" x14ac:dyDescent="0.2">
      <c r="L4149" s="4">
        <v>4143</v>
      </c>
      <c r="M4149" s="21">
        <v>3214.8341267179057</v>
      </c>
      <c r="N4149" s="42">
        <v>51.432146185949534</v>
      </c>
      <c r="O4149" s="43">
        <v>13891.443449354381</v>
      </c>
    </row>
    <row r="4150" spans="12:15" x14ac:dyDescent="0.2">
      <c r="L4150" s="4">
        <v>4144</v>
      </c>
      <c r="M4150" s="21">
        <v>215113.05039982012</v>
      </c>
      <c r="N4150" s="42">
        <v>50.751508345929381</v>
      </c>
      <c r="O4150" s="43">
        <v>16220.760338531993</v>
      </c>
    </row>
    <row r="4151" spans="12:15" x14ac:dyDescent="0.2">
      <c r="L4151" s="4">
        <v>4145</v>
      </c>
      <c r="M4151" s="21">
        <v>44254.385552649823</v>
      </c>
      <c r="N4151" s="42">
        <v>50.410964859837023</v>
      </c>
      <c r="O4151" s="43">
        <v>14905.594467665171</v>
      </c>
    </row>
    <row r="4152" spans="12:15" x14ac:dyDescent="0.2">
      <c r="L4152" s="4">
        <v>4146</v>
      </c>
      <c r="M4152" s="21">
        <v>141887.79428830545</v>
      </c>
      <c r="N4152" s="42">
        <v>51.219506774945856</v>
      </c>
      <c r="O4152" s="43">
        <v>14616.946826520882</v>
      </c>
    </row>
    <row r="4153" spans="12:15" x14ac:dyDescent="0.2">
      <c r="L4153" s="4">
        <v>4147</v>
      </c>
      <c r="M4153" s="21">
        <v>2693.1289314113383</v>
      </c>
      <c r="N4153" s="42">
        <v>47.477710464584682</v>
      </c>
      <c r="O4153" s="43">
        <v>17396.330550618608</v>
      </c>
    </row>
    <row r="4154" spans="12:15" x14ac:dyDescent="0.2">
      <c r="L4154" s="4">
        <v>4148</v>
      </c>
      <c r="M4154" s="21">
        <v>-85336.488835724595</v>
      </c>
      <c r="N4154" s="42">
        <v>50.674661397408727</v>
      </c>
      <c r="O4154" s="43">
        <v>13201.955775322294</v>
      </c>
    </row>
    <row r="4155" spans="12:15" x14ac:dyDescent="0.2">
      <c r="L4155" s="4">
        <v>4149</v>
      </c>
      <c r="M4155" s="21">
        <v>-270700.85344190866</v>
      </c>
      <c r="N4155" s="42">
        <v>49.742741015447315</v>
      </c>
      <c r="O4155" s="43">
        <v>13218.355149315545</v>
      </c>
    </row>
    <row r="4156" spans="12:15" x14ac:dyDescent="0.2">
      <c r="L4156" s="4">
        <v>4150</v>
      </c>
      <c r="M4156" s="21">
        <v>111591.48848786377</v>
      </c>
      <c r="N4156" s="42">
        <v>50.064743515635563</v>
      </c>
      <c r="O4156" s="43">
        <v>15512.494338677338</v>
      </c>
    </row>
    <row r="4157" spans="12:15" x14ac:dyDescent="0.2">
      <c r="L4157" s="4">
        <v>4151</v>
      </c>
      <c r="M4157" s="21">
        <v>-74797.525959996638</v>
      </c>
      <c r="N4157" s="42">
        <v>51.275938368352776</v>
      </c>
      <c r="O4157" s="43">
        <v>13522.607500858814</v>
      </c>
    </row>
    <row r="4158" spans="12:15" x14ac:dyDescent="0.2">
      <c r="L4158" s="4">
        <v>4152</v>
      </c>
      <c r="M4158" s="21">
        <v>51239.543500542059</v>
      </c>
      <c r="N4158" s="42">
        <v>49.410956553324525</v>
      </c>
      <c r="O4158" s="43">
        <v>15397.358786104331</v>
      </c>
    </row>
    <row r="4159" spans="12:15" x14ac:dyDescent="0.2">
      <c r="L4159" s="4">
        <v>4153</v>
      </c>
      <c r="M4159" s="21">
        <v>-147387.29953329542</v>
      </c>
      <c r="N4159" s="42">
        <v>50.276521903494491</v>
      </c>
      <c r="O4159" s="43">
        <v>13029.928693875358</v>
      </c>
    </row>
    <row r="4160" spans="12:15" x14ac:dyDescent="0.2">
      <c r="L4160" s="4">
        <v>4154</v>
      </c>
      <c r="M4160" s="21">
        <v>168085.97110515984</v>
      </c>
      <c r="N4160" s="42">
        <v>49.996855807771993</v>
      </c>
      <c r="O4160" s="43">
        <v>16201.497155534758</v>
      </c>
    </row>
    <row r="4161" spans="12:15" x14ac:dyDescent="0.2">
      <c r="L4161" s="4">
        <v>4155</v>
      </c>
      <c r="M4161" s="21">
        <v>-207969.36344793282</v>
      </c>
      <c r="N4161" s="42">
        <v>48.922473753287214</v>
      </c>
      <c r="O4161" s="43">
        <v>13644.959709309809</v>
      </c>
    </row>
    <row r="4162" spans="12:15" x14ac:dyDescent="0.2">
      <c r="L4162" s="4">
        <v>4156</v>
      </c>
      <c r="M4162" s="21">
        <v>18258.65031921945</v>
      </c>
      <c r="N4162" s="42">
        <v>49.215075895642251</v>
      </c>
      <c r="O4162" s="43">
        <v>14250.700225557499</v>
      </c>
    </row>
    <row r="4163" spans="12:15" x14ac:dyDescent="0.2">
      <c r="L4163" s="4">
        <v>4157</v>
      </c>
      <c r="M4163" s="21">
        <v>44118.542404692998</v>
      </c>
      <c r="N4163" s="42">
        <v>50.590541403294175</v>
      </c>
      <c r="O4163" s="43">
        <v>14681.278429678872</v>
      </c>
    </row>
    <row r="4164" spans="12:15" x14ac:dyDescent="0.2">
      <c r="L4164" s="4">
        <v>4158</v>
      </c>
      <c r="M4164" s="21">
        <v>67431.958496031293</v>
      </c>
      <c r="N4164" s="42">
        <v>49.659070103135583</v>
      </c>
      <c r="O4164" s="43">
        <v>14948.320257191321</v>
      </c>
    </row>
    <row r="4165" spans="12:15" x14ac:dyDescent="0.2">
      <c r="L4165" s="4">
        <v>4159</v>
      </c>
      <c r="M4165" s="21">
        <v>-44580.673340859052</v>
      </c>
      <c r="N4165" s="42">
        <v>49.284013175471458</v>
      </c>
      <c r="O4165" s="43">
        <v>13977.313588100107</v>
      </c>
    </row>
    <row r="4166" spans="12:15" x14ac:dyDescent="0.2">
      <c r="L4166" s="4">
        <v>4160</v>
      </c>
      <c r="M4166" s="21">
        <v>54203.607681124908</v>
      </c>
      <c r="N4166" s="42">
        <v>51.212588627920248</v>
      </c>
      <c r="O4166" s="43">
        <v>12901.010891389524</v>
      </c>
    </row>
    <row r="4167" spans="12:15" x14ac:dyDescent="0.2">
      <c r="L4167" s="4">
        <v>4161</v>
      </c>
      <c r="M4167" s="21">
        <v>-226273.08550731841</v>
      </c>
      <c r="N4167" s="42">
        <v>48.163640913567463</v>
      </c>
      <c r="O4167" s="43">
        <v>13721.749347499977</v>
      </c>
    </row>
    <row r="4168" spans="12:15" x14ac:dyDescent="0.2">
      <c r="L4168" s="4">
        <v>4162</v>
      </c>
      <c r="M4168" s="21">
        <v>-111449.8922111592</v>
      </c>
      <c r="N4168" s="42">
        <v>51.192714132990133</v>
      </c>
      <c r="O4168" s="43">
        <v>13208.45813477587</v>
      </c>
    </row>
    <row r="4169" spans="12:15" x14ac:dyDescent="0.2">
      <c r="L4169" s="4">
        <v>4163</v>
      </c>
      <c r="M4169" s="21">
        <v>-92824.936406748413</v>
      </c>
      <c r="N4169" s="42">
        <v>50.033779918529348</v>
      </c>
      <c r="O4169" s="43">
        <v>14912.662263706656</v>
      </c>
    </row>
    <row r="4170" spans="12:15" x14ac:dyDescent="0.2">
      <c r="L4170" s="4">
        <v>4164</v>
      </c>
      <c r="M4170" s="21">
        <v>20461.301129023544</v>
      </c>
      <c r="N4170" s="42">
        <v>51.082187745616537</v>
      </c>
      <c r="O4170" s="43">
        <v>14029.00335367459</v>
      </c>
    </row>
    <row r="4171" spans="12:15" x14ac:dyDescent="0.2">
      <c r="L4171" s="4">
        <v>4165</v>
      </c>
      <c r="M4171" s="21">
        <v>-157240.57749813554</v>
      </c>
      <c r="N4171" s="42">
        <v>47.596082540040037</v>
      </c>
      <c r="O4171" s="43">
        <v>15645.229637935689</v>
      </c>
    </row>
    <row r="4172" spans="12:15" x14ac:dyDescent="0.2">
      <c r="L4172" s="4">
        <v>4166</v>
      </c>
      <c r="M4172" s="21">
        <v>-202997.99991848052</v>
      </c>
      <c r="N4172" s="42">
        <v>47.514581431211262</v>
      </c>
      <c r="O4172" s="43">
        <v>14766.115828578206</v>
      </c>
    </row>
    <row r="4173" spans="12:15" x14ac:dyDescent="0.2">
      <c r="L4173" s="4">
        <v>4167</v>
      </c>
      <c r="M4173" s="21">
        <v>175742.22565371383</v>
      </c>
      <c r="N4173" s="42">
        <v>50.733268580749865</v>
      </c>
      <c r="O4173" s="43">
        <v>16436.025821865824</v>
      </c>
    </row>
    <row r="4174" spans="12:15" x14ac:dyDescent="0.2">
      <c r="L4174" s="4">
        <v>4168</v>
      </c>
      <c r="M4174" s="21">
        <v>-50084.938681539163</v>
      </c>
      <c r="N4174" s="42">
        <v>47.194807114257799</v>
      </c>
      <c r="O4174" s="43">
        <v>16601.685056436763</v>
      </c>
    </row>
    <row r="4175" spans="12:15" x14ac:dyDescent="0.2">
      <c r="L4175" s="4">
        <v>4169</v>
      </c>
      <c r="M4175" s="21">
        <v>61518.897208856506</v>
      </c>
      <c r="N4175" s="42">
        <v>49.717237822976216</v>
      </c>
      <c r="O4175" s="43">
        <v>16370.298198854267</v>
      </c>
    </row>
    <row r="4176" spans="12:15" x14ac:dyDescent="0.2">
      <c r="L4176" s="4">
        <v>4170</v>
      </c>
      <c r="M4176" s="21">
        <v>-30977.87048516862</v>
      </c>
      <c r="N4176" s="42">
        <v>50.432348504892488</v>
      </c>
      <c r="O4176" s="43">
        <v>14517.300829204509</v>
      </c>
    </row>
    <row r="4177" spans="12:15" x14ac:dyDescent="0.2">
      <c r="L4177" s="4">
        <v>4171</v>
      </c>
      <c r="M4177" s="21">
        <v>-206325.76076997395</v>
      </c>
      <c r="N4177" s="42">
        <v>50.528196292821747</v>
      </c>
      <c r="O4177" s="43">
        <v>12945.385477122049</v>
      </c>
    </row>
    <row r="4178" spans="12:15" x14ac:dyDescent="0.2">
      <c r="L4178" s="4">
        <v>4172</v>
      </c>
      <c r="M4178" s="21">
        <v>43425.232272515132</v>
      </c>
      <c r="N4178" s="42">
        <v>49.831871357210055</v>
      </c>
      <c r="O4178" s="43">
        <v>15237.644517593115</v>
      </c>
    </row>
    <row r="4179" spans="12:15" x14ac:dyDescent="0.2">
      <c r="L4179" s="4">
        <v>4173</v>
      </c>
      <c r="M4179" s="21">
        <v>26079.417387903901</v>
      </c>
      <c r="N4179" s="42">
        <v>50.624799067841352</v>
      </c>
      <c r="O4179" s="43">
        <v>15122.892887803167</v>
      </c>
    </row>
    <row r="4180" spans="12:15" x14ac:dyDescent="0.2">
      <c r="L4180" s="4">
        <v>4174</v>
      </c>
      <c r="M4180" s="21">
        <v>-194900.53952754781</v>
      </c>
      <c r="N4180" s="42">
        <v>51.268574343916363</v>
      </c>
      <c r="O4180" s="43">
        <v>11244.05471799179</v>
      </c>
    </row>
    <row r="4181" spans="12:15" x14ac:dyDescent="0.2">
      <c r="L4181" s="4">
        <v>4175</v>
      </c>
      <c r="M4181" s="21">
        <v>-99170.384824183886</v>
      </c>
      <c r="N4181" s="42">
        <v>49.751518211504305</v>
      </c>
      <c r="O4181" s="43">
        <v>13382.460210251333</v>
      </c>
    </row>
    <row r="4182" spans="12:15" x14ac:dyDescent="0.2">
      <c r="L4182" s="4">
        <v>4176</v>
      </c>
      <c r="M4182" s="21">
        <v>-44442.807815937427</v>
      </c>
      <c r="N4182" s="42">
        <v>48.219175721344037</v>
      </c>
      <c r="O4182" s="43">
        <v>15376.634005128699</v>
      </c>
    </row>
    <row r="4183" spans="12:15" x14ac:dyDescent="0.2">
      <c r="L4183" s="4">
        <v>4177</v>
      </c>
      <c r="M4183" s="21">
        <v>263344.97018403595</v>
      </c>
      <c r="N4183" s="42">
        <v>49.956349512300449</v>
      </c>
      <c r="O4183" s="43">
        <v>15758.210066591702</v>
      </c>
    </row>
    <row r="4184" spans="12:15" x14ac:dyDescent="0.2">
      <c r="L4184" s="4">
        <v>4178</v>
      </c>
      <c r="M4184" s="21">
        <v>186568.48539438908</v>
      </c>
      <c r="N4184" s="42">
        <v>50.841459545314208</v>
      </c>
      <c r="O4184" s="43">
        <v>15235.469501554948</v>
      </c>
    </row>
    <row r="4185" spans="12:15" x14ac:dyDescent="0.2">
      <c r="L4185" s="4">
        <v>4179</v>
      </c>
      <c r="M4185" s="21">
        <v>38662.563440084283</v>
      </c>
      <c r="N4185" s="42">
        <v>48.81084783592587</v>
      </c>
      <c r="O4185" s="43">
        <v>16427.405071398884</v>
      </c>
    </row>
    <row r="4186" spans="12:15" x14ac:dyDescent="0.2">
      <c r="L4186" s="4">
        <v>4180</v>
      </c>
      <c r="M4186" s="21">
        <v>42281.747048207471</v>
      </c>
      <c r="N4186" s="42">
        <v>49.150411105086064</v>
      </c>
      <c r="O4186" s="43">
        <v>14172.799699954785</v>
      </c>
    </row>
    <row r="4187" spans="12:15" x14ac:dyDescent="0.2">
      <c r="L4187" s="4">
        <v>4181</v>
      </c>
      <c r="M4187" s="21">
        <v>150272.96808033757</v>
      </c>
      <c r="N4187" s="42">
        <v>50.421906768986958</v>
      </c>
      <c r="O4187" s="43">
        <v>15923.789778624518</v>
      </c>
    </row>
    <row r="4188" spans="12:15" x14ac:dyDescent="0.2">
      <c r="L4188" s="4">
        <v>4182</v>
      </c>
      <c r="M4188" s="21">
        <v>-123234.54001944909</v>
      </c>
      <c r="N4188" s="42">
        <v>46.56147468774072</v>
      </c>
      <c r="O4188" s="43">
        <v>15683.373278912803</v>
      </c>
    </row>
    <row r="4189" spans="12:15" x14ac:dyDescent="0.2">
      <c r="L4189" s="4">
        <v>4183</v>
      </c>
      <c r="M4189" s="21">
        <v>-41756.772380537383</v>
      </c>
      <c r="N4189" s="42">
        <v>50.074267321258617</v>
      </c>
      <c r="O4189" s="43">
        <v>13858.972397313548</v>
      </c>
    </row>
    <row r="4190" spans="12:15" x14ac:dyDescent="0.2">
      <c r="L4190" s="4">
        <v>4184</v>
      </c>
      <c r="M4190" s="21">
        <v>42682.998876477679</v>
      </c>
      <c r="N4190" s="42">
        <v>50.683977151114739</v>
      </c>
      <c r="O4190" s="43">
        <v>14322.318240096187</v>
      </c>
    </row>
    <row r="4191" spans="12:15" x14ac:dyDescent="0.2">
      <c r="L4191" s="4">
        <v>4185</v>
      </c>
      <c r="M4191" s="21">
        <v>-30465.715997768857</v>
      </c>
      <c r="N4191" s="42">
        <v>51.161927101632784</v>
      </c>
      <c r="O4191" s="43">
        <v>12847.829115331848</v>
      </c>
    </row>
    <row r="4192" spans="12:15" x14ac:dyDescent="0.2">
      <c r="L4192" s="4">
        <v>4186</v>
      </c>
      <c r="M4192" s="21">
        <v>51683.123063388281</v>
      </c>
      <c r="N4192" s="42">
        <v>48.875326183676513</v>
      </c>
      <c r="O4192" s="43">
        <v>18201.715883433135</v>
      </c>
    </row>
    <row r="4193" spans="12:15" x14ac:dyDescent="0.2">
      <c r="L4193" s="4">
        <v>4187</v>
      </c>
      <c r="M4193" s="21">
        <v>40962.773584234586</v>
      </c>
      <c r="N4193" s="42">
        <v>50.433709335523602</v>
      </c>
      <c r="O4193" s="43">
        <v>14168.174544917425</v>
      </c>
    </row>
    <row r="4194" spans="12:15" x14ac:dyDescent="0.2">
      <c r="L4194" s="4">
        <v>4188</v>
      </c>
      <c r="M4194" s="21">
        <v>-153555.93546858264</v>
      </c>
      <c r="N4194" s="42">
        <v>50.352160350060444</v>
      </c>
      <c r="O4194" s="43">
        <v>13205.136237758497</v>
      </c>
    </row>
    <row r="4195" spans="12:15" x14ac:dyDescent="0.2">
      <c r="L4195" s="4">
        <v>4189</v>
      </c>
      <c r="M4195" s="21">
        <v>-286716.35936417151</v>
      </c>
      <c r="N4195" s="42">
        <v>48.71238398646824</v>
      </c>
      <c r="O4195" s="43">
        <v>11307.443599705988</v>
      </c>
    </row>
    <row r="4196" spans="12:15" x14ac:dyDescent="0.2">
      <c r="L4196" s="4">
        <v>4190</v>
      </c>
      <c r="M4196" s="21">
        <v>70651.025924816349</v>
      </c>
      <c r="N4196" s="42">
        <v>51.455567222809186</v>
      </c>
      <c r="O4196" s="43">
        <v>12829.19612741518</v>
      </c>
    </row>
    <row r="4197" spans="12:15" x14ac:dyDescent="0.2">
      <c r="L4197" s="4">
        <v>4191</v>
      </c>
      <c r="M4197" s="21">
        <v>224836.87238715222</v>
      </c>
      <c r="N4197" s="42">
        <v>49.489137498967985</v>
      </c>
      <c r="O4197" s="43">
        <v>15406.158645187284</v>
      </c>
    </row>
    <row r="4198" spans="12:15" x14ac:dyDescent="0.2">
      <c r="L4198" s="4">
        <v>4192</v>
      </c>
      <c r="M4198" s="21">
        <v>120644.55365385892</v>
      </c>
      <c r="N4198" s="42">
        <v>48.03909704751397</v>
      </c>
      <c r="O4198" s="43">
        <v>17010.301183179683</v>
      </c>
    </row>
    <row r="4199" spans="12:15" x14ac:dyDescent="0.2">
      <c r="L4199" s="4">
        <v>4193</v>
      </c>
      <c r="M4199" s="21">
        <v>-180304.88964941158</v>
      </c>
      <c r="N4199" s="42">
        <v>48.825992598966273</v>
      </c>
      <c r="O4199" s="43">
        <v>13981.094132096627</v>
      </c>
    </row>
    <row r="4200" spans="12:15" x14ac:dyDescent="0.2">
      <c r="L4200" s="4">
        <v>4194</v>
      </c>
      <c r="M4200" s="21">
        <v>83269.956692789798</v>
      </c>
      <c r="N4200" s="42">
        <v>48.533415829055272</v>
      </c>
      <c r="O4200" s="43">
        <v>16094.64001955668</v>
      </c>
    </row>
    <row r="4201" spans="12:15" x14ac:dyDescent="0.2">
      <c r="L4201" s="4">
        <v>4195</v>
      </c>
      <c r="M4201" s="21">
        <v>-1099.7177732292184</v>
      </c>
      <c r="N4201" s="42">
        <v>49.272984179952942</v>
      </c>
      <c r="O4201" s="43">
        <v>14397.525866976475</v>
      </c>
    </row>
    <row r="4202" spans="12:15" x14ac:dyDescent="0.2">
      <c r="L4202" s="4">
        <v>4196</v>
      </c>
      <c r="M4202" s="21">
        <v>-58760.366108546266</v>
      </c>
      <c r="N4202" s="42">
        <v>49.277147119988868</v>
      </c>
      <c r="O4202" s="43">
        <v>14649.354454138766</v>
      </c>
    </row>
    <row r="4203" spans="12:15" x14ac:dyDescent="0.2">
      <c r="L4203" s="4">
        <v>4197</v>
      </c>
      <c r="M4203" s="21">
        <v>-101466.60546423968</v>
      </c>
      <c r="N4203" s="42">
        <v>50.440111613925822</v>
      </c>
      <c r="O4203" s="43">
        <v>12696.907262484005</v>
      </c>
    </row>
    <row r="4204" spans="12:15" x14ac:dyDescent="0.2">
      <c r="L4204" s="4">
        <v>4198</v>
      </c>
      <c r="M4204" s="21">
        <v>-153226.28145735024</v>
      </c>
      <c r="N4204" s="42">
        <v>49.855783724005946</v>
      </c>
      <c r="O4204" s="43">
        <v>12718.983580060918</v>
      </c>
    </row>
    <row r="4205" spans="12:15" x14ac:dyDescent="0.2">
      <c r="L4205" s="4">
        <v>4199</v>
      </c>
      <c r="M4205" s="21">
        <v>-327676.41998049844</v>
      </c>
      <c r="N4205" s="42">
        <v>45.868195430403858</v>
      </c>
      <c r="O4205" s="43">
        <v>16491.230737947135</v>
      </c>
    </row>
    <row r="4206" spans="12:15" x14ac:dyDescent="0.2">
      <c r="L4206" s="4">
        <v>4200</v>
      </c>
      <c r="M4206" s="21">
        <v>111157.24635988026</v>
      </c>
      <c r="N4206" s="42">
        <v>48.288973111591268</v>
      </c>
      <c r="O4206" s="43">
        <v>16057.106142656159</v>
      </c>
    </row>
    <row r="4207" spans="12:15" x14ac:dyDescent="0.2">
      <c r="L4207" s="4">
        <v>4201</v>
      </c>
      <c r="M4207" s="21">
        <v>-216699.33608339267</v>
      </c>
      <c r="N4207" s="42">
        <v>47.608126975708721</v>
      </c>
      <c r="O4207" s="43">
        <v>14125.442813023541</v>
      </c>
    </row>
    <row r="4208" spans="12:15" x14ac:dyDescent="0.2">
      <c r="L4208" s="4">
        <v>4202</v>
      </c>
      <c r="M4208" s="21">
        <v>-163431.57257081909</v>
      </c>
      <c r="N4208" s="42">
        <v>48.284046475816055</v>
      </c>
      <c r="O4208" s="43">
        <v>12988.649191094346</v>
      </c>
    </row>
    <row r="4209" spans="12:15" x14ac:dyDescent="0.2">
      <c r="L4209" s="4">
        <v>4203</v>
      </c>
      <c r="M4209" s="21">
        <v>-91190.981191058847</v>
      </c>
      <c r="N4209" s="42">
        <v>49.553202846558101</v>
      </c>
      <c r="O4209" s="43">
        <v>14448.502162827303</v>
      </c>
    </row>
    <row r="4210" spans="12:15" x14ac:dyDescent="0.2">
      <c r="L4210" s="4">
        <v>4204</v>
      </c>
      <c r="M4210" s="21">
        <v>-15516.924791889411</v>
      </c>
      <c r="N4210" s="42">
        <v>49.76232925316237</v>
      </c>
      <c r="O4210" s="43">
        <v>16313.745722775249</v>
      </c>
    </row>
    <row r="4211" spans="12:15" x14ac:dyDescent="0.2">
      <c r="L4211" s="4">
        <v>4205</v>
      </c>
      <c r="M4211" s="21">
        <v>98792.679257232609</v>
      </c>
      <c r="N4211" s="42">
        <v>51.297216131648582</v>
      </c>
      <c r="O4211" s="43">
        <v>14109.194455467183</v>
      </c>
    </row>
    <row r="4212" spans="12:15" x14ac:dyDescent="0.2">
      <c r="L4212" s="4">
        <v>4206</v>
      </c>
      <c r="M4212" s="21">
        <v>-90585.697952519244</v>
      </c>
      <c r="N4212" s="42">
        <v>49.547752695221988</v>
      </c>
      <c r="O4212" s="43">
        <v>14328.995596466515</v>
      </c>
    </row>
    <row r="4213" spans="12:15" x14ac:dyDescent="0.2">
      <c r="L4213" s="4">
        <v>4207</v>
      </c>
      <c r="M4213" s="21">
        <v>133005.71098287037</v>
      </c>
      <c r="N4213" s="42">
        <v>49.971064600213481</v>
      </c>
      <c r="O4213" s="43">
        <v>15034.586463079078</v>
      </c>
    </row>
    <row r="4214" spans="12:15" x14ac:dyDescent="0.2">
      <c r="L4214" s="4">
        <v>4208</v>
      </c>
      <c r="M4214" s="21">
        <v>-124040.66821400299</v>
      </c>
      <c r="N4214" s="42">
        <v>49.068899250537676</v>
      </c>
      <c r="O4214" s="43">
        <v>13741.128432226382</v>
      </c>
    </row>
    <row r="4215" spans="12:15" x14ac:dyDescent="0.2">
      <c r="L4215" s="4">
        <v>4209</v>
      </c>
      <c r="M4215" s="21">
        <v>-219113.47193658425</v>
      </c>
      <c r="N4215" s="42">
        <v>49.605230193383363</v>
      </c>
      <c r="O4215" s="43">
        <v>12589.020545722009</v>
      </c>
    </row>
    <row r="4216" spans="12:15" x14ac:dyDescent="0.2">
      <c r="L4216" s="4">
        <v>4210</v>
      </c>
      <c r="M4216" s="21">
        <v>-31944.343732594658</v>
      </c>
      <c r="N4216" s="42">
        <v>50.753216773397767</v>
      </c>
      <c r="O4216" s="43">
        <v>14589.262152410787</v>
      </c>
    </row>
    <row r="4217" spans="12:15" x14ac:dyDescent="0.2">
      <c r="L4217" s="4">
        <v>4211</v>
      </c>
      <c r="M4217" s="21">
        <v>-57659.35685974831</v>
      </c>
      <c r="N4217" s="42">
        <v>51.359678947587625</v>
      </c>
      <c r="O4217" s="43">
        <v>14218.891876491078</v>
      </c>
    </row>
    <row r="4218" spans="12:15" x14ac:dyDescent="0.2">
      <c r="L4218" s="4">
        <v>4212</v>
      </c>
      <c r="M4218" s="21">
        <v>114289.29564697455</v>
      </c>
      <c r="N4218" s="42">
        <v>50.444346933814359</v>
      </c>
      <c r="O4218" s="43">
        <v>15510.758764574302</v>
      </c>
    </row>
    <row r="4219" spans="12:15" x14ac:dyDescent="0.2">
      <c r="L4219" s="4">
        <v>4213</v>
      </c>
      <c r="M4219" s="21">
        <v>-160499.73642038327</v>
      </c>
      <c r="N4219" s="42">
        <v>46.455601065357257</v>
      </c>
      <c r="O4219" s="43">
        <v>14579.165540212522</v>
      </c>
    </row>
    <row r="4220" spans="12:15" x14ac:dyDescent="0.2">
      <c r="L4220" s="4">
        <v>4214</v>
      </c>
      <c r="M4220" s="21">
        <v>102712.37446486257</v>
      </c>
      <c r="N4220" s="42">
        <v>51.85062314872782</v>
      </c>
      <c r="O4220" s="43">
        <v>13058.380044787362</v>
      </c>
    </row>
    <row r="4221" spans="12:15" x14ac:dyDescent="0.2">
      <c r="L4221" s="4">
        <v>4215</v>
      </c>
      <c r="M4221" s="21">
        <v>-34035.394639768376</v>
      </c>
      <c r="N4221" s="42">
        <v>49.610881923547566</v>
      </c>
      <c r="O4221" s="43">
        <v>16977.144757979499</v>
      </c>
    </row>
    <row r="4222" spans="12:15" x14ac:dyDescent="0.2">
      <c r="L4222" s="4">
        <v>4216</v>
      </c>
      <c r="M4222" s="21">
        <v>58171.527360543172</v>
      </c>
      <c r="N4222" s="42">
        <v>48.117073736551099</v>
      </c>
      <c r="O4222" s="43">
        <v>16013.886371526591</v>
      </c>
    </row>
    <row r="4223" spans="12:15" x14ac:dyDescent="0.2">
      <c r="L4223" s="4">
        <v>4217</v>
      </c>
      <c r="M4223" s="21">
        <v>157556.81139810025</v>
      </c>
      <c r="N4223" s="42">
        <v>51.10021097987314</v>
      </c>
      <c r="O4223" s="43">
        <v>14288.40176260824</v>
      </c>
    </row>
    <row r="4224" spans="12:15" x14ac:dyDescent="0.2">
      <c r="L4224" s="4">
        <v>4218</v>
      </c>
      <c r="M4224" s="21">
        <v>26917.010994729848</v>
      </c>
      <c r="N4224" s="42">
        <v>51.091712928070855</v>
      </c>
      <c r="O4224" s="43">
        <v>15306.040575738543</v>
      </c>
    </row>
    <row r="4225" spans="12:15" x14ac:dyDescent="0.2">
      <c r="L4225" s="4">
        <v>4219</v>
      </c>
      <c r="M4225" s="21">
        <v>-142538.8829132097</v>
      </c>
      <c r="N4225" s="42">
        <v>48.75139231811886</v>
      </c>
      <c r="O4225" s="43">
        <v>13974.818763490315</v>
      </c>
    </row>
    <row r="4226" spans="12:15" x14ac:dyDescent="0.2">
      <c r="L4226" s="4">
        <v>4220</v>
      </c>
      <c r="M4226" s="21">
        <v>-116019.61917463622</v>
      </c>
      <c r="N4226" s="42">
        <v>50.09491827918832</v>
      </c>
      <c r="O4226" s="43">
        <v>13914.542619797208</v>
      </c>
    </row>
    <row r="4227" spans="12:15" x14ac:dyDescent="0.2">
      <c r="L4227" s="4">
        <v>4221</v>
      </c>
      <c r="M4227" s="21">
        <v>20215.899095758767</v>
      </c>
      <c r="N4227" s="42">
        <v>49.064706384703264</v>
      </c>
      <c r="O4227" s="43">
        <v>16063.92775912813</v>
      </c>
    </row>
    <row r="4228" spans="12:15" x14ac:dyDescent="0.2">
      <c r="L4228" s="4">
        <v>4222</v>
      </c>
      <c r="M4228" s="21">
        <v>-111827.262972422</v>
      </c>
      <c r="N4228" s="42">
        <v>47.924942014812039</v>
      </c>
      <c r="O4228" s="43">
        <v>15176.175057894527</v>
      </c>
    </row>
    <row r="4229" spans="12:15" x14ac:dyDescent="0.2">
      <c r="L4229" s="4">
        <v>4223</v>
      </c>
      <c r="M4229" s="21">
        <v>-105911.89175649019</v>
      </c>
      <c r="N4229" s="42">
        <v>51.504851148583597</v>
      </c>
      <c r="O4229" s="43">
        <v>12004.434388552063</v>
      </c>
    </row>
    <row r="4230" spans="12:15" x14ac:dyDescent="0.2">
      <c r="L4230" s="4">
        <v>4224</v>
      </c>
      <c r="M4230" s="21">
        <v>-4560.2783810987457</v>
      </c>
      <c r="N4230" s="42">
        <v>48.428352668316691</v>
      </c>
      <c r="O4230" s="43">
        <v>14393.001763828779</v>
      </c>
    </row>
    <row r="4231" spans="12:15" x14ac:dyDescent="0.2">
      <c r="L4231" s="4">
        <v>4225</v>
      </c>
      <c r="M4231" s="21">
        <v>136131.69416856312</v>
      </c>
      <c r="N4231" s="42">
        <v>50.664302162723025</v>
      </c>
      <c r="O4231" s="43">
        <v>14652.506298273183</v>
      </c>
    </row>
    <row r="4232" spans="12:15" x14ac:dyDescent="0.2">
      <c r="L4232" s="4">
        <v>4226</v>
      </c>
      <c r="M4232" s="21">
        <v>-290380.9646593681</v>
      </c>
      <c r="N4232" s="42">
        <v>48.810702720210529</v>
      </c>
      <c r="O4232" s="43">
        <v>13071.190135010142</v>
      </c>
    </row>
    <row r="4233" spans="12:15" x14ac:dyDescent="0.2">
      <c r="L4233" s="4">
        <v>4227</v>
      </c>
      <c r="M4233" s="21">
        <v>-38443.99590994457</v>
      </c>
      <c r="N4233" s="42">
        <v>50.697175251256823</v>
      </c>
      <c r="O4233" s="43">
        <v>12902.029898537025</v>
      </c>
    </row>
    <row r="4234" spans="12:15" x14ac:dyDescent="0.2">
      <c r="L4234" s="4">
        <v>4228</v>
      </c>
      <c r="M4234" s="21">
        <v>-285491.22579239099</v>
      </c>
      <c r="N4234" s="42">
        <v>51.645711313980492</v>
      </c>
      <c r="O4234" s="43">
        <v>10668.808755409951</v>
      </c>
    </row>
    <row r="4235" spans="12:15" x14ac:dyDescent="0.2">
      <c r="L4235" s="4">
        <v>4229</v>
      </c>
      <c r="M4235" s="21">
        <v>-126545.52229427375</v>
      </c>
      <c r="N4235" s="42">
        <v>48.80668771669432</v>
      </c>
      <c r="O4235" s="43">
        <v>16697.005665223329</v>
      </c>
    </row>
    <row r="4236" spans="12:15" x14ac:dyDescent="0.2">
      <c r="L4236" s="4">
        <v>4230</v>
      </c>
      <c r="M4236" s="21">
        <v>117121.0343055455</v>
      </c>
      <c r="N4236" s="42">
        <v>49.305994089669412</v>
      </c>
      <c r="O4236" s="43">
        <v>16870.51074175744</v>
      </c>
    </row>
    <row r="4237" spans="12:15" x14ac:dyDescent="0.2">
      <c r="L4237" s="4">
        <v>4231</v>
      </c>
      <c r="M4237" s="21">
        <v>-15607.512920518886</v>
      </c>
      <c r="N4237" s="42">
        <v>50.983803469104345</v>
      </c>
      <c r="O4237" s="43">
        <v>12957.443377386033</v>
      </c>
    </row>
    <row r="4238" spans="12:15" x14ac:dyDescent="0.2">
      <c r="L4238" s="4">
        <v>4232</v>
      </c>
      <c r="M4238" s="21">
        <v>-170209.59753095076</v>
      </c>
      <c r="N4238" s="42">
        <v>48.633353579423542</v>
      </c>
      <c r="O4238" s="43">
        <v>14828.457359917555</v>
      </c>
    </row>
    <row r="4239" spans="12:15" x14ac:dyDescent="0.2">
      <c r="L4239" s="4">
        <v>4233</v>
      </c>
      <c r="M4239" s="21">
        <v>-2447.3886642628931</v>
      </c>
      <c r="N4239" s="42">
        <v>47.612017948283189</v>
      </c>
      <c r="O4239" s="43">
        <v>15264.007886982285</v>
      </c>
    </row>
    <row r="4240" spans="12:15" x14ac:dyDescent="0.2">
      <c r="L4240" s="4">
        <v>4234</v>
      </c>
      <c r="M4240" s="21">
        <v>32233.110837158718</v>
      </c>
      <c r="N4240" s="42">
        <v>50.91939516769925</v>
      </c>
      <c r="O4240" s="43">
        <v>13742.645524023959</v>
      </c>
    </row>
    <row r="4241" spans="12:15" x14ac:dyDescent="0.2">
      <c r="L4241" s="4">
        <v>4235</v>
      </c>
      <c r="M4241" s="21">
        <v>115156.24854844503</v>
      </c>
      <c r="N4241" s="42">
        <v>50.174854293865515</v>
      </c>
      <c r="O4241" s="43">
        <v>16622.385200217032</v>
      </c>
    </row>
    <row r="4242" spans="12:15" x14ac:dyDescent="0.2">
      <c r="L4242" s="4">
        <v>4236</v>
      </c>
      <c r="M4242" s="21">
        <v>-126126.0179938494</v>
      </c>
      <c r="N4242" s="42">
        <v>51.142386859413293</v>
      </c>
      <c r="O4242" s="43">
        <v>12046.661756199414</v>
      </c>
    </row>
    <row r="4243" spans="12:15" x14ac:dyDescent="0.2">
      <c r="L4243" s="4">
        <v>4237</v>
      </c>
      <c r="M4243" s="21">
        <v>-8794.3885075288272</v>
      </c>
      <c r="N4243" s="42">
        <v>46.974190718362131</v>
      </c>
      <c r="O4243" s="43">
        <v>15996.216428639642</v>
      </c>
    </row>
    <row r="4244" spans="12:15" x14ac:dyDescent="0.2">
      <c r="L4244" s="4">
        <v>4238</v>
      </c>
      <c r="M4244" s="21">
        <v>-176126.93718377981</v>
      </c>
      <c r="N4244" s="42">
        <v>48.747385110834387</v>
      </c>
      <c r="O4244" s="43">
        <v>14130.261477345955</v>
      </c>
    </row>
    <row r="4245" spans="12:15" x14ac:dyDescent="0.2">
      <c r="L4245" s="4">
        <v>4239</v>
      </c>
      <c r="M4245" s="21">
        <v>-62930.917604974456</v>
      </c>
      <c r="N4245" s="42">
        <v>50.973347799043538</v>
      </c>
      <c r="O4245" s="43">
        <v>13273.191369498845</v>
      </c>
    </row>
    <row r="4246" spans="12:15" x14ac:dyDescent="0.2">
      <c r="L4246" s="4">
        <v>4240</v>
      </c>
      <c r="M4246" s="21">
        <v>34305.224918572378</v>
      </c>
      <c r="N4246" s="42">
        <v>49.291181676845213</v>
      </c>
      <c r="O4246" s="43">
        <v>14525.905304153437</v>
      </c>
    </row>
    <row r="4247" spans="12:15" x14ac:dyDescent="0.2">
      <c r="L4247" s="4">
        <v>4241</v>
      </c>
      <c r="M4247" s="21">
        <v>-163327.75176800997</v>
      </c>
      <c r="N4247" s="42">
        <v>51.34438337222025</v>
      </c>
      <c r="O4247" s="43">
        <v>11819.907161349598</v>
      </c>
    </row>
    <row r="4248" spans="12:15" x14ac:dyDescent="0.2">
      <c r="L4248" s="4">
        <v>4242</v>
      </c>
      <c r="M4248" s="21">
        <v>-51614.014515145842</v>
      </c>
      <c r="N4248" s="42">
        <v>50.262709732952473</v>
      </c>
      <c r="O4248" s="43">
        <v>13665.160886344558</v>
      </c>
    </row>
    <row r="4249" spans="12:15" x14ac:dyDescent="0.2">
      <c r="L4249" s="4">
        <v>4243</v>
      </c>
      <c r="M4249" s="21">
        <v>-203578.08903984952</v>
      </c>
      <c r="N4249" s="42">
        <v>50.294942719621844</v>
      </c>
      <c r="O4249" s="43">
        <v>13819.430767816306</v>
      </c>
    </row>
    <row r="4250" spans="12:15" x14ac:dyDescent="0.2">
      <c r="L4250" s="4">
        <v>4244</v>
      </c>
      <c r="M4250" s="21">
        <v>-141857.86798432667</v>
      </c>
      <c r="N4250" s="42">
        <v>50.232282679838754</v>
      </c>
      <c r="O4250" s="43">
        <v>13037.20057641299</v>
      </c>
    </row>
    <row r="4251" spans="12:15" x14ac:dyDescent="0.2">
      <c r="L4251" s="4">
        <v>4245</v>
      </c>
      <c r="M4251" s="21">
        <v>87511.334734837263</v>
      </c>
      <c r="N4251" s="42">
        <v>50.458968046947319</v>
      </c>
      <c r="O4251" s="43">
        <v>15750.843289303921</v>
      </c>
    </row>
    <row r="4252" spans="12:15" x14ac:dyDescent="0.2">
      <c r="L4252" s="4">
        <v>4246</v>
      </c>
      <c r="M4252" s="21">
        <v>216163.27443624139</v>
      </c>
      <c r="N4252" s="42">
        <v>49.905978697787134</v>
      </c>
      <c r="O4252" s="43">
        <v>17392.769130219254</v>
      </c>
    </row>
    <row r="4253" spans="12:15" x14ac:dyDescent="0.2">
      <c r="L4253" s="4">
        <v>4247</v>
      </c>
      <c r="M4253" s="21">
        <v>-103908.86371712219</v>
      </c>
      <c r="N4253" s="42">
        <v>48.79966705620086</v>
      </c>
      <c r="O4253" s="43">
        <v>14187.131162804999</v>
      </c>
    </row>
    <row r="4254" spans="12:15" x14ac:dyDescent="0.2">
      <c r="L4254" s="4">
        <v>4248</v>
      </c>
      <c r="M4254" s="21">
        <v>-92835.604246513554</v>
      </c>
      <c r="N4254" s="42">
        <v>49.409708288863094</v>
      </c>
      <c r="O4254" s="43">
        <v>13239.395804969205</v>
      </c>
    </row>
    <row r="4255" spans="12:15" x14ac:dyDescent="0.2">
      <c r="L4255" s="4">
        <v>4249</v>
      </c>
      <c r="M4255" s="21">
        <v>198530.61386185893</v>
      </c>
      <c r="N4255" s="42">
        <v>49.864628878983396</v>
      </c>
      <c r="O4255" s="43">
        <v>17421.618479589528</v>
      </c>
    </row>
    <row r="4256" spans="12:15" x14ac:dyDescent="0.2">
      <c r="L4256" s="4">
        <v>4250</v>
      </c>
      <c r="M4256" s="21">
        <v>-72407.210523134258</v>
      </c>
      <c r="N4256" s="42">
        <v>51.221242917526567</v>
      </c>
      <c r="O4256" s="43">
        <v>13508.336597302119</v>
      </c>
    </row>
    <row r="4257" spans="12:15" x14ac:dyDescent="0.2">
      <c r="L4257" s="4">
        <v>4251</v>
      </c>
      <c r="M4257" s="21">
        <v>202702.62409688541</v>
      </c>
      <c r="N4257" s="42">
        <v>49.80301791022022</v>
      </c>
      <c r="O4257" s="43">
        <v>14900.184077358801</v>
      </c>
    </row>
    <row r="4258" spans="12:15" x14ac:dyDescent="0.2">
      <c r="L4258" s="4">
        <v>4252</v>
      </c>
      <c r="M4258" s="21">
        <v>-33076.197025796486</v>
      </c>
      <c r="N4258" s="42">
        <v>49.95087759680851</v>
      </c>
      <c r="O4258" s="43">
        <v>14799.838862229994</v>
      </c>
    </row>
    <row r="4259" spans="12:15" x14ac:dyDescent="0.2">
      <c r="L4259" s="4">
        <v>4253</v>
      </c>
      <c r="M4259" s="21">
        <v>85632.871950010478</v>
      </c>
      <c r="N4259" s="42">
        <v>50.411539001996978</v>
      </c>
      <c r="O4259" s="43">
        <v>15341.026474521168</v>
      </c>
    </row>
    <row r="4260" spans="12:15" x14ac:dyDescent="0.2">
      <c r="L4260" s="4">
        <v>4254</v>
      </c>
      <c r="M4260" s="21">
        <v>-176092.28440223122</v>
      </c>
      <c r="N4260" s="42">
        <v>49.675653820696766</v>
      </c>
      <c r="O4260" s="43">
        <v>12394.615428638104</v>
      </c>
    </row>
    <row r="4261" spans="12:15" x14ac:dyDescent="0.2">
      <c r="L4261" s="4">
        <v>4255</v>
      </c>
      <c r="M4261" s="21">
        <v>-62712.937131535436</v>
      </c>
      <c r="N4261" s="42">
        <v>49.768712576225113</v>
      </c>
      <c r="O4261" s="43">
        <v>13300.015101618097</v>
      </c>
    </row>
    <row r="4262" spans="12:15" x14ac:dyDescent="0.2">
      <c r="L4262" s="4">
        <v>4256</v>
      </c>
      <c r="M4262" s="21">
        <v>18352.111785303976</v>
      </c>
      <c r="N4262" s="42">
        <v>48.310055134916837</v>
      </c>
      <c r="O4262" s="43">
        <v>16340.232183067079</v>
      </c>
    </row>
    <row r="4263" spans="12:15" x14ac:dyDescent="0.2">
      <c r="L4263" s="4">
        <v>4257</v>
      </c>
      <c r="M4263" s="21">
        <v>-232706.45417112106</v>
      </c>
      <c r="N4263" s="42">
        <v>46.10282466659973</v>
      </c>
      <c r="O4263" s="43">
        <v>17625.621251489327</v>
      </c>
    </row>
    <row r="4264" spans="12:15" x14ac:dyDescent="0.2">
      <c r="L4264" s="4">
        <v>4258</v>
      </c>
      <c r="M4264" s="21">
        <v>70231.038651265291</v>
      </c>
      <c r="N4264" s="42">
        <v>48.315334138574222</v>
      </c>
      <c r="O4264" s="43">
        <v>15825.391812373255</v>
      </c>
    </row>
    <row r="4265" spans="12:15" x14ac:dyDescent="0.2">
      <c r="L4265" s="4">
        <v>4259</v>
      </c>
      <c r="M4265" s="21">
        <v>-1313.125657657496</v>
      </c>
      <c r="N4265" s="42">
        <v>48.611518064314431</v>
      </c>
      <c r="O4265" s="43">
        <v>15014.149159028686</v>
      </c>
    </row>
    <row r="4266" spans="12:15" x14ac:dyDescent="0.2">
      <c r="L4266" s="4">
        <v>4260</v>
      </c>
      <c r="M4266" s="21">
        <v>-179651.00777768978</v>
      </c>
      <c r="N4266" s="42">
        <v>46.182734362111574</v>
      </c>
      <c r="O4266" s="43">
        <v>15394.511178397172</v>
      </c>
    </row>
    <row r="4267" spans="12:15" x14ac:dyDescent="0.2">
      <c r="L4267" s="4">
        <v>4261</v>
      </c>
      <c r="M4267" s="21">
        <v>-81391.156299846058</v>
      </c>
      <c r="N4267" s="42">
        <v>50.974824699677555</v>
      </c>
      <c r="O4267" s="43">
        <v>13659.785151871796</v>
      </c>
    </row>
    <row r="4268" spans="12:15" x14ac:dyDescent="0.2">
      <c r="L4268" s="4">
        <v>4262</v>
      </c>
      <c r="M4268" s="21">
        <v>-155797.1713701743</v>
      </c>
      <c r="N4268" s="42">
        <v>49.655015821478003</v>
      </c>
      <c r="O4268" s="43">
        <v>12962.104477063218</v>
      </c>
    </row>
    <row r="4269" spans="12:15" x14ac:dyDescent="0.2">
      <c r="L4269" s="4">
        <v>4263</v>
      </c>
      <c r="M4269" s="21">
        <v>-31492.854858118182</v>
      </c>
      <c r="N4269" s="42">
        <v>49.426352311723441</v>
      </c>
      <c r="O4269" s="43">
        <v>15567.817174180116</v>
      </c>
    </row>
    <row r="4270" spans="12:15" x14ac:dyDescent="0.2">
      <c r="L4270" s="4">
        <v>4264</v>
      </c>
      <c r="M4270" s="21">
        <v>-63216.982202107858</v>
      </c>
      <c r="N4270" s="42">
        <v>47.41272813749702</v>
      </c>
      <c r="O4270" s="43">
        <v>16280.186729756713</v>
      </c>
    </row>
    <row r="4271" spans="12:15" x14ac:dyDescent="0.2">
      <c r="L4271" s="4">
        <v>4265</v>
      </c>
      <c r="M4271" s="21">
        <v>-97164.802698265834</v>
      </c>
      <c r="N4271" s="42">
        <v>47.347557515205168</v>
      </c>
      <c r="O4271" s="43">
        <v>15677.937314327015</v>
      </c>
    </row>
    <row r="4272" spans="12:15" x14ac:dyDescent="0.2">
      <c r="L4272" s="4">
        <v>4266</v>
      </c>
      <c r="M4272" s="21">
        <v>30942.380819317972</v>
      </c>
      <c r="N4272" s="42">
        <v>49.960805366422854</v>
      </c>
      <c r="O4272" s="43">
        <v>14538.356653568595</v>
      </c>
    </row>
    <row r="4273" spans="12:15" x14ac:dyDescent="0.2">
      <c r="L4273" s="4">
        <v>4267</v>
      </c>
      <c r="M4273" s="21">
        <v>72119.644376200042</v>
      </c>
      <c r="N4273" s="42">
        <v>47.950063202276027</v>
      </c>
      <c r="O4273" s="43">
        <v>17022.358811940314</v>
      </c>
    </row>
    <row r="4274" spans="12:15" x14ac:dyDescent="0.2">
      <c r="L4274" s="4">
        <v>4268</v>
      </c>
      <c r="M4274" s="21">
        <v>21636.645823867031</v>
      </c>
      <c r="N4274" s="42">
        <v>50.228475263283038</v>
      </c>
      <c r="O4274" s="43">
        <v>15616.975784047676</v>
      </c>
    </row>
    <row r="4275" spans="12:15" x14ac:dyDescent="0.2">
      <c r="L4275" s="4">
        <v>4269</v>
      </c>
      <c r="M4275" s="21">
        <v>-266789.45606559032</v>
      </c>
      <c r="N4275" s="42">
        <v>46.29850838373153</v>
      </c>
      <c r="O4275" s="43">
        <v>14104.118452457898</v>
      </c>
    </row>
    <row r="4276" spans="12:15" x14ac:dyDescent="0.2">
      <c r="L4276" s="4">
        <v>4270</v>
      </c>
      <c r="M4276" s="21">
        <v>176651.5040015548</v>
      </c>
      <c r="N4276" s="42">
        <v>49.895402195773144</v>
      </c>
      <c r="O4276" s="43">
        <v>15982.884684403132</v>
      </c>
    </row>
    <row r="4277" spans="12:15" x14ac:dyDescent="0.2">
      <c r="L4277" s="4">
        <v>4271</v>
      </c>
      <c r="M4277" s="21">
        <v>-239737.15793317437</v>
      </c>
      <c r="N4277" s="42">
        <v>51.306808171422006</v>
      </c>
      <c r="O4277" s="43">
        <v>10896.839163224111</v>
      </c>
    </row>
    <row r="4278" spans="12:15" x14ac:dyDescent="0.2">
      <c r="L4278" s="4">
        <v>4272</v>
      </c>
      <c r="M4278" s="21">
        <v>-84888.703563240066</v>
      </c>
      <c r="N4278" s="42">
        <v>49.499154197725645</v>
      </c>
      <c r="O4278" s="43">
        <v>14070.71775128845</v>
      </c>
    </row>
    <row r="4279" spans="12:15" x14ac:dyDescent="0.2">
      <c r="L4279" s="4">
        <v>4273</v>
      </c>
      <c r="M4279" s="21">
        <v>-163594.67705910018</v>
      </c>
      <c r="N4279" s="42">
        <v>47.03437695032386</v>
      </c>
      <c r="O4279" s="43">
        <v>16398.992957150946</v>
      </c>
    </row>
    <row r="4280" spans="12:15" x14ac:dyDescent="0.2">
      <c r="L4280" s="4">
        <v>4274</v>
      </c>
      <c r="M4280" s="21">
        <v>7634.6508736106334</v>
      </c>
      <c r="N4280" s="42">
        <v>49.892636615631318</v>
      </c>
      <c r="O4280" s="43">
        <v>14161.18959148614</v>
      </c>
    </row>
    <row r="4281" spans="12:15" x14ac:dyDescent="0.2">
      <c r="L4281" s="4">
        <v>4275</v>
      </c>
      <c r="M4281" s="21">
        <v>24888.022455416562</v>
      </c>
      <c r="N4281" s="42">
        <v>48.003460268204293</v>
      </c>
      <c r="O4281" s="43">
        <v>16895.421569277554</v>
      </c>
    </row>
    <row r="4282" spans="12:15" x14ac:dyDescent="0.2">
      <c r="L4282" s="4">
        <v>4276</v>
      </c>
      <c r="M4282" s="21">
        <v>-44513.018575442184</v>
      </c>
      <c r="N4282" s="42">
        <v>49.432066868244007</v>
      </c>
      <c r="O4282" s="43">
        <v>14905.92331169564</v>
      </c>
    </row>
    <row r="4283" spans="12:15" x14ac:dyDescent="0.2">
      <c r="L4283" s="4">
        <v>4277</v>
      </c>
      <c r="M4283" s="21">
        <v>38683.615721440088</v>
      </c>
      <c r="N4283" s="42">
        <v>48.733651324534726</v>
      </c>
      <c r="O4283" s="43">
        <v>15927.680748352688</v>
      </c>
    </row>
    <row r="4284" spans="12:15" x14ac:dyDescent="0.2">
      <c r="L4284" s="4">
        <v>4278</v>
      </c>
      <c r="M4284" s="21">
        <v>-53686.025727953398</v>
      </c>
      <c r="N4284" s="42">
        <v>48.71039910297862</v>
      </c>
      <c r="O4284" s="43">
        <v>16335.568457647971</v>
      </c>
    </row>
    <row r="4285" spans="12:15" x14ac:dyDescent="0.2">
      <c r="L4285" s="4">
        <v>4279</v>
      </c>
      <c r="M4285" s="21">
        <v>18496.272401181719</v>
      </c>
      <c r="N4285" s="42">
        <v>46.428309776151465</v>
      </c>
      <c r="O4285" s="43">
        <v>17360.046853242911</v>
      </c>
    </row>
    <row r="4286" spans="12:15" x14ac:dyDescent="0.2">
      <c r="L4286" s="4">
        <v>4280</v>
      </c>
      <c r="M4286" s="21">
        <v>-205781.95045008339</v>
      </c>
      <c r="N4286" s="42">
        <v>50.376111837795264</v>
      </c>
      <c r="O4286" s="43">
        <v>11307.557617956927</v>
      </c>
    </row>
    <row r="4287" spans="12:15" x14ac:dyDescent="0.2">
      <c r="L4287" s="4">
        <v>4281</v>
      </c>
      <c r="M4287" s="21">
        <v>-90544.82478170465</v>
      </c>
      <c r="N4287" s="42">
        <v>47.659808044309756</v>
      </c>
      <c r="O4287" s="43">
        <v>14614.736524770822</v>
      </c>
    </row>
    <row r="4288" spans="12:15" x14ac:dyDescent="0.2">
      <c r="L4288" s="4">
        <v>4282</v>
      </c>
      <c r="M4288" s="21">
        <v>316230.11427114083</v>
      </c>
      <c r="N4288" s="42">
        <v>50.582524787349982</v>
      </c>
      <c r="O4288" s="43">
        <v>16422.881136179476</v>
      </c>
    </row>
    <row r="4289" spans="12:15" x14ac:dyDescent="0.2">
      <c r="L4289" s="4">
        <v>4283</v>
      </c>
      <c r="M4289" s="21">
        <v>-129473.93624420352</v>
      </c>
      <c r="N4289" s="42">
        <v>50.474405454973521</v>
      </c>
      <c r="O4289" s="43">
        <v>14323.356988464662</v>
      </c>
    </row>
    <row r="4290" spans="12:15" x14ac:dyDescent="0.2">
      <c r="L4290" s="4">
        <v>4284</v>
      </c>
      <c r="M4290" s="21">
        <v>12247.161560970912</v>
      </c>
      <c r="N4290" s="42">
        <v>48.306633825441729</v>
      </c>
      <c r="O4290" s="43">
        <v>15179.285270656856</v>
      </c>
    </row>
    <row r="4291" spans="12:15" x14ac:dyDescent="0.2">
      <c r="L4291" s="4">
        <v>4285</v>
      </c>
      <c r="M4291" s="21">
        <v>-140256.94435560948</v>
      </c>
      <c r="N4291" s="42">
        <v>50.249717549080096</v>
      </c>
      <c r="O4291" s="43">
        <v>13801.547680513999</v>
      </c>
    </row>
    <row r="4292" spans="12:15" x14ac:dyDescent="0.2">
      <c r="L4292" s="4">
        <v>4286</v>
      </c>
      <c r="M4292" s="21">
        <v>-242773.46833533951</v>
      </c>
      <c r="N4292" s="42">
        <v>48.546856961231001</v>
      </c>
      <c r="O4292" s="43">
        <v>13724.582775208713</v>
      </c>
    </row>
    <row r="4293" spans="12:15" x14ac:dyDescent="0.2">
      <c r="L4293" s="4">
        <v>4287</v>
      </c>
      <c r="M4293" s="21">
        <v>-100165.99729580888</v>
      </c>
      <c r="N4293" s="42">
        <v>50.903107283671275</v>
      </c>
      <c r="O4293" s="43">
        <v>13568.088504610963</v>
      </c>
    </row>
    <row r="4294" spans="12:15" x14ac:dyDescent="0.2">
      <c r="L4294" s="4">
        <v>4288</v>
      </c>
      <c r="M4294" s="21">
        <v>-6383.4478687002702</v>
      </c>
      <c r="N4294" s="42">
        <v>50.779610067186866</v>
      </c>
      <c r="O4294" s="43">
        <v>12668.639321869172</v>
      </c>
    </row>
    <row r="4295" spans="12:15" x14ac:dyDescent="0.2">
      <c r="L4295" s="4">
        <v>4289</v>
      </c>
      <c r="M4295" s="21">
        <v>-79443.209545479098</v>
      </c>
      <c r="N4295" s="42">
        <v>47.274951803215188</v>
      </c>
      <c r="O4295" s="43">
        <v>15748.794526550821</v>
      </c>
    </row>
    <row r="4296" spans="12:15" x14ac:dyDescent="0.2">
      <c r="L4296" s="4">
        <v>4290</v>
      </c>
      <c r="M4296" s="21">
        <v>-32642.554061835079</v>
      </c>
      <c r="N4296" s="42">
        <v>48.410033102843961</v>
      </c>
      <c r="O4296" s="43">
        <v>14625.280427693953</v>
      </c>
    </row>
    <row r="4297" spans="12:15" x14ac:dyDescent="0.2">
      <c r="L4297" s="4">
        <v>4291</v>
      </c>
      <c r="M4297" s="21">
        <v>-138256.99332569822</v>
      </c>
      <c r="N4297" s="42">
        <v>51.215754581477469</v>
      </c>
      <c r="O4297" s="43">
        <v>12222.281068221231</v>
      </c>
    </row>
    <row r="4298" spans="12:15" x14ac:dyDescent="0.2">
      <c r="L4298" s="4">
        <v>4292</v>
      </c>
      <c r="M4298" s="21">
        <v>14337.808010308072</v>
      </c>
      <c r="N4298" s="42">
        <v>48.669260992714179</v>
      </c>
      <c r="O4298" s="43">
        <v>15030.526837471296</v>
      </c>
    </row>
    <row r="4299" spans="12:15" x14ac:dyDescent="0.2">
      <c r="L4299" s="4">
        <v>4293</v>
      </c>
      <c r="M4299" s="21">
        <v>-30972.735687661392</v>
      </c>
      <c r="N4299" s="42">
        <v>48.525933892139804</v>
      </c>
      <c r="O4299" s="43">
        <v>14874.778462931177</v>
      </c>
    </row>
    <row r="4300" spans="12:15" x14ac:dyDescent="0.2">
      <c r="L4300" s="4">
        <v>4294</v>
      </c>
      <c r="M4300" s="21">
        <v>-81498.961127014336</v>
      </c>
      <c r="N4300" s="42">
        <v>47.971682935354067</v>
      </c>
      <c r="O4300" s="43">
        <v>15717.680335575904</v>
      </c>
    </row>
    <row r="4301" spans="12:15" x14ac:dyDescent="0.2">
      <c r="L4301" s="4">
        <v>4295</v>
      </c>
      <c r="M4301" s="21">
        <v>-129173.95888227895</v>
      </c>
      <c r="N4301" s="42">
        <v>48.208854634566478</v>
      </c>
      <c r="O4301" s="43">
        <v>15509.745316791377</v>
      </c>
    </row>
    <row r="4302" spans="12:15" x14ac:dyDescent="0.2">
      <c r="L4302" s="4">
        <v>4296</v>
      </c>
      <c r="M4302" s="21">
        <v>314502.82212938188</v>
      </c>
      <c r="N4302" s="42">
        <v>50.996062932045298</v>
      </c>
      <c r="O4302" s="43">
        <v>18288.881507039423</v>
      </c>
    </row>
    <row r="4303" spans="12:15" x14ac:dyDescent="0.2">
      <c r="L4303" s="4">
        <v>4297</v>
      </c>
      <c r="M4303" s="21">
        <v>136917.14588818455</v>
      </c>
      <c r="N4303" s="42">
        <v>48.694968813800529</v>
      </c>
      <c r="O4303" s="43">
        <v>16682.011398960407</v>
      </c>
    </row>
    <row r="4304" spans="12:15" x14ac:dyDescent="0.2">
      <c r="L4304" s="4">
        <v>4298</v>
      </c>
      <c r="M4304" s="21">
        <v>62337.528082372475</v>
      </c>
      <c r="N4304" s="42">
        <v>48.312959604598305</v>
      </c>
      <c r="O4304" s="43">
        <v>16908.194159071969</v>
      </c>
    </row>
    <row r="4305" spans="12:15" x14ac:dyDescent="0.2">
      <c r="L4305" s="4">
        <v>4299</v>
      </c>
      <c r="M4305" s="21">
        <v>-12384.08958244414</v>
      </c>
      <c r="N4305" s="42">
        <v>49.655661227703149</v>
      </c>
      <c r="O4305" s="43">
        <v>15626.088649187077</v>
      </c>
    </row>
    <row r="4306" spans="12:15" x14ac:dyDescent="0.2">
      <c r="L4306" s="4">
        <v>4300</v>
      </c>
      <c r="M4306" s="21">
        <v>-5137.7716980648402</v>
      </c>
      <c r="N4306" s="42">
        <v>51.518816253438999</v>
      </c>
      <c r="O4306" s="43">
        <v>12427.027940081665</v>
      </c>
    </row>
    <row r="4307" spans="12:15" x14ac:dyDescent="0.2">
      <c r="L4307" s="4">
        <v>4301</v>
      </c>
      <c r="M4307" s="21">
        <v>25632.286729683517</v>
      </c>
      <c r="N4307" s="42">
        <v>46.8303168038764</v>
      </c>
      <c r="O4307" s="43">
        <v>15882.05095487658</v>
      </c>
    </row>
    <row r="4308" spans="12:15" x14ac:dyDescent="0.2">
      <c r="L4308" s="4">
        <v>4302</v>
      </c>
      <c r="M4308" s="21">
        <v>-87162.118429532682</v>
      </c>
      <c r="N4308" s="42">
        <v>47.085473215785157</v>
      </c>
      <c r="O4308" s="43">
        <v>15623.422690653999</v>
      </c>
    </row>
    <row r="4309" spans="12:15" x14ac:dyDescent="0.2">
      <c r="L4309" s="4">
        <v>4303</v>
      </c>
      <c r="M4309" s="21">
        <v>-9504.5293736428575</v>
      </c>
      <c r="N4309" s="42">
        <v>47.867492252377666</v>
      </c>
      <c r="O4309" s="43">
        <v>16219.46039702288</v>
      </c>
    </row>
    <row r="4310" spans="12:15" x14ac:dyDescent="0.2">
      <c r="L4310" s="4">
        <v>4304</v>
      </c>
      <c r="M4310" s="21">
        <v>59074.030694373738</v>
      </c>
      <c r="N4310" s="42">
        <v>49.735470994357044</v>
      </c>
      <c r="O4310" s="43">
        <v>14645.934709412068</v>
      </c>
    </row>
    <row r="4311" spans="12:15" x14ac:dyDescent="0.2">
      <c r="L4311" s="4">
        <v>4305</v>
      </c>
      <c r="M4311" s="21">
        <v>143909.27143902116</v>
      </c>
      <c r="N4311" s="42">
        <v>50.105038897793904</v>
      </c>
      <c r="O4311" s="43">
        <v>15974.170763757444</v>
      </c>
    </row>
    <row r="4312" spans="12:15" x14ac:dyDescent="0.2">
      <c r="L4312" s="4">
        <v>4306</v>
      </c>
      <c r="M4312" s="21">
        <v>-18332.725259456798</v>
      </c>
      <c r="N4312" s="42">
        <v>51.04398639582945</v>
      </c>
      <c r="O4312" s="43">
        <v>13379.798487827769</v>
      </c>
    </row>
    <row r="4313" spans="12:15" x14ac:dyDescent="0.2">
      <c r="L4313" s="4">
        <v>4307</v>
      </c>
      <c r="M4313" s="21">
        <v>161312.53876620886</v>
      </c>
      <c r="N4313" s="42">
        <v>51.314132704188616</v>
      </c>
      <c r="O4313" s="43">
        <v>15690.557744837974</v>
      </c>
    </row>
    <row r="4314" spans="12:15" x14ac:dyDescent="0.2">
      <c r="L4314" s="4">
        <v>4308</v>
      </c>
      <c r="M4314" s="21">
        <v>-168469.01040240179</v>
      </c>
      <c r="N4314" s="42">
        <v>46.78871020001985</v>
      </c>
      <c r="O4314" s="43">
        <v>16064.547845288438</v>
      </c>
    </row>
    <row r="4315" spans="12:15" x14ac:dyDescent="0.2">
      <c r="L4315" s="4">
        <v>4309</v>
      </c>
      <c r="M4315" s="21">
        <v>-156950.30498596886</v>
      </c>
      <c r="N4315" s="42">
        <v>47.439406685242581</v>
      </c>
      <c r="O4315" s="43">
        <v>14689.395709928775</v>
      </c>
    </row>
    <row r="4316" spans="12:15" x14ac:dyDescent="0.2">
      <c r="L4316" s="4">
        <v>4310</v>
      </c>
      <c r="M4316" s="21">
        <v>-11617.454666143036</v>
      </c>
      <c r="N4316" s="42">
        <v>50.855251800563515</v>
      </c>
      <c r="O4316" s="43">
        <v>13651.377952128376</v>
      </c>
    </row>
    <row r="4317" spans="12:15" x14ac:dyDescent="0.2">
      <c r="L4317" s="4">
        <v>4311</v>
      </c>
      <c r="M4317" s="21">
        <v>166383.06517187876</v>
      </c>
      <c r="N4317" s="42">
        <v>47.97777491935404</v>
      </c>
      <c r="O4317" s="43">
        <v>17314.416326555438</v>
      </c>
    </row>
    <row r="4318" spans="12:15" x14ac:dyDescent="0.2">
      <c r="L4318" s="4">
        <v>4312</v>
      </c>
      <c r="M4318" s="21">
        <v>-78224.439802500099</v>
      </c>
      <c r="N4318" s="42">
        <v>48.15665545111758</v>
      </c>
      <c r="O4318" s="43">
        <v>14749.594845820111</v>
      </c>
    </row>
    <row r="4319" spans="12:15" x14ac:dyDescent="0.2">
      <c r="L4319" s="4">
        <v>4313</v>
      </c>
      <c r="M4319" s="21">
        <v>103043.60575540378</v>
      </c>
      <c r="N4319" s="42">
        <v>50.838953728969649</v>
      </c>
      <c r="O4319" s="43">
        <v>14369.259630654844</v>
      </c>
    </row>
    <row r="4320" spans="12:15" x14ac:dyDescent="0.2">
      <c r="L4320" s="4">
        <v>4314</v>
      </c>
      <c r="M4320" s="21">
        <v>-94599.157091734131</v>
      </c>
      <c r="N4320" s="42">
        <v>50.825397770561224</v>
      </c>
      <c r="O4320" s="43">
        <v>12493.778151040191</v>
      </c>
    </row>
    <row r="4321" spans="12:15" x14ac:dyDescent="0.2">
      <c r="L4321" s="4">
        <v>4315</v>
      </c>
      <c r="M4321" s="21">
        <v>-152852.97969350603</v>
      </c>
      <c r="N4321" s="42">
        <v>49.400441307929974</v>
      </c>
      <c r="O4321" s="43">
        <v>13915.343656083323</v>
      </c>
    </row>
    <row r="4322" spans="12:15" x14ac:dyDescent="0.2">
      <c r="L4322" s="4">
        <v>4316</v>
      </c>
      <c r="M4322" s="21">
        <v>-155347.80322877812</v>
      </c>
      <c r="N4322" s="42">
        <v>50.948447485253801</v>
      </c>
      <c r="O4322" s="43">
        <v>12306.014044678861</v>
      </c>
    </row>
    <row r="4323" spans="12:15" x14ac:dyDescent="0.2">
      <c r="L4323" s="4">
        <v>4317</v>
      </c>
      <c r="M4323" s="21">
        <v>232976.89002478696</v>
      </c>
      <c r="N4323" s="42">
        <v>50.240748453632882</v>
      </c>
      <c r="O4323" s="43">
        <v>14837.615899540941</v>
      </c>
    </row>
    <row r="4324" spans="12:15" x14ac:dyDescent="0.2">
      <c r="L4324" s="4">
        <v>4318</v>
      </c>
      <c r="M4324" s="21">
        <v>-23287.550451423856</v>
      </c>
      <c r="N4324" s="42">
        <v>50.729254155835491</v>
      </c>
      <c r="O4324" s="43">
        <v>14087.948958539249</v>
      </c>
    </row>
    <row r="4325" spans="12:15" x14ac:dyDescent="0.2">
      <c r="L4325" s="4">
        <v>4319</v>
      </c>
      <c r="M4325" s="21">
        <v>-58974.026751596597</v>
      </c>
      <c r="N4325" s="42">
        <v>51.390499565924046</v>
      </c>
      <c r="O4325" s="43">
        <v>12745.154031731778</v>
      </c>
    </row>
    <row r="4326" spans="12:15" x14ac:dyDescent="0.2">
      <c r="L4326" s="4">
        <v>4320</v>
      </c>
      <c r="M4326" s="21">
        <v>-56987.261923899481</v>
      </c>
      <c r="N4326" s="42">
        <v>48.190824323061342</v>
      </c>
      <c r="O4326" s="43">
        <v>16538.033035155251</v>
      </c>
    </row>
    <row r="4327" spans="12:15" x14ac:dyDescent="0.2">
      <c r="L4327" s="4">
        <v>4321</v>
      </c>
      <c r="M4327" s="21">
        <v>20500.255625966936</v>
      </c>
      <c r="N4327" s="42">
        <v>49.608979705732253</v>
      </c>
      <c r="O4327" s="43">
        <v>15093.785427670087</v>
      </c>
    </row>
    <row r="4328" spans="12:15" x14ac:dyDescent="0.2">
      <c r="L4328" s="4">
        <v>4322</v>
      </c>
      <c r="M4328" s="21">
        <v>-73230.786010694908</v>
      </c>
      <c r="N4328" s="42">
        <v>49.897823850155682</v>
      </c>
      <c r="O4328" s="43">
        <v>13284.632406052651</v>
      </c>
    </row>
    <row r="4329" spans="12:15" x14ac:dyDescent="0.2">
      <c r="L4329" s="4">
        <v>4323</v>
      </c>
      <c r="M4329" s="21">
        <v>77431.84165238915</v>
      </c>
      <c r="N4329" s="42">
        <v>50.797080527461816</v>
      </c>
      <c r="O4329" s="43">
        <v>15854.450300173592</v>
      </c>
    </row>
    <row r="4330" spans="12:15" x14ac:dyDescent="0.2">
      <c r="L4330" s="4">
        <v>4324</v>
      </c>
      <c r="M4330" s="21">
        <v>251860.1213273367</v>
      </c>
      <c r="N4330" s="42">
        <v>50.936082003723698</v>
      </c>
      <c r="O4330" s="43">
        <v>15144.732414565879</v>
      </c>
    </row>
    <row r="4331" spans="12:15" x14ac:dyDescent="0.2">
      <c r="L4331" s="4">
        <v>4325</v>
      </c>
      <c r="M4331" s="21">
        <v>21234.183133006969</v>
      </c>
      <c r="N4331" s="42">
        <v>49.595297324546443</v>
      </c>
      <c r="O4331" s="43">
        <v>15395.200730489243</v>
      </c>
    </row>
    <row r="4332" spans="12:15" x14ac:dyDescent="0.2">
      <c r="L4332" s="4">
        <v>4326</v>
      </c>
      <c r="M4332" s="21">
        <v>-118313.97606557362</v>
      </c>
      <c r="N4332" s="42">
        <v>47.699879210247673</v>
      </c>
      <c r="O4332" s="43">
        <v>14572.334966072429</v>
      </c>
    </row>
    <row r="4333" spans="12:15" x14ac:dyDescent="0.2">
      <c r="L4333" s="4">
        <v>4327</v>
      </c>
      <c r="M4333" s="21">
        <v>86453.961934624385</v>
      </c>
      <c r="N4333" s="42">
        <v>49.41449194023545</v>
      </c>
      <c r="O4333" s="43">
        <v>15540.90836185903</v>
      </c>
    </row>
    <row r="4334" spans="12:15" x14ac:dyDescent="0.2">
      <c r="L4334" s="4">
        <v>4328</v>
      </c>
      <c r="M4334" s="21">
        <v>-124182.90240737601</v>
      </c>
      <c r="N4334" s="42">
        <v>50.067529649683657</v>
      </c>
      <c r="O4334" s="43">
        <v>12918.263243661937</v>
      </c>
    </row>
    <row r="4335" spans="12:15" x14ac:dyDescent="0.2">
      <c r="L4335" s="4">
        <v>4329</v>
      </c>
      <c r="M4335" s="21">
        <v>-116177.01059953045</v>
      </c>
      <c r="N4335" s="42">
        <v>48.469613802049224</v>
      </c>
      <c r="O4335" s="43">
        <v>15463.220341267952</v>
      </c>
    </row>
    <row r="4336" spans="12:15" x14ac:dyDescent="0.2">
      <c r="L4336" s="4">
        <v>4330</v>
      </c>
      <c r="M4336" s="21">
        <v>-57231.112393906005</v>
      </c>
      <c r="N4336" s="42">
        <v>50.7450340939764</v>
      </c>
      <c r="O4336" s="43">
        <v>12860.97108506051</v>
      </c>
    </row>
    <row r="4337" spans="12:15" x14ac:dyDescent="0.2">
      <c r="L4337" s="4">
        <v>4331</v>
      </c>
      <c r="M4337" s="21">
        <v>98911.765513009217</v>
      </c>
      <c r="N4337" s="42">
        <v>50.542446732826846</v>
      </c>
      <c r="O4337" s="43">
        <v>15377.836531490553</v>
      </c>
    </row>
    <row r="4338" spans="12:15" x14ac:dyDescent="0.2">
      <c r="L4338" s="4">
        <v>4332</v>
      </c>
      <c r="M4338" s="21">
        <v>-57929.935302019498</v>
      </c>
      <c r="N4338" s="42">
        <v>47.082038895488665</v>
      </c>
      <c r="O4338" s="43">
        <v>15728.354866421221</v>
      </c>
    </row>
    <row r="4339" spans="12:15" x14ac:dyDescent="0.2">
      <c r="L4339" s="4">
        <v>4333</v>
      </c>
      <c r="M4339" s="21">
        <v>-67209.555737842617</v>
      </c>
      <c r="N4339" s="42">
        <v>50.361590062097093</v>
      </c>
      <c r="O4339" s="43">
        <v>13541.81744529893</v>
      </c>
    </row>
    <row r="4340" spans="12:15" x14ac:dyDescent="0.2">
      <c r="L4340" s="4">
        <v>4334</v>
      </c>
      <c r="M4340" s="21">
        <v>61027.222490071086</v>
      </c>
      <c r="N4340" s="42">
        <v>50.604638184705145</v>
      </c>
      <c r="O4340" s="43">
        <v>15614.757541644765</v>
      </c>
    </row>
    <row r="4341" spans="12:15" x14ac:dyDescent="0.2">
      <c r="L4341" s="4">
        <v>4335</v>
      </c>
      <c r="M4341" s="21">
        <v>-140933.24950953375</v>
      </c>
      <c r="N4341" s="42">
        <v>50.486317802962311</v>
      </c>
      <c r="O4341" s="43">
        <v>12725.711451898453</v>
      </c>
    </row>
    <row r="4342" spans="12:15" x14ac:dyDescent="0.2">
      <c r="L4342" s="4">
        <v>4336</v>
      </c>
      <c r="M4342" s="21">
        <v>35242.279365812923</v>
      </c>
      <c r="N4342" s="42">
        <v>47.844313088295763</v>
      </c>
      <c r="O4342" s="43">
        <v>15706.928995876042</v>
      </c>
    </row>
    <row r="4343" spans="12:15" x14ac:dyDescent="0.2">
      <c r="L4343" s="4">
        <v>4337</v>
      </c>
      <c r="M4343" s="21">
        <v>-76113.699923806329</v>
      </c>
      <c r="N4343" s="42">
        <v>51.872789213105378</v>
      </c>
      <c r="O4343" s="43">
        <v>11816.731780018592</v>
      </c>
    </row>
    <row r="4344" spans="12:15" x14ac:dyDescent="0.2">
      <c r="L4344" s="4">
        <v>4338</v>
      </c>
      <c r="M4344" s="21">
        <v>-7962.9819365617586</v>
      </c>
      <c r="N4344" s="42">
        <v>49.221857809098587</v>
      </c>
      <c r="O4344" s="43">
        <v>13946.025785013975</v>
      </c>
    </row>
    <row r="4345" spans="12:15" x14ac:dyDescent="0.2">
      <c r="L4345" s="4">
        <v>4339</v>
      </c>
      <c r="M4345" s="21">
        <v>-105984.17404300999</v>
      </c>
      <c r="N4345" s="42">
        <v>50.599471224331836</v>
      </c>
      <c r="O4345" s="43">
        <v>12904.440613265859</v>
      </c>
    </row>
    <row r="4346" spans="12:15" x14ac:dyDescent="0.2">
      <c r="L4346" s="4">
        <v>4340</v>
      </c>
      <c r="M4346" s="21">
        <v>-123577.65717755616</v>
      </c>
      <c r="N4346" s="42">
        <v>49.520769515566499</v>
      </c>
      <c r="O4346" s="43">
        <v>13665.725672780936</v>
      </c>
    </row>
    <row r="4347" spans="12:15" x14ac:dyDescent="0.2">
      <c r="L4347" s="4">
        <v>4341</v>
      </c>
      <c r="M4347" s="21">
        <v>-149240.20767067693</v>
      </c>
      <c r="N4347" s="42">
        <v>47.187430207575687</v>
      </c>
      <c r="O4347" s="43">
        <v>15122.990012552986</v>
      </c>
    </row>
    <row r="4348" spans="12:15" x14ac:dyDescent="0.2">
      <c r="L4348" s="4">
        <v>4342</v>
      </c>
      <c r="M4348" s="21">
        <v>-32477.677730976749</v>
      </c>
      <c r="N4348" s="42">
        <v>50.185134690441593</v>
      </c>
      <c r="O4348" s="43">
        <v>14435.244987518425</v>
      </c>
    </row>
    <row r="4349" spans="12:15" x14ac:dyDescent="0.2">
      <c r="L4349" s="4">
        <v>4343</v>
      </c>
      <c r="M4349" s="21">
        <v>-79469.150515478163</v>
      </c>
      <c r="N4349" s="42">
        <v>51.521630255836243</v>
      </c>
      <c r="O4349" s="43">
        <v>14127.925346230964</v>
      </c>
    </row>
    <row r="4350" spans="12:15" x14ac:dyDescent="0.2">
      <c r="L4350" s="4">
        <v>4344</v>
      </c>
      <c r="M4350" s="21">
        <v>33102.514275106019</v>
      </c>
      <c r="N4350" s="42">
        <v>49.246382758656338</v>
      </c>
      <c r="O4350" s="43">
        <v>14600.073739416301</v>
      </c>
    </row>
    <row r="4351" spans="12:15" x14ac:dyDescent="0.2">
      <c r="L4351" s="4">
        <v>4345</v>
      </c>
      <c r="M4351" s="21">
        <v>-60847.72894645491</v>
      </c>
      <c r="N4351" s="42">
        <v>49.351429978883623</v>
      </c>
      <c r="O4351" s="43">
        <v>13967.771623016513</v>
      </c>
    </row>
    <row r="4352" spans="12:15" x14ac:dyDescent="0.2">
      <c r="L4352" s="4">
        <v>4346</v>
      </c>
      <c r="M4352" s="21">
        <v>48909.796377093211</v>
      </c>
      <c r="N4352" s="42">
        <v>50.775370240655207</v>
      </c>
      <c r="O4352" s="43">
        <v>14974.838022508744</v>
      </c>
    </row>
    <row r="4353" spans="12:15" x14ac:dyDescent="0.2">
      <c r="L4353" s="4">
        <v>4347</v>
      </c>
      <c r="M4353" s="21">
        <v>-13438.245039307352</v>
      </c>
      <c r="N4353" s="42">
        <v>50.361441033579538</v>
      </c>
      <c r="O4353" s="43">
        <v>14161.2178496179</v>
      </c>
    </row>
    <row r="4354" spans="12:15" x14ac:dyDescent="0.2">
      <c r="L4354" s="4">
        <v>4348</v>
      </c>
      <c r="M4354" s="21">
        <v>87912.065165255015</v>
      </c>
      <c r="N4354" s="42">
        <v>47.959824932396188</v>
      </c>
      <c r="O4354" s="43">
        <v>17541.130344067387</v>
      </c>
    </row>
    <row r="4355" spans="12:15" x14ac:dyDescent="0.2">
      <c r="L4355" s="4">
        <v>4349</v>
      </c>
      <c r="M4355" s="21">
        <v>133049.65059506468</v>
      </c>
      <c r="N4355" s="42">
        <v>50.205951657496584</v>
      </c>
      <c r="O4355" s="43">
        <v>14903.912583915147</v>
      </c>
    </row>
    <row r="4356" spans="12:15" x14ac:dyDescent="0.2">
      <c r="L4356" s="4">
        <v>4350</v>
      </c>
      <c r="M4356" s="21">
        <v>-28285.998168838283</v>
      </c>
      <c r="N4356" s="42">
        <v>50.15736621032633</v>
      </c>
      <c r="O4356" s="43">
        <v>13784.418967158143</v>
      </c>
    </row>
    <row r="4357" spans="12:15" x14ac:dyDescent="0.2">
      <c r="L4357" s="4">
        <v>4351</v>
      </c>
      <c r="M4357" s="21">
        <v>-20650.57783168598</v>
      </c>
      <c r="N4357" s="42">
        <v>50.649431662370922</v>
      </c>
      <c r="O4357" s="43">
        <v>15493.286466216226</v>
      </c>
    </row>
    <row r="4358" spans="12:15" x14ac:dyDescent="0.2">
      <c r="L4358" s="4">
        <v>4352</v>
      </c>
      <c r="M4358" s="21">
        <v>40963.039214310964</v>
      </c>
      <c r="N4358" s="42">
        <v>50.771323706464557</v>
      </c>
      <c r="O4358" s="43">
        <v>13711.925742992935</v>
      </c>
    </row>
    <row r="4359" spans="12:15" x14ac:dyDescent="0.2">
      <c r="L4359" s="4">
        <v>4353</v>
      </c>
      <c r="M4359" s="21">
        <v>31840.839862221008</v>
      </c>
      <c r="N4359" s="42">
        <v>50.856642014089125</v>
      </c>
      <c r="O4359" s="43">
        <v>15869.310368252362</v>
      </c>
    </row>
    <row r="4360" spans="12:15" x14ac:dyDescent="0.2">
      <c r="L4360" s="4">
        <v>4354</v>
      </c>
      <c r="M4360" s="21">
        <v>-31449.808990057485</v>
      </c>
      <c r="N4360" s="42">
        <v>48.950042618179253</v>
      </c>
      <c r="O4360" s="43">
        <v>14602.341085919657</v>
      </c>
    </row>
    <row r="4361" spans="12:15" x14ac:dyDescent="0.2">
      <c r="L4361" s="4">
        <v>4355</v>
      </c>
      <c r="M4361" s="21">
        <v>-47093.370397530991</v>
      </c>
      <c r="N4361" s="42">
        <v>47.579253862666576</v>
      </c>
      <c r="O4361" s="43">
        <v>15515.730817721151</v>
      </c>
    </row>
    <row r="4362" spans="12:15" x14ac:dyDescent="0.2">
      <c r="L4362" s="4">
        <v>4356</v>
      </c>
      <c r="M4362" s="21">
        <v>-106314.98669159501</v>
      </c>
      <c r="N4362" s="42">
        <v>49.308957077355487</v>
      </c>
      <c r="O4362" s="43">
        <v>13563.604086399646</v>
      </c>
    </row>
    <row r="4363" spans="12:15" x14ac:dyDescent="0.2">
      <c r="L4363" s="4">
        <v>4357</v>
      </c>
      <c r="M4363" s="21">
        <v>23549.041971630853</v>
      </c>
      <c r="N4363" s="42">
        <v>49.665761399470341</v>
      </c>
      <c r="O4363" s="43">
        <v>15481.914631551303</v>
      </c>
    </row>
    <row r="4364" spans="12:15" x14ac:dyDescent="0.2">
      <c r="L4364" s="4">
        <v>4358</v>
      </c>
      <c r="M4364" s="21">
        <v>22572.58498034114</v>
      </c>
      <c r="N4364" s="42">
        <v>48.668240726310053</v>
      </c>
      <c r="O4364" s="43">
        <v>15494.570503430867</v>
      </c>
    </row>
    <row r="4365" spans="12:15" x14ac:dyDescent="0.2">
      <c r="L4365" s="4">
        <v>4359</v>
      </c>
      <c r="M4365" s="21">
        <v>41103.29739775596</v>
      </c>
      <c r="N4365" s="42">
        <v>50.683072493774738</v>
      </c>
      <c r="O4365" s="43">
        <v>14623.859659324928</v>
      </c>
    </row>
    <row r="4366" spans="12:15" x14ac:dyDescent="0.2">
      <c r="L4366" s="4">
        <v>4360</v>
      </c>
      <c r="M4366" s="21">
        <v>154687.82769228617</v>
      </c>
      <c r="N4366" s="42">
        <v>50.074156717403994</v>
      </c>
      <c r="O4366" s="43">
        <v>15485.825212111433</v>
      </c>
    </row>
    <row r="4367" spans="12:15" x14ac:dyDescent="0.2">
      <c r="L4367" s="4">
        <v>4361</v>
      </c>
      <c r="M4367" s="21">
        <v>-269970.0573320259</v>
      </c>
      <c r="N4367" s="42">
        <v>50.277378342057979</v>
      </c>
      <c r="O4367" s="43">
        <v>11974.677219855841</v>
      </c>
    </row>
    <row r="4368" spans="12:15" x14ac:dyDescent="0.2">
      <c r="L4368" s="4">
        <v>4362</v>
      </c>
      <c r="M4368" s="21">
        <v>-60324.6040494849</v>
      </c>
      <c r="N4368" s="42">
        <v>47.771924144624556</v>
      </c>
      <c r="O4368" s="43">
        <v>15143.556462655999</v>
      </c>
    </row>
    <row r="4369" spans="12:15" x14ac:dyDescent="0.2">
      <c r="L4369" s="4">
        <v>4363</v>
      </c>
      <c r="M4369" s="21">
        <v>-91867.455403168031</v>
      </c>
      <c r="N4369" s="42">
        <v>49.807649207888119</v>
      </c>
      <c r="O4369" s="43">
        <v>13478.255763292438</v>
      </c>
    </row>
    <row r="4370" spans="12:15" x14ac:dyDescent="0.2">
      <c r="L4370" s="4">
        <v>4364</v>
      </c>
      <c r="M4370" s="21">
        <v>-67990.301315969613</v>
      </c>
      <c r="N4370" s="42">
        <v>46.972881343790519</v>
      </c>
      <c r="O4370" s="43">
        <v>15715.323319468222</v>
      </c>
    </row>
    <row r="4371" spans="12:15" x14ac:dyDescent="0.2">
      <c r="L4371" s="4">
        <v>4365</v>
      </c>
      <c r="M4371" s="21">
        <v>-179423.32928285663</v>
      </c>
      <c r="N4371" s="42">
        <v>49.7317884865476</v>
      </c>
      <c r="O4371" s="43">
        <v>12791.92822195348</v>
      </c>
    </row>
    <row r="4372" spans="12:15" x14ac:dyDescent="0.2">
      <c r="L4372" s="4">
        <v>4366</v>
      </c>
      <c r="M4372" s="21">
        <v>-23097.865542535554</v>
      </c>
      <c r="N4372" s="42">
        <v>51.074073502142085</v>
      </c>
      <c r="O4372" s="43">
        <v>14125.327438032175</v>
      </c>
    </row>
    <row r="4373" spans="12:15" x14ac:dyDescent="0.2">
      <c r="L4373" s="4">
        <v>4367</v>
      </c>
      <c r="M4373" s="21">
        <v>-183479.67541636416</v>
      </c>
      <c r="N4373" s="42">
        <v>45.033654723173761</v>
      </c>
      <c r="O4373" s="43">
        <v>16298.738351153088</v>
      </c>
    </row>
    <row r="4374" spans="12:15" x14ac:dyDescent="0.2">
      <c r="L4374" s="4">
        <v>4368</v>
      </c>
      <c r="M4374" s="21">
        <v>141025.10538035451</v>
      </c>
      <c r="N4374" s="42">
        <v>48.045283271802596</v>
      </c>
      <c r="O4374" s="43">
        <v>16461.629213741802</v>
      </c>
    </row>
    <row r="4375" spans="12:15" x14ac:dyDescent="0.2">
      <c r="L4375" s="4">
        <v>4369</v>
      </c>
      <c r="M4375" s="21">
        <v>126360.64896014624</v>
      </c>
      <c r="N4375" s="42">
        <v>49.324301817860295</v>
      </c>
      <c r="O4375" s="43">
        <v>15681.653752899336</v>
      </c>
    </row>
    <row r="4376" spans="12:15" x14ac:dyDescent="0.2">
      <c r="L4376" s="4">
        <v>4370</v>
      </c>
      <c r="M4376" s="21">
        <v>3621.4839620049461</v>
      </c>
      <c r="N4376" s="42">
        <v>48.800543582146283</v>
      </c>
      <c r="O4376" s="43">
        <v>15785.970882233576</v>
      </c>
    </row>
    <row r="4377" spans="12:15" x14ac:dyDescent="0.2">
      <c r="L4377" s="4">
        <v>4371</v>
      </c>
      <c r="M4377" s="21">
        <v>-113757.09978912989</v>
      </c>
      <c r="N4377" s="42">
        <v>50.251151559359002</v>
      </c>
      <c r="O4377" s="43">
        <v>12934.147880611363</v>
      </c>
    </row>
    <row r="4378" spans="12:15" x14ac:dyDescent="0.2">
      <c r="L4378" s="4">
        <v>4372</v>
      </c>
      <c r="M4378" s="21">
        <v>129285.25149958389</v>
      </c>
      <c r="N4378" s="42">
        <v>49.858938177405612</v>
      </c>
      <c r="O4378" s="43">
        <v>14948.291221912514</v>
      </c>
    </row>
    <row r="4379" spans="12:15" x14ac:dyDescent="0.2">
      <c r="L4379" s="4">
        <v>4373</v>
      </c>
      <c r="M4379" s="21">
        <v>-203409.96660536813</v>
      </c>
      <c r="N4379" s="42">
        <v>48.627772310279717</v>
      </c>
      <c r="O4379" s="43">
        <v>14712.819307232243</v>
      </c>
    </row>
    <row r="4380" spans="12:15" x14ac:dyDescent="0.2">
      <c r="L4380" s="4">
        <v>4374</v>
      </c>
      <c r="M4380" s="21">
        <v>-11828.110459690812</v>
      </c>
      <c r="N4380" s="42">
        <v>48.855732066200076</v>
      </c>
      <c r="O4380" s="43">
        <v>15976.843125997946</v>
      </c>
    </row>
    <row r="4381" spans="12:15" x14ac:dyDescent="0.2">
      <c r="L4381" s="4">
        <v>4375</v>
      </c>
      <c r="M4381" s="21">
        <v>-220516.38045164623</v>
      </c>
      <c r="N4381" s="42">
        <v>48.708799387322081</v>
      </c>
      <c r="O4381" s="43">
        <v>12578.525859640735</v>
      </c>
    </row>
    <row r="4382" spans="12:15" x14ac:dyDescent="0.2">
      <c r="L4382" s="4">
        <v>4376</v>
      </c>
      <c r="M4382" s="21">
        <v>-10864.88656266022</v>
      </c>
      <c r="N4382" s="42">
        <v>49.858791605387083</v>
      </c>
      <c r="O4382" s="43">
        <v>15459.882296561394</v>
      </c>
    </row>
    <row r="4383" spans="12:15" x14ac:dyDescent="0.2">
      <c r="L4383" s="4">
        <v>4377</v>
      </c>
      <c r="M4383" s="21">
        <v>7690.5351865399862</v>
      </c>
      <c r="N4383" s="42">
        <v>47.981918622153458</v>
      </c>
      <c r="O4383" s="43">
        <v>16999.620259928572</v>
      </c>
    </row>
    <row r="4384" spans="12:15" x14ac:dyDescent="0.2">
      <c r="L4384" s="4">
        <v>4378</v>
      </c>
      <c r="M4384" s="21">
        <v>21759.194030619721</v>
      </c>
      <c r="N4384" s="42">
        <v>46.894669838339411</v>
      </c>
      <c r="O4384" s="43">
        <v>17150.575649484093</v>
      </c>
    </row>
    <row r="4385" spans="12:15" x14ac:dyDescent="0.2">
      <c r="L4385" s="4">
        <v>4379</v>
      </c>
      <c r="M4385" s="21">
        <v>81172.275153965602</v>
      </c>
      <c r="N4385" s="42">
        <v>47.891263976603064</v>
      </c>
      <c r="O4385" s="43">
        <v>17059.937567650351</v>
      </c>
    </row>
    <row r="4386" spans="12:15" x14ac:dyDescent="0.2">
      <c r="L4386" s="4">
        <v>4380</v>
      </c>
      <c r="M4386" s="21">
        <v>99013.622260123608</v>
      </c>
      <c r="N4386" s="42">
        <v>51.702925819733935</v>
      </c>
      <c r="O4386" s="43">
        <v>14558.595503650027</v>
      </c>
    </row>
    <row r="4387" spans="12:15" x14ac:dyDescent="0.2">
      <c r="L4387" s="4">
        <v>4381</v>
      </c>
      <c r="M4387" s="21">
        <v>-42030.81222167064</v>
      </c>
      <c r="N4387" s="42">
        <v>49.06587402396125</v>
      </c>
      <c r="O4387" s="43">
        <v>15795.981342328618</v>
      </c>
    </row>
    <row r="4388" spans="12:15" x14ac:dyDescent="0.2">
      <c r="L4388" s="4">
        <v>4382</v>
      </c>
      <c r="M4388" s="21">
        <v>-57272.065985409004</v>
      </c>
      <c r="N4388" s="42">
        <v>50.265607857641456</v>
      </c>
      <c r="O4388" s="43">
        <v>14419.920027692637</v>
      </c>
    </row>
    <row r="4389" spans="12:15" x14ac:dyDescent="0.2">
      <c r="L4389" s="4">
        <v>4383</v>
      </c>
      <c r="M4389" s="21">
        <v>-233742.95584146644</v>
      </c>
      <c r="N4389" s="42">
        <v>47.480910089338408</v>
      </c>
      <c r="O4389" s="43">
        <v>13453.665530955288</v>
      </c>
    </row>
    <row r="4390" spans="12:15" x14ac:dyDescent="0.2">
      <c r="L4390" s="4">
        <v>4384</v>
      </c>
      <c r="M4390" s="21">
        <v>131514.86477982768</v>
      </c>
      <c r="N4390" s="42">
        <v>48.313979296291912</v>
      </c>
      <c r="O4390" s="43">
        <v>16423.020097281289</v>
      </c>
    </row>
    <row r="4391" spans="12:15" x14ac:dyDescent="0.2">
      <c r="L4391" s="4">
        <v>4385</v>
      </c>
      <c r="M4391" s="21">
        <v>58007.978136079677</v>
      </c>
      <c r="N4391" s="42">
        <v>50.43825630029361</v>
      </c>
      <c r="O4391" s="43">
        <v>13820.691934569504</v>
      </c>
    </row>
    <row r="4392" spans="12:15" x14ac:dyDescent="0.2">
      <c r="L4392" s="4">
        <v>4386</v>
      </c>
      <c r="M4392" s="21">
        <v>97710.227179622976</v>
      </c>
      <c r="N4392" s="42">
        <v>50.042003357877377</v>
      </c>
      <c r="O4392" s="43">
        <v>15600.821726354321</v>
      </c>
    </row>
    <row r="4393" spans="12:15" x14ac:dyDescent="0.2">
      <c r="L4393" s="4">
        <v>4387</v>
      </c>
      <c r="M4393" s="21">
        <v>152263.95973103173</v>
      </c>
      <c r="N4393" s="42">
        <v>49.681174021543576</v>
      </c>
      <c r="O4393" s="43">
        <v>18282.817044635936</v>
      </c>
    </row>
    <row r="4394" spans="12:15" x14ac:dyDescent="0.2">
      <c r="L4394" s="4">
        <v>4388</v>
      </c>
      <c r="M4394" s="21">
        <v>-68715.935437270338</v>
      </c>
      <c r="N4394" s="42">
        <v>49.349230460307894</v>
      </c>
      <c r="O4394" s="43">
        <v>14442.499663734929</v>
      </c>
    </row>
    <row r="4395" spans="12:15" x14ac:dyDescent="0.2">
      <c r="L4395" s="4">
        <v>4389</v>
      </c>
      <c r="M4395" s="21">
        <v>27120.335018109472</v>
      </c>
      <c r="N4395" s="42">
        <v>50.647047721139714</v>
      </c>
      <c r="O4395" s="43">
        <v>13657.48752008162</v>
      </c>
    </row>
    <row r="4396" spans="12:15" x14ac:dyDescent="0.2">
      <c r="L4396" s="4">
        <v>4390</v>
      </c>
      <c r="M4396" s="21">
        <v>-109545.64094885603</v>
      </c>
      <c r="N4396" s="42">
        <v>49.471689904832118</v>
      </c>
      <c r="O4396" s="43">
        <v>11920.697306354732</v>
      </c>
    </row>
    <row r="4397" spans="12:15" x14ac:dyDescent="0.2">
      <c r="L4397" s="4">
        <v>4391</v>
      </c>
      <c r="M4397" s="21">
        <v>-144676.43777267617</v>
      </c>
      <c r="N4397" s="42">
        <v>46.818746116420321</v>
      </c>
      <c r="O4397" s="43">
        <v>17530.837274469992</v>
      </c>
    </row>
    <row r="4398" spans="12:15" x14ac:dyDescent="0.2">
      <c r="L4398" s="4">
        <v>4392</v>
      </c>
      <c r="M4398" s="21">
        <v>-179453.20567890443</v>
      </c>
      <c r="N4398" s="42">
        <v>47.854590957863252</v>
      </c>
      <c r="O4398" s="43">
        <v>14367.557252505354</v>
      </c>
    </row>
    <row r="4399" spans="12:15" x14ac:dyDescent="0.2">
      <c r="L4399" s="4">
        <v>4393</v>
      </c>
      <c r="M4399" s="21">
        <v>-21275.131660300656</v>
      </c>
      <c r="N4399" s="42">
        <v>50.759328399178514</v>
      </c>
      <c r="O4399" s="43">
        <v>14497.457718826128</v>
      </c>
    </row>
    <row r="4400" spans="12:15" x14ac:dyDescent="0.2">
      <c r="L4400" s="4">
        <v>4394</v>
      </c>
      <c r="M4400" s="21">
        <v>40509.353308025748</v>
      </c>
      <c r="N4400" s="42">
        <v>50.869452246969388</v>
      </c>
      <c r="O4400" s="43">
        <v>15641.190883759627</v>
      </c>
    </row>
    <row r="4401" spans="12:15" x14ac:dyDescent="0.2">
      <c r="L4401" s="4">
        <v>4395</v>
      </c>
      <c r="M4401" s="21">
        <v>51724.058587779058</v>
      </c>
      <c r="N4401" s="42">
        <v>48.325709800029742</v>
      </c>
      <c r="O4401" s="43">
        <v>17185.296358940235</v>
      </c>
    </row>
    <row r="4402" spans="12:15" x14ac:dyDescent="0.2">
      <c r="L4402" s="4">
        <v>4396</v>
      </c>
      <c r="M4402" s="21">
        <v>-15671.755885183127</v>
      </c>
      <c r="N4402" s="42">
        <v>50.502383675255878</v>
      </c>
      <c r="O4402" s="43">
        <v>13904.939073425499</v>
      </c>
    </row>
    <row r="4403" spans="12:15" x14ac:dyDescent="0.2">
      <c r="L4403" s="4">
        <v>4397</v>
      </c>
      <c r="M4403" s="21">
        <v>-17556.321363827155</v>
      </c>
      <c r="N4403" s="42">
        <v>48.913772392677807</v>
      </c>
      <c r="O4403" s="43">
        <v>15228.96948396375</v>
      </c>
    </row>
    <row r="4404" spans="12:15" x14ac:dyDescent="0.2">
      <c r="L4404" s="4">
        <v>4398</v>
      </c>
      <c r="M4404" s="21">
        <v>-43238.226907239412</v>
      </c>
      <c r="N4404" s="42">
        <v>48.813065704348276</v>
      </c>
      <c r="O4404" s="43">
        <v>15945.206013241312</v>
      </c>
    </row>
    <row r="4405" spans="12:15" x14ac:dyDescent="0.2">
      <c r="L4405" s="4">
        <v>4399</v>
      </c>
      <c r="M4405" s="21">
        <v>-217652.109471859</v>
      </c>
      <c r="N4405" s="42">
        <v>51.386678652576123</v>
      </c>
      <c r="O4405" s="43">
        <v>10926.055947611228</v>
      </c>
    </row>
    <row r="4406" spans="12:15" x14ac:dyDescent="0.2">
      <c r="L4406" s="4">
        <v>4400</v>
      </c>
      <c r="M4406" s="21">
        <v>17735.477598596801</v>
      </c>
      <c r="N4406" s="42">
        <v>49.063185461067775</v>
      </c>
      <c r="O4406" s="43">
        <v>14502.344230925426</v>
      </c>
    </row>
    <row r="4407" spans="12:15" x14ac:dyDescent="0.2">
      <c r="L4407" s="4">
        <v>4401</v>
      </c>
      <c r="M4407" s="21">
        <v>73163.282181125891</v>
      </c>
      <c r="N4407" s="42">
        <v>50.061359854297883</v>
      </c>
      <c r="O4407" s="43">
        <v>16006.231001826991</v>
      </c>
    </row>
    <row r="4408" spans="12:15" x14ac:dyDescent="0.2">
      <c r="L4408" s="4">
        <v>4402</v>
      </c>
      <c r="M4408" s="21">
        <v>-58554.105768725567</v>
      </c>
      <c r="N4408" s="42">
        <v>49.07932566866328</v>
      </c>
      <c r="O4408" s="43">
        <v>14983.337511455682</v>
      </c>
    </row>
    <row r="4409" spans="12:15" x14ac:dyDescent="0.2">
      <c r="L4409" s="4">
        <v>4403</v>
      </c>
      <c r="M4409" s="21">
        <v>79216.326222868636</v>
      </c>
      <c r="N4409" s="42">
        <v>51.720087533052379</v>
      </c>
      <c r="O4409" s="43">
        <v>14539.699914442364</v>
      </c>
    </row>
    <row r="4410" spans="12:15" x14ac:dyDescent="0.2">
      <c r="L4410" s="4">
        <v>4404</v>
      </c>
      <c r="M4410" s="21">
        <v>-148331.05914351065</v>
      </c>
      <c r="N4410" s="42">
        <v>49.529207312273762</v>
      </c>
      <c r="O4410" s="43">
        <v>13279.600140654595</v>
      </c>
    </row>
    <row r="4411" spans="12:15" x14ac:dyDescent="0.2">
      <c r="L4411" s="4">
        <v>4405</v>
      </c>
      <c r="M4411" s="21">
        <v>-204647.22150376526</v>
      </c>
      <c r="N4411" s="42">
        <v>49.747948704989739</v>
      </c>
      <c r="O4411" s="43">
        <v>13278.495999874132</v>
      </c>
    </row>
    <row r="4412" spans="12:15" x14ac:dyDescent="0.2">
      <c r="L4412" s="4">
        <v>4406</v>
      </c>
      <c r="M4412" s="21">
        <v>-174649.99932153325</v>
      </c>
      <c r="N4412" s="42">
        <v>47.939897952893034</v>
      </c>
      <c r="O4412" s="43">
        <v>15514.551683390031</v>
      </c>
    </row>
    <row r="4413" spans="12:15" x14ac:dyDescent="0.2">
      <c r="L4413" s="4">
        <v>4407</v>
      </c>
      <c r="M4413" s="21">
        <v>242134.99904366193</v>
      </c>
      <c r="N4413" s="42">
        <v>49.819805650584939</v>
      </c>
      <c r="O4413" s="43">
        <v>16580.939446305427</v>
      </c>
    </row>
    <row r="4414" spans="12:15" x14ac:dyDescent="0.2">
      <c r="L4414" s="4">
        <v>4408</v>
      </c>
      <c r="M4414" s="21">
        <v>72062.3686442342</v>
      </c>
      <c r="N4414" s="42">
        <v>49.097780828248851</v>
      </c>
      <c r="O4414" s="43">
        <v>15648.310171913543</v>
      </c>
    </row>
    <row r="4415" spans="12:15" x14ac:dyDescent="0.2">
      <c r="L4415" s="4">
        <v>4409</v>
      </c>
      <c r="M4415" s="21">
        <v>-57310.217555701602</v>
      </c>
      <c r="N4415" s="42">
        <v>48.099497495706146</v>
      </c>
      <c r="O4415" s="43">
        <v>16192.3142337971</v>
      </c>
    </row>
    <row r="4416" spans="12:15" x14ac:dyDescent="0.2">
      <c r="L4416" s="4">
        <v>4410</v>
      </c>
      <c r="M4416" s="21">
        <v>-183300.34269785666</v>
      </c>
      <c r="N4416" s="42">
        <v>48.881745907964898</v>
      </c>
      <c r="O4416" s="43">
        <v>14453.516284304171</v>
      </c>
    </row>
    <row r="4417" spans="12:15" x14ac:dyDescent="0.2">
      <c r="L4417" s="4">
        <v>4411</v>
      </c>
      <c r="M4417" s="21">
        <v>-104002.67745488694</v>
      </c>
      <c r="N4417" s="42">
        <v>48.821641824764157</v>
      </c>
      <c r="O4417" s="43">
        <v>15603.15006261226</v>
      </c>
    </row>
    <row r="4418" spans="12:15" x14ac:dyDescent="0.2">
      <c r="L4418" s="4">
        <v>4412</v>
      </c>
      <c r="M4418" s="21">
        <v>246993.61105648713</v>
      </c>
      <c r="N4418" s="42">
        <v>50.393372550868804</v>
      </c>
      <c r="O4418" s="43">
        <v>16689.057524267591</v>
      </c>
    </row>
    <row r="4419" spans="12:15" x14ac:dyDescent="0.2">
      <c r="L4419" s="4">
        <v>4413</v>
      </c>
      <c r="M4419" s="21">
        <v>26144.057926359266</v>
      </c>
      <c r="N4419" s="42">
        <v>51.258970330485738</v>
      </c>
      <c r="O4419" s="43">
        <v>14569.956239080697</v>
      </c>
    </row>
    <row r="4420" spans="12:15" x14ac:dyDescent="0.2">
      <c r="L4420" s="4">
        <v>4414</v>
      </c>
      <c r="M4420" s="21">
        <v>28688.500158901996</v>
      </c>
      <c r="N4420" s="42">
        <v>51.114023351932964</v>
      </c>
      <c r="O4420" s="43">
        <v>14382.844385307195</v>
      </c>
    </row>
    <row r="4421" spans="12:15" x14ac:dyDescent="0.2">
      <c r="L4421" s="4">
        <v>4415</v>
      </c>
      <c r="M4421" s="21">
        <v>31069.246236135368</v>
      </c>
      <c r="N4421" s="42">
        <v>49.596023497801141</v>
      </c>
      <c r="O4421" s="43">
        <v>15121.794365539867</v>
      </c>
    </row>
    <row r="4422" spans="12:15" x14ac:dyDescent="0.2">
      <c r="L4422" s="4">
        <v>4416</v>
      </c>
      <c r="M4422" s="21">
        <v>99411.85856365526</v>
      </c>
      <c r="N4422" s="42">
        <v>48.333313641444867</v>
      </c>
      <c r="O4422" s="43">
        <v>16628.277270101229</v>
      </c>
    </row>
    <row r="4423" spans="12:15" x14ac:dyDescent="0.2">
      <c r="L4423" s="4">
        <v>4417</v>
      </c>
      <c r="M4423" s="21">
        <v>23203.085281535634</v>
      </c>
      <c r="N4423" s="42">
        <v>49.635003945959014</v>
      </c>
      <c r="O4423" s="43">
        <v>14765.244255050622</v>
      </c>
    </row>
    <row r="4424" spans="12:15" x14ac:dyDescent="0.2">
      <c r="L4424" s="4">
        <v>4418</v>
      </c>
      <c r="M4424" s="21">
        <v>-267043.85352687119</v>
      </c>
      <c r="N4424" s="42">
        <v>47.069302882133712</v>
      </c>
      <c r="O4424" s="43">
        <v>13377.843131909145</v>
      </c>
    </row>
    <row r="4425" spans="12:15" x14ac:dyDescent="0.2">
      <c r="L4425" s="4">
        <v>4419</v>
      </c>
      <c r="M4425" s="21">
        <v>4713.5607577294286</v>
      </c>
      <c r="N4425" s="42">
        <v>47.902451832296315</v>
      </c>
      <c r="O4425" s="43">
        <v>16153.5160555682</v>
      </c>
    </row>
    <row r="4426" spans="12:15" x14ac:dyDescent="0.2">
      <c r="L4426" s="4">
        <v>4420</v>
      </c>
      <c r="M4426" s="21">
        <v>251685.13476967256</v>
      </c>
      <c r="N4426" s="42">
        <v>49.716230632949191</v>
      </c>
      <c r="O4426" s="43">
        <v>17028.095630812826</v>
      </c>
    </row>
    <row r="4427" spans="12:15" x14ac:dyDescent="0.2">
      <c r="L4427" s="4">
        <v>4421</v>
      </c>
      <c r="M4427" s="21">
        <v>-63497.840282459205</v>
      </c>
      <c r="N4427" s="42">
        <v>47.978308286078949</v>
      </c>
      <c r="O4427" s="43">
        <v>16545.667722022787</v>
      </c>
    </row>
    <row r="4428" spans="12:15" x14ac:dyDescent="0.2">
      <c r="L4428" s="4">
        <v>4422</v>
      </c>
      <c r="M4428" s="21">
        <v>-65233.752414006784</v>
      </c>
      <c r="N4428" s="42">
        <v>50.901567352438306</v>
      </c>
      <c r="O4428" s="43">
        <v>14005.306410414967</v>
      </c>
    </row>
    <row r="4429" spans="12:15" x14ac:dyDescent="0.2">
      <c r="L4429" s="4">
        <v>4423</v>
      </c>
      <c r="M4429" s="21">
        <v>78330.762547732273</v>
      </c>
      <c r="N4429" s="42">
        <v>49.212231447032664</v>
      </c>
      <c r="O4429" s="43">
        <v>17305.776677240156</v>
      </c>
    </row>
    <row r="4430" spans="12:15" x14ac:dyDescent="0.2">
      <c r="L4430" s="4">
        <v>4424</v>
      </c>
      <c r="M4430" s="21">
        <v>234981.54675689084</v>
      </c>
      <c r="N4430" s="42">
        <v>51.199866091680285</v>
      </c>
      <c r="O4430" s="43">
        <v>15435.235724493039</v>
      </c>
    </row>
    <row r="4431" spans="12:15" x14ac:dyDescent="0.2">
      <c r="L4431" s="4">
        <v>4425</v>
      </c>
      <c r="M4431" s="21">
        <v>-29671.168774724909</v>
      </c>
      <c r="N4431" s="42">
        <v>50.556190620325495</v>
      </c>
      <c r="O4431" s="43">
        <v>14820.114052341567</v>
      </c>
    </row>
    <row r="4432" spans="12:15" x14ac:dyDescent="0.2">
      <c r="L4432" s="4">
        <v>4426</v>
      </c>
      <c r="M4432" s="21">
        <v>-55929.946430142154</v>
      </c>
      <c r="N4432" s="42">
        <v>46.269655196323022</v>
      </c>
      <c r="O4432" s="43">
        <v>15189.833375379219</v>
      </c>
    </row>
    <row r="4433" spans="12:15" x14ac:dyDescent="0.2">
      <c r="L4433" s="4">
        <v>4427</v>
      </c>
      <c r="M4433" s="21">
        <v>10416.307102129183</v>
      </c>
      <c r="N4433" s="42">
        <v>47.691326938945657</v>
      </c>
      <c r="O4433" s="43">
        <v>15531.281198795323</v>
      </c>
    </row>
    <row r="4434" spans="12:15" x14ac:dyDescent="0.2">
      <c r="L4434" s="4">
        <v>4428</v>
      </c>
      <c r="M4434" s="21">
        <v>-76082.745525560371</v>
      </c>
      <c r="N4434" s="42">
        <v>49.379485183570296</v>
      </c>
      <c r="O4434" s="43">
        <v>14538.39480652254</v>
      </c>
    </row>
    <row r="4435" spans="12:15" x14ac:dyDescent="0.2">
      <c r="L4435" s="4">
        <v>4429</v>
      </c>
      <c r="M4435" s="21">
        <v>-92471.125795225336</v>
      </c>
      <c r="N4435" s="42">
        <v>49.722230810345252</v>
      </c>
      <c r="O4435" s="43">
        <v>14171.657442660055</v>
      </c>
    </row>
    <row r="4436" spans="12:15" x14ac:dyDescent="0.2">
      <c r="L4436" s="4">
        <v>4430</v>
      </c>
      <c r="M4436" s="21">
        <v>93649.464843945636</v>
      </c>
      <c r="N4436" s="42">
        <v>50.08240893484512</v>
      </c>
      <c r="O4436" s="43">
        <v>14668.604029650081</v>
      </c>
    </row>
    <row r="4437" spans="12:15" x14ac:dyDescent="0.2">
      <c r="L4437" s="4">
        <v>4431</v>
      </c>
      <c r="M4437" s="21">
        <v>63266.882499807165</v>
      </c>
      <c r="N4437" s="42">
        <v>48.408413187780496</v>
      </c>
      <c r="O4437" s="43">
        <v>16437.875640811861</v>
      </c>
    </row>
    <row r="4438" spans="12:15" x14ac:dyDescent="0.2">
      <c r="L4438" s="4">
        <v>4432</v>
      </c>
      <c r="M4438" s="21">
        <v>179770.04631961251</v>
      </c>
      <c r="N4438" s="42">
        <v>51.196361557592496</v>
      </c>
      <c r="O4438" s="43">
        <v>15225.636359550346</v>
      </c>
    </row>
    <row r="4439" spans="12:15" x14ac:dyDescent="0.2">
      <c r="L4439" s="4">
        <v>4433</v>
      </c>
      <c r="M4439" s="21">
        <v>125368.48990980283</v>
      </c>
      <c r="N4439" s="42">
        <v>50.403792515326664</v>
      </c>
      <c r="O4439" s="43">
        <v>15231.39771066442</v>
      </c>
    </row>
    <row r="4440" spans="12:15" x14ac:dyDescent="0.2">
      <c r="L4440" s="4">
        <v>4434</v>
      </c>
      <c r="M4440" s="21">
        <v>-189678.88560028083</v>
      </c>
      <c r="N4440" s="42">
        <v>45.611912773338751</v>
      </c>
      <c r="O4440" s="43">
        <v>16712.339364559524</v>
      </c>
    </row>
    <row r="4441" spans="12:15" x14ac:dyDescent="0.2">
      <c r="L4441" s="4">
        <v>4435</v>
      </c>
      <c r="M4441" s="21">
        <v>41676.463110548037</v>
      </c>
      <c r="N4441" s="42">
        <v>46.940601426251106</v>
      </c>
      <c r="O4441" s="43">
        <v>17212.038958362798</v>
      </c>
    </row>
    <row r="4442" spans="12:15" x14ac:dyDescent="0.2">
      <c r="L4442" s="4">
        <v>4436</v>
      </c>
      <c r="M4442" s="21">
        <v>-116500.9550034077</v>
      </c>
      <c r="N4442" s="42">
        <v>49.411767146774068</v>
      </c>
      <c r="O4442" s="43">
        <v>14172.248780316029</v>
      </c>
    </row>
    <row r="4443" spans="12:15" x14ac:dyDescent="0.2">
      <c r="L4443" s="4">
        <v>4437</v>
      </c>
      <c r="M4443" s="21">
        <v>39331.180365262058</v>
      </c>
      <c r="N4443" s="42">
        <v>49.935579334848462</v>
      </c>
      <c r="O4443" s="43">
        <v>14681.833832343194</v>
      </c>
    </row>
    <row r="4444" spans="12:15" x14ac:dyDescent="0.2">
      <c r="L4444" s="4">
        <v>4438</v>
      </c>
      <c r="M4444" s="21">
        <v>-88863.081317767501</v>
      </c>
      <c r="N4444" s="42">
        <v>49.920281443956419</v>
      </c>
      <c r="O4444" s="43">
        <v>12888.324228716978</v>
      </c>
    </row>
    <row r="4445" spans="12:15" x14ac:dyDescent="0.2">
      <c r="L4445" s="4">
        <v>4439</v>
      </c>
      <c r="M4445" s="21">
        <v>-245599.86809646265</v>
      </c>
      <c r="N4445" s="42">
        <v>45.523185365295419</v>
      </c>
      <c r="O4445" s="43">
        <v>15181.959151316112</v>
      </c>
    </row>
    <row r="4446" spans="12:15" x14ac:dyDescent="0.2">
      <c r="L4446" s="4">
        <v>4440</v>
      </c>
      <c r="M4446" s="21">
        <v>-73033.595698894715</v>
      </c>
      <c r="N4446" s="42">
        <v>50.398276003403573</v>
      </c>
      <c r="O4446" s="43">
        <v>13480.873641386286</v>
      </c>
    </row>
    <row r="4447" spans="12:15" x14ac:dyDescent="0.2">
      <c r="L4447" s="4">
        <v>4441</v>
      </c>
      <c r="M4447" s="21">
        <v>-102540.24980542023</v>
      </c>
      <c r="N4447" s="42">
        <v>49.871774039306452</v>
      </c>
      <c r="O4447" s="43">
        <v>12291.513505915156</v>
      </c>
    </row>
    <row r="4448" spans="12:15" x14ac:dyDescent="0.2">
      <c r="L4448" s="4">
        <v>4442</v>
      </c>
      <c r="M4448" s="21">
        <v>-36004.482794251686</v>
      </c>
      <c r="N4448" s="42">
        <v>49.279144823913249</v>
      </c>
      <c r="O4448" s="43">
        <v>14700.719013178044</v>
      </c>
    </row>
    <row r="4449" spans="12:15" x14ac:dyDescent="0.2">
      <c r="L4449" s="4">
        <v>4443</v>
      </c>
      <c r="M4449" s="21">
        <v>113393.81262009166</v>
      </c>
      <c r="N4449" s="42">
        <v>49.799052954973931</v>
      </c>
      <c r="O4449" s="43">
        <v>15716.961540210321</v>
      </c>
    </row>
    <row r="4450" spans="12:15" x14ac:dyDescent="0.2">
      <c r="L4450" s="4">
        <v>4444</v>
      </c>
      <c r="M4450" s="21">
        <v>7740.6136224013462</v>
      </c>
      <c r="N4450" s="42">
        <v>48.297660873845345</v>
      </c>
      <c r="O4450" s="43">
        <v>16663.136835866775</v>
      </c>
    </row>
    <row r="4451" spans="12:15" x14ac:dyDescent="0.2">
      <c r="L4451" s="4">
        <v>4445</v>
      </c>
      <c r="M4451" s="21">
        <v>-57958.792898194908</v>
      </c>
      <c r="N4451" s="42">
        <v>47.693483371282312</v>
      </c>
      <c r="O4451" s="43">
        <v>16095.557204127173</v>
      </c>
    </row>
    <row r="4452" spans="12:15" x14ac:dyDescent="0.2">
      <c r="L4452" s="4">
        <v>4446</v>
      </c>
      <c r="M4452" s="21">
        <v>21891.437779808621</v>
      </c>
      <c r="N4452" s="42">
        <v>51.379813405974836</v>
      </c>
      <c r="O4452" s="43">
        <v>13329.107150454853</v>
      </c>
    </row>
    <row r="4453" spans="12:15" x14ac:dyDescent="0.2">
      <c r="L4453" s="4">
        <v>4447</v>
      </c>
      <c r="M4453" s="21">
        <v>-6346.0673813267931</v>
      </c>
      <c r="N4453" s="42">
        <v>50.795635592486107</v>
      </c>
      <c r="O4453" s="43">
        <v>14387.818245075747</v>
      </c>
    </row>
    <row r="4454" spans="12:15" x14ac:dyDescent="0.2">
      <c r="L4454" s="4">
        <v>4448</v>
      </c>
      <c r="M4454" s="21">
        <v>96275.703862682596</v>
      </c>
      <c r="N4454" s="42">
        <v>50.343623397051203</v>
      </c>
      <c r="O4454" s="43">
        <v>14297.408427347156</v>
      </c>
    </row>
    <row r="4455" spans="12:15" x14ac:dyDescent="0.2">
      <c r="L4455" s="4">
        <v>4449</v>
      </c>
      <c r="M4455" s="21">
        <v>179007.47206460199</v>
      </c>
      <c r="N4455" s="42">
        <v>50.48138766834898</v>
      </c>
      <c r="O4455" s="43">
        <v>14723.787057848562</v>
      </c>
    </row>
    <row r="4456" spans="12:15" x14ac:dyDescent="0.2">
      <c r="L4456" s="4">
        <v>4450</v>
      </c>
      <c r="M4456" s="21">
        <v>141240.61668197939</v>
      </c>
      <c r="N4456" s="42">
        <v>50.138222885123085</v>
      </c>
      <c r="O4456" s="43">
        <v>17070.727860893287</v>
      </c>
    </row>
    <row r="4457" spans="12:15" x14ac:dyDescent="0.2">
      <c r="L4457" s="4">
        <v>4451</v>
      </c>
      <c r="M4457" s="21">
        <v>290646.14199117041</v>
      </c>
      <c r="N4457" s="42">
        <v>50.423306318229749</v>
      </c>
      <c r="O4457" s="43">
        <v>18194.803898511254</v>
      </c>
    </row>
    <row r="4458" spans="12:15" x14ac:dyDescent="0.2">
      <c r="L4458" s="4">
        <v>4452</v>
      </c>
      <c r="M4458" s="21">
        <v>-152388.5912942802</v>
      </c>
      <c r="N4458" s="42">
        <v>46.900217923261138</v>
      </c>
      <c r="O4458" s="43">
        <v>15493.314292659135</v>
      </c>
    </row>
    <row r="4459" spans="12:15" x14ac:dyDescent="0.2">
      <c r="L4459" s="4">
        <v>4453</v>
      </c>
      <c r="M4459" s="21">
        <v>39532.651068532723</v>
      </c>
      <c r="N4459" s="42">
        <v>49.846241949142261</v>
      </c>
      <c r="O4459" s="43">
        <v>14367.110410082905</v>
      </c>
    </row>
    <row r="4460" spans="12:15" x14ac:dyDescent="0.2">
      <c r="L4460" s="4">
        <v>4454</v>
      </c>
      <c r="M4460" s="21">
        <v>9272.3650749125809</v>
      </c>
      <c r="N4460" s="42">
        <v>50.782014204674866</v>
      </c>
      <c r="O4460" s="43">
        <v>14043.591093623025</v>
      </c>
    </row>
    <row r="4461" spans="12:15" x14ac:dyDescent="0.2">
      <c r="L4461" s="4">
        <v>4455</v>
      </c>
      <c r="M4461" s="21">
        <v>-32509.04895175017</v>
      </c>
      <c r="N4461" s="42">
        <v>47.461528200155705</v>
      </c>
      <c r="O4461" s="43">
        <v>14476.178130780258</v>
      </c>
    </row>
    <row r="4462" spans="12:15" x14ac:dyDescent="0.2">
      <c r="L4462" s="4">
        <v>4456</v>
      </c>
      <c r="M4462" s="21">
        <v>2352.7963442373439</v>
      </c>
      <c r="N4462" s="42">
        <v>49.983168179840789</v>
      </c>
      <c r="O4462" s="43">
        <v>14773.322223104318</v>
      </c>
    </row>
    <row r="4463" spans="12:15" x14ac:dyDescent="0.2">
      <c r="L4463" s="4">
        <v>4457</v>
      </c>
      <c r="M4463" s="21">
        <v>-136053.6254460403</v>
      </c>
      <c r="N4463" s="42">
        <v>50.997973796342116</v>
      </c>
      <c r="O4463" s="43">
        <v>13051.802918683345</v>
      </c>
    </row>
    <row r="4464" spans="12:15" x14ac:dyDescent="0.2">
      <c r="L4464" s="4">
        <v>4458</v>
      </c>
      <c r="M4464" s="21">
        <v>156310.69666763378</v>
      </c>
      <c r="N4464" s="42">
        <v>50.308955412622737</v>
      </c>
      <c r="O4464" s="43">
        <v>13870.876073458647</v>
      </c>
    </row>
    <row r="4465" spans="12:15" x14ac:dyDescent="0.2">
      <c r="L4465" s="4">
        <v>4459</v>
      </c>
      <c r="M4465" s="21">
        <v>-39061.149208048781</v>
      </c>
      <c r="N4465" s="42">
        <v>49.577480587017945</v>
      </c>
      <c r="O4465" s="43">
        <v>14834.607266506697</v>
      </c>
    </row>
    <row r="4466" spans="12:15" x14ac:dyDescent="0.2">
      <c r="L4466" s="4">
        <v>4460</v>
      </c>
      <c r="M4466" s="21">
        <v>167428.5384773729</v>
      </c>
      <c r="N4466" s="42">
        <v>49.881592901650997</v>
      </c>
      <c r="O4466" s="43">
        <v>17334.961931441161</v>
      </c>
    </row>
    <row r="4467" spans="12:15" x14ac:dyDescent="0.2">
      <c r="L4467" s="4">
        <v>4461</v>
      </c>
      <c r="M4467" s="21">
        <v>28248.147187340073</v>
      </c>
      <c r="N4467" s="42">
        <v>48.117482602867547</v>
      </c>
      <c r="O4467" s="43">
        <v>17513.433493944351</v>
      </c>
    </row>
    <row r="4468" spans="12:15" x14ac:dyDescent="0.2">
      <c r="L4468" s="4">
        <v>4462</v>
      </c>
      <c r="M4468" s="21">
        <v>-180698.59708845287</v>
      </c>
      <c r="N4468" s="42">
        <v>49.245463391430548</v>
      </c>
      <c r="O4468" s="43">
        <v>13660.125613238037</v>
      </c>
    </row>
    <row r="4469" spans="12:15" x14ac:dyDescent="0.2">
      <c r="L4469" s="4">
        <v>4463</v>
      </c>
      <c r="M4469" s="21">
        <v>-6311.8124969950004</v>
      </c>
      <c r="N4469" s="42">
        <v>50.653591313570182</v>
      </c>
      <c r="O4469" s="43">
        <v>14190.536537036722</v>
      </c>
    </row>
    <row r="4470" spans="12:15" x14ac:dyDescent="0.2">
      <c r="L4470" s="4">
        <v>4464</v>
      </c>
      <c r="M4470" s="21">
        <v>161413.37504433733</v>
      </c>
      <c r="N4470" s="42">
        <v>49.424993878237636</v>
      </c>
      <c r="O4470" s="43">
        <v>18125.154994917069</v>
      </c>
    </row>
    <row r="4471" spans="12:15" x14ac:dyDescent="0.2">
      <c r="L4471" s="4">
        <v>4465</v>
      </c>
      <c r="M4471" s="21">
        <v>-227305.93039258337</v>
      </c>
      <c r="N4471" s="42">
        <v>47.7869085506263</v>
      </c>
      <c r="O4471" s="43">
        <v>12640.062053327565</v>
      </c>
    </row>
    <row r="4472" spans="12:15" x14ac:dyDescent="0.2">
      <c r="L4472" s="4">
        <v>4466</v>
      </c>
      <c r="M4472" s="21">
        <v>1776.1985386950546</v>
      </c>
      <c r="N4472" s="42">
        <v>50.98434304176493</v>
      </c>
      <c r="O4472" s="43">
        <v>13081.94195503666</v>
      </c>
    </row>
    <row r="4473" spans="12:15" x14ac:dyDescent="0.2">
      <c r="L4473" s="4">
        <v>4467</v>
      </c>
      <c r="M4473" s="21">
        <v>48652.529063194612</v>
      </c>
      <c r="N4473" s="42">
        <v>50.522622020494182</v>
      </c>
      <c r="O4473" s="43">
        <v>15263.378888950521</v>
      </c>
    </row>
    <row r="4474" spans="12:15" x14ac:dyDescent="0.2">
      <c r="L4474" s="4">
        <v>4468</v>
      </c>
      <c r="M4474" s="21">
        <v>-154343.33214355944</v>
      </c>
      <c r="N4474" s="42">
        <v>47.55766408027786</v>
      </c>
      <c r="O4474" s="43">
        <v>16300.106785834329</v>
      </c>
    </row>
    <row r="4475" spans="12:15" x14ac:dyDescent="0.2">
      <c r="L4475" s="4">
        <v>4469</v>
      </c>
      <c r="M4475" s="21">
        <v>73318.929642793664</v>
      </c>
      <c r="N4475" s="42">
        <v>50.538747378372136</v>
      </c>
      <c r="O4475" s="43">
        <v>14843.012192393762</v>
      </c>
    </row>
    <row r="4476" spans="12:15" x14ac:dyDescent="0.2">
      <c r="L4476" s="4">
        <v>4470</v>
      </c>
      <c r="M4476" s="21">
        <v>104494.51835124136</v>
      </c>
      <c r="N4476" s="42">
        <v>51.129261100842214</v>
      </c>
      <c r="O4476" s="43">
        <v>14255.015562880901</v>
      </c>
    </row>
    <row r="4477" spans="12:15" x14ac:dyDescent="0.2">
      <c r="L4477" s="4">
        <v>4471</v>
      </c>
      <c r="M4477" s="21">
        <v>-39357.142525100178</v>
      </c>
      <c r="N4477" s="42">
        <v>50.97941974723328</v>
      </c>
      <c r="O4477" s="43">
        <v>13143.675229973143</v>
      </c>
    </row>
    <row r="4478" spans="12:15" x14ac:dyDescent="0.2">
      <c r="L4478" s="4">
        <v>4472</v>
      </c>
      <c r="M4478" s="21">
        <v>-32456.563493460446</v>
      </c>
      <c r="N4478" s="42">
        <v>50.021262647426326</v>
      </c>
      <c r="O4478" s="43">
        <v>15342.703123434343</v>
      </c>
    </row>
    <row r="4479" spans="12:15" x14ac:dyDescent="0.2">
      <c r="L4479" s="4">
        <v>4473</v>
      </c>
      <c r="M4479" s="21">
        <v>-106709.41420910087</v>
      </c>
      <c r="N4479" s="42">
        <v>47.950058442106418</v>
      </c>
      <c r="O4479" s="43">
        <v>16134.005276858212</v>
      </c>
    </row>
    <row r="4480" spans="12:15" x14ac:dyDescent="0.2">
      <c r="L4480" s="4">
        <v>4474</v>
      </c>
      <c r="M4480" s="21">
        <v>105493.79363263657</v>
      </c>
      <c r="N4480" s="42">
        <v>48.119447876447673</v>
      </c>
      <c r="O4480" s="43">
        <v>16721.537553338618</v>
      </c>
    </row>
    <row r="4481" spans="12:15" x14ac:dyDescent="0.2">
      <c r="L4481" s="4">
        <v>4475</v>
      </c>
      <c r="M4481" s="21">
        <v>63769.473256201221</v>
      </c>
      <c r="N4481" s="42">
        <v>49.012422053212219</v>
      </c>
      <c r="O4481" s="43">
        <v>15082.413566057085</v>
      </c>
    </row>
    <row r="4482" spans="12:15" x14ac:dyDescent="0.2">
      <c r="L4482" s="4">
        <v>4476</v>
      </c>
      <c r="M4482" s="21">
        <v>192964.15879248027</v>
      </c>
      <c r="N4482" s="42">
        <v>51.067499066483009</v>
      </c>
      <c r="O4482" s="43">
        <v>17179.549798912056</v>
      </c>
    </row>
    <row r="4483" spans="12:15" x14ac:dyDescent="0.2">
      <c r="L4483" s="4">
        <v>4477</v>
      </c>
      <c r="M4483" s="21">
        <v>-39597.949600674867</v>
      </c>
      <c r="N4483" s="42">
        <v>50.096847779885351</v>
      </c>
      <c r="O4483" s="43">
        <v>14330.737638580611</v>
      </c>
    </row>
    <row r="4484" spans="12:15" x14ac:dyDescent="0.2">
      <c r="L4484" s="4">
        <v>4478</v>
      </c>
      <c r="M4484" s="21">
        <v>107120.58212463936</v>
      </c>
      <c r="N4484" s="42">
        <v>49.22122739465118</v>
      </c>
      <c r="O4484" s="43">
        <v>15665.829745342724</v>
      </c>
    </row>
    <row r="4485" spans="12:15" x14ac:dyDescent="0.2">
      <c r="L4485" s="4">
        <v>4479</v>
      </c>
      <c r="M4485" s="21">
        <v>34244.622994005098</v>
      </c>
      <c r="N4485" s="42">
        <v>49.652163579616555</v>
      </c>
      <c r="O4485" s="43">
        <v>15067.488289369772</v>
      </c>
    </row>
    <row r="4486" spans="12:15" x14ac:dyDescent="0.2">
      <c r="L4486" s="4">
        <v>4480</v>
      </c>
      <c r="M4486" s="21">
        <v>15614.32642035227</v>
      </c>
      <c r="N4486" s="42">
        <v>48.920457755272615</v>
      </c>
      <c r="O4486" s="43">
        <v>15750.289458897758</v>
      </c>
    </row>
    <row r="4487" spans="12:15" x14ac:dyDescent="0.2">
      <c r="L4487" s="4">
        <v>4481</v>
      </c>
      <c r="M4487" s="21">
        <v>-101445.19706148819</v>
      </c>
      <c r="N4487" s="42">
        <v>50.107278425292712</v>
      </c>
      <c r="O4487" s="43">
        <v>13539.914634817795</v>
      </c>
    </row>
    <row r="4488" spans="12:15" x14ac:dyDescent="0.2">
      <c r="L4488" s="4">
        <v>4482</v>
      </c>
      <c r="M4488" s="21">
        <v>-59535.156315931032</v>
      </c>
      <c r="N4488" s="42">
        <v>50.518666133569901</v>
      </c>
      <c r="O4488" s="43">
        <v>12774.545245251185</v>
      </c>
    </row>
    <row r="4489" spans="12:15" x14ac:dyDescent="0.2">
      <c r="L4489" s="4">
        <v>4483</v>
      </c>
      <c r="M4489" s="21">
        <v>69576.505551599839</v>
      </c>
      <c r="N4489" s="42">
        <v>51.19600747422453</v>
      </c>
      <c r="O4489" s="43">
        <v>14027.80660903848</v>
      </c>
    </row>
    <row r="4490" spans="12:15" x14ac:dyDescent="0.2">
      <c r="L4490" s="4">
        <v>4484</v>
      </c>
      <c r="M4490" s="21">
        <v>-81831.122155997495</v>
      </c>
      <c r="N4490" s="42">
        <v>49.000486715107861</v>
      </c>
      <c r="O4490" s="43">
        <v>16560.464139340838</v>
      </c>
    </row>
    <row r="4491" spans="12:15" x14ac:dyDescent="0.2">
      <c r="L4491" s="4">
        <v>4485</v>
      </c>
      <c r="M4491" s="21">
        <v>-236435.53701865749</v>
      </c>
      <c r="N4491" s="42">
        <v>46.746370016132765</v>
      </c>
      <c r="O4491" s="43">
        <v>16845.360443681275</v>
      </c>
    </row>
    <row r="4492" spans="12:15" x14ac:dyDescent="0.2">
      <c r="L4492" s="4">
        <v>4486</v>
      </c>
      <c r="M4492" s="21">
        <v>-69952.868869525919</v>
      </c>
      <c r="N4492" s="42">
        <v>48.498407831299275</v>
      </c>
      <c r="O4492" s="43">
        <v>14438.011606888889</v>
      </c>
    </row>
    <row r="4493" spans="12:15" x14ac:dyDescent="0.2">
      <c r="L4493" s="4">
        <v>4487</v>
      </c>
      <c r="M4493" s="21">
        <v>263187.81666204357</v>
      </c>
      <c r="N4493" s="42">
        <v>50.410049340351875</v>
      </c>
      <c r="O4493" s="43">
        <v>17174.79491275223</v>
      </c>
    </row>
    <row r="4494" spans="12:15" x14ac:dyDescent="0.2">
      <c r="L4494" s="4">
        <v>4488</v>
      </c>
      <c r="M4494" s="21">
        <v>-118070.52416031359</v>
      </c>
      <c r="N4494" s="42">
        <v>50.072852946007913</v>
      </c>
      <c r="O4494" s="43">
        <v>12574.700724459326</v>
      </c>
    </row>
    <row r="4495" spans="12:15" x14ac:dyDescent="0.2">
      <c r="L4495" s="4">
        <v>4489</v>
      </c>
      <c r="M4495" s="21">
        <v>-25915.801513360246</v>
      </c>
      <c r="N4495" s="42">
        <v>49.717123576683797</v>
      </c>
      <c r="O4495" s="43">
        <v>14573.917447575053</v>
      </c>
    </row>
    <row r="4496" spans="12:15" x14ac:dyDescent="0.2">
      <c r="L4496" s="4">
        <v>4490</v>
      </c>
      <c r="M4496" s="21">
        <v>15631.988461615867</v>
      </c>
      <c r="N4496" s="42">
        <v>47.747659603520631</v>
      </c>
      <c r="O4496" s="43">
        <v>19139.295994459084</v>
      </c>
    </row>
    <row r="4497" spans="12:15" x14ac:dyDescent="0.2">
      <c r="L4497" s="4">
        <v>4491</v>
      </c>
      <c r="M4497" s="21">
        <v>-145342.36472701462</v>
      </c>
      <c r="N4497" s="42">
        <v>46.676748435827342</v>
      </c>
      <c r="O4497" s="43">
        <v>15562.988649406867</v>
      </c>
    </row>
    <row r="4498" spans="12:15" x14ac:dyDescent="0.2">
      <c r="L4498" s="4">
        <v>4492</v>
      </c>
      <c r="M4498" s="21">
        <v>20787.861822760606</v>
      </c>
      <c r="N4498" s="42">
        <v>48.149307314576618</v>
      </c>
      <c r="O4498" s="43">
        <v>17738.420992309781</v>
      </c>
    </row>
    <row r="4499" spans="12:15" x14ac:dyDescent="0.2">
      <c r="L4499" s="4">
        <v>4493</v>
      </c>
      <c r="M4499" s="21">
        <v>-70884.059871017103</v>
      </c>
      <c r="N4499" s="42">
        <v>48.020645350743216</v>
      </c>
      <c r="O4499" s="43">
        <v>17444.023558150358</v>
      </c>
    </row>
    <row r="4500" spans="12:15" x14ac:dyDescent="0.2">
      <c r="L4500" s="4">
        <v>4494</v>
      </c>
      <c r="M4500" s="21">
        <v>-80692.508714708383</v>
      </c>
      <c r="N4500" s="42">
        <v>50.19895105776525</v>
      </c>
      <c r="O4500" s="43">
        <v>14262.655253461377</v>
      </c>
    </row>
    <row r="4501" spans="12:15" x14ac:dyDescent="0.2">
      <c r="L4501" s="4">
        <v>4495</v>
      </c>
      <c r="M4501" s="21">
        <v>-153440.5087494459</v>
      </c>
      <c r="N4501" s="42">
        <v>47.840706263312448</v>
      </c>
      <c r="O4501" s="43">
        <v>15152.167177283492</v>
      </c>
    </row>
    <row r="4502" spans="12:15" x14ac:dyDescent="0.2">
      <c r="L4502" s="4">
        <v>4496</v>
      </c>
      <c r="M4502" s="21">
        <v>43425.274571480841</v>
      </c>
      <c r="N4502" s="42">
        <v>47.78742244017775</v>
      </c>
      <c r="O4502" s="43">
        <v>16385.405659958313</v>
      </c>
    </row>
    <row r="4503" spans="12:15" x14ac:dyDescent="0.2">
      <c r="L4503" s="4">
        <v>4497</v>
      </c>
      <c r="M4503" s="21">
        <v>-176455.97381595714</v>
      </c>
      <c r="N4503" s="42">
        <v>46.160673065917251</v>
      </c>
      <c r="O4503" s="43">
        <v>18970.632063493071</v>
      </c>
    </row>
    <row r="4504" spans="12:15" x14ac:dyDescent="0.2">
      <c r="L4504" s="4">
        <v>4498</v>
      </c>
      <c r="M4504" s="21">
        <v>179193.89307502157</v>
      </c>
      <c r="N4504" s="42">
        <v>50.995722465049802</v>
      </c>
      <c r="O4504" s="43">
        <v>15891.19550514949</v>
      </c>
    </row>
    <row r="4505" spans="12:15" x14ac:dyDescent="0.2">
      <c r="L4505" s="4">
        <v>4499</v>
      </c>
      <c r="M4505" s="21">
        <v>-80637.686911375393</v>
      </c>
      <c r="N4505" s="42">
        <v>48.497490776907135</v>
      </c>
      <c r="O4505" s="43">
        <v>15570.407588167605</v>
      </c>
    </row>
    <row r="4506" spans="12:15" x14ac:dyDescent="0.2">
      <c r="L4506" s="4">
        <v>4500</v>
      </c>
      <c r="M4506" s="21">
        <v>107195.81597275086</v>
      </c>
      <c r="N4506" s="42">
        <v>47.771242454738861</v>
      </c>
      <c r="O4506" s="43">
        <v>16890.934649844887</v>
      </c>
    </row>
    <row r="4507" spans="12:15" x14ac:dyDescent="0.2">
      <c r="L4507" s="4">
        <v>4501</v>
      </c>
      <c r="M4507" s="21">
        <v>-18789.804194242912</v>
      </c>
      <c r="N4507" s="42">
        <v>48.902655757401945</v>
      </c>
      <c r="O4507" s="43">
        <v>14909.611071341304</v>
      </c>
    </row>
    <row r="4508" spans="12:15" x14ac:dyDescent="0.2">
      <c r="L4508" s="4">
        <v>4502</v>
      </c>
      <c r="M4508" s="21">
        <v>-117.07358421168465</v>
      </c>
      <c r="N4508" s="42">
        <v>50.887299016794735</v>
      </c>
      <c r="O4508" s="43">
        <v>13765.184006102003</v>
      </c>
    </row>
    <row r="4509" spans="12:15" x14ac:dyDescent="0.2">
      <c r="L4509" s="4">
        <v>4503</v>
      </c>
      <c r="M4509" s="21">
        <v>6427.496300971834</v>
      </c>
      <c r="N4509" s="42">
        <v>49.529558605947244</v>
      </c>
      <c r="O4509" s="43">
        <v>15052.796718626179</v>
      </c>
    </row>
    <row r="4510" spans="12:15" x14ac:dyDescent="0.2">
      <c r="L4510" s="4">
        <v>4504</v>
      </c>
      <c r="M4510" s="21">
        <v>36085.193157565693</v>
      </c>
      <c r="N4510" s="42">
        <v>48.040752972752919</v>
      </c>
      <c r="O4510" s="43">
        <v>16678.456703356442</v>
      </c>
    </row>
    <row r="4511" spans="12:15" x14ac:dyDescent="0.2">
      <c r="L4511" s="4">
        <v>4505</v>
      </c>
      <c r="M4511" s="21">
        <v>-33.758574407242122</v>
      </c>
      <c r="N4511" s="42">
        <v>51.404715704805135</v>
      </c>
      <c r="O4511" s="43">
        <v>13853.819904713937</v>
      </c>
    </row>
    <row r="4512" spans="12:15" x14ac:dyDescent="0.2">
      <c r="L4512" s="4">
        <v>4506</v>
      </c>
      <c r="M4512" s="21">
        <v>-212853.99461623418</v>
      </c>
      <c r="N4512" s="42">
        <v>48.698390794842446</v>
      </c>
      <c r="O4512" s="43">
        <v>13737.589661218615</v>
      </c>
    </row>
    <row r="4513" spans="12:15" x14ac:dyDescent="0.2">
      <c r="L4513" s="4">
        <v>4507</v>
      </c>
      <c r="M4513" s="21">
        <v>-13763.719879293727</v>
      </c>
      <c r="N4513" s="42">
        <v>50.697570294321828</v>
      </c>
      <c r="O4513" s="43">
        <v>12931.779940625929</v>
      </c>
    </row>
    <row r="4514" spans="12:15" x14ac:dyDescent="0.2">
      <c r="L4514" s="4">
        <v>4508</v>
      </c>
      <c r="M4514" s="21">
        <v>51083.992688398866</v>
      </c>
      <c r="N4514" s="42">
        <v>51.057535532940314</v>
      </c>
      <c r="O4514" s="43">
        <v>14106.132302838956</v>
      </c>
    </row>
    <row r="4515" spans="12:15" x14ac:dyDescent="0.2">
      <c r="L4515" s="4">
        <v>4509</v>
      </c>
      <c r="M4515" s="21">
        <v>6697.7856524448434</v>
      </c>
      <c r="N4515" s="42">
        <v>49.785591127243428</v>
      </c>
      <c r="O4515" s="43">
        <v>14703.697947032486</v>
      </c>
    </row>
    <row r="4516" spans="12:15" x14ac:dyDescent="0.2">
      <c r="L4516" s="4">
        <v>4510</v>
      </c>
      <c r="M4516" s="21">
        <v>-48780.638115462105</v>
      </c>
      <c r="N4516" s="42">
        <v>48.862704576801256</v>
      </c>
      <c r="O4516" s="43">
        <v>15977.650831854749</v>
      </c>
    </row>
    <row r="4517" spans="12:15" x14ac:dyDescent="0.2">
      <c r="L4517" s="4">
        <v>4511</v>
      </c>
      <c r="M4517" s="21">
        <v>29229.559239490307</v>
      </c>
      <c r="N4517" s="42">
        <v>50.293261349088326</v>
      </c>
      <c r="O4517" s="43">
        <v>14342.091819806454</v>
      </c>
    </row>
    <row r="4518" spans="12:15" x14ac:dyDescent="0.2">
      <c r="L4518" s="4">
        <v>4512</v>
      </c>
      <c r="M4518" s="21">
        <v>-95351.77468059129</v>
      </c>
      <c r="N4518" s="42">
        <v>50.031375585955338</v>
      </c>
      <c r="O4518" s="43">
        <v>14786.0338131512</v>
      </c>
    </row>
    <row r="4519" spans="12:15" x14ac:dyDescent="0.2">
      <c r="L4519" s="4">
        <v>4513</v>
      </c>
      <c r="M4519" s="21">
        <v>-31428.400656255428</v>
      </c>
      <c r="N4519" s="42">
        <v>48.077067443903388</v>
      </c>
      <c r="O4519" s="43">
        <v>14764.751777019714</v>
      </c>
    </row>
    <row r="4520" spans="12:15" x14ac:dyDescent="0.2">
      <c r="L4520" s="4">
        <v>4514</v>
      </c>
      <c r="M4520" s="21">
        <v>296680.97004683758</v>
      </c>
      <c r="N4520" s="42">
        <v>50.852172231165923</v>
      </c>
      <c r="O4520" s="43">
        <v>16245.908881430067</v>
      </c>
    </row>
    <row r="4521" spans="12:15" x14ac:dyDescent="0.2">
      <c r="L4521" s="4">
        <v>4515</v>
      </c>
      <c r="M4521" s="21">
        <v>-119006.42037522863</v>
      </c>
      <c r="N4521" s="42">
        <v>47.596463857969503</v>
      </c>
      <c r="O4521" s="43">
        <v>13791.510329408975</v>
      </c>
    </row>
    <row r="4522" spans="12:15" x14ac:dyDescent="0.2">
      <c r="L4522" s="4">
        <v>4516</v>
      </c>
      <c r="M4522" s="21">
        <v>-352075.77622626175</v>
      </c>
      <c r="N4522" s="42">
        <v>46.725877523799845</v>
      </c>
      <c r="O4522" s="43">
        <v>13385.674321016846</v>
      </c>
    </row>
    <row r="4523" spans="12:15" x14ac:dyDescent="0.2">
      <c r="L4523" s="4">
        <v>4517</v>
      </c>
      <c r="M4523" s="21">
        <v>-415956.41289190529</v>
      </c>
      <c r="N4523" s="42">
        <v>44.791684292672826</v>
      </c>
      <c r="O4523" s="43">
        <v>16771.785263918166</v>
      </c>
    </row>
    <row r="4524" spans="12:15" x14ac:dyDescent="0.2">
      <c r="L4524" s="4">
        <v>4518</v>
      </c>
      <c r="M4524" s="21">
        <v>-110250.60258528836</v>
      </c>
      <c r="N4524" s="42">
        <v>48.428633781489012</v>
      </c>
      <c r="O4524" s="43">
        <v>13866.47185407578</v>
      </c>
    </row>
    <row r="4525" spans="12:15" x14ac:dyDescent="0.2">
      <c r="L4525" s="4">
        <v>4519</v>
      </c>
      <c r="M4525" s="21">
        <v>162390.13529383592</v>
      </c>
      <c r="N4525" s="42">
        <v>50.586351730506287</v>
      </c>
      <c r="O4525" s="43">
        <v>16160.276882923885</v>
      </c>
    </row>
    <row r="4526" spans="12:15" x14ac:dyDescent="0.2">
      <c r="L4526" s="4">
        <v>4520</v>
      </c>
      <c r="M4526" s="21">
        <v>-34574.103827258456</v>
      </c>
      <c r="N4526" s="42">
        <v>49.532116735252188</v>
      </c>
      <c r="O4526" s="43">
        <v>14864.290752296742</v>
      </c>
    </row>
    <row r="4527" spans="12:15" x14ac:dyDescent="0.2">
      <c r="L4527" s="4">
        <v>4521</v>
      </c>
      <c r="M4527" s="21">
        <v>32611.115835579636</v>
      </c>
      <c r="N4527" s="42">
        <v>49.192869557788491</v>
      </c>
      <c r="O4527" s="43">
        <v>16719.145213110263</v>
      </c>
    </row>
    <row r="4528" spans="12:15" x14ac:dyDescent="0.2">
      <c r="L4528" s="4">
        <v>4522</v>
      </c>
      <c r="M4528" s="21">
        <v>-70552.061353241123</v>
      </c>
      <c r="N4528" s="42">
        <v>51.474080581296207</v>
      </c>
      <c r="O4528" s="43">
        <v>12386.027029841389</v>
      </c>
    </row>
    <row r="4529" spans="12:15" x14ac:dyDescent="0.2">
      <c r="L4529" s="4">
        <v>4523</v>
      </c>
      <c r="M4529" s="21">
        <v>16309.013465750642</v>
      </c>
      <c r="N4529" s="42">
        <v>47.368148135499595</v>
      </c>
      <c r="O4529" s="43">
        <v>16173.549533120507</v>
      </c>
    </row>
    <row r="4530" spans="12:15" x14ac:dyDescent="0.2">
      <c r="L4530" s="4">
        <v>4524</v>
      </c>
      <c r="M4530" s="21">
        <v>-163119.64633187867</v>
      </c>
      <c r="N4530" s="42">
        <v>46.181741498770819</v>
      </c>
      <c r="O4530" s="43">
        <v>16164.327906637034</v>
      </c>
    </row>
    <row r="4531" spans="12:15" x14ac:dyDescent="0.2">
      <c r="L4531" s="4">
        <v>4525</v>
      </c>
      <c r="M4531" s="21">
        <v>-87719.911078076912</v>
      </c>
      <c r="N4531" s="42">
        <v>47.009517787217447</v>
      </c>
      <c r="O4531" s="43">
        <v>16007.758579910709</v>
      </c>
    </row>
    <row r="4532" spans="12:15" x14ac:dyDescent="0.2">
      <c r="L4532" s="4">
        <v>4526</v>
      </c>
      <c r="M4532" s="21">
        <v>69056.562422524323</v>
      </c>
      <c r="N4532" s="42">
        <v>47.813332350826194</v>
      </c>
      <c r="O4532" s="43">
        <v>17435.097876545322</v>
      </c>
    </row>
    <row r="4533" spans="12:15" x14ac:dyDescent="0.2">
      <c r="L4533" s="4">
        <v>4527</v>
      </c>
      <c r="M4533" s="21">
        <v>14780.701661123894</v>
      </c>
      <c r="N4533" s="42">
        <v>48.943503099137089</v>
      </c>
      <c r="O4533" s="43">
        <v>15668.5430463625</v>
      </c>
    </row>
    <row r="4534" spans="12:15" x14ac:dyDescent="0.2">
      <c r="L4534" s="4">
        <v>4528</v>
      </c>
      <c r="M4534" s="21">
        <v>-109985.87119546359</v>
      </c>
      <c r="N4534" s="42">
        <v>48.46130144800491</v>
      </c>
      <c r="O4534" s="43">
        <v>15276.408209307559</v>
      </c>
    </row>
    <row r="4535" spans="12:15" x14ac:dyDescent="0.2">
      <c r="L4535" s="4">
        <v>4529</v>
      </c>
      <c r="M4535" s="21">
        <v>52282.856993915397</v>
      </c>
      <c r="N4535" s="42">
        <v>48.937466569796896</v>
      </c>
      <c r="O4535" s="43">
        <v>16648.431169298499</v>
      </c>
    </row>
    <row r="4536" spans="12:15" x14ac:dyDescent="0.2">
      <c r="L4536" s="4">
        <v>4530</v>
      </c>
      <c r="M4536" s="21">
        <v>-159418.53084445387</v>
      </c>
      <c r="N4536" s="42">
        <v>47.538227593368184</v>
      </c>
      <c r="O4536" s="43">
        <v>14261.855417736664</v>
      </c>
    </row>
    <row r="4537" spans="12:15" x14ac:dyDescent="0.2">
      <c r="L4537" s="4">
        <v>4531</v>
      </c>
      <c r="M4537" s="21">
        <v>-84171.768497867481</v>
      </c>
      <c r="N4537" s="42">
        <v>47.846534650411833</v>
      </c>
      <c r="O4537" s="43">
        <v>16143.138477231465</v>
      </c>
    </row>
    <row r="4538" spans="12:15" x14ac:dyDescent="0.2">
      <c r="L4538" s="4">
        <v>4532</v>
      </c>
      <c r="M4538" s="21">
        <v>-151215.35523715246</v>
      </c>
      <c r="N4538" s="42">
        <v>48.228752214806306</v>
      </c>
      <c r="O4538" s="43">
        <v>13503.545706336487</v>
      </c>
    </row>
    <row r="4539" spans="12:15" x14ac:dyDescent="0.2">
      <c r="L4539" s="4">
        <v>4533</v>
      </c>
      <c r="M4539" s="21">
        <v>-129021.55289609086</v>
      </c>
      <c r="N4539" s="42">
        <v>47.452034223609751</v>
      </c>
      <c r="O4539" s="43">
        <v>15326.79535610092</v>
      </c>
    </row>
    <row r="4540" spans="12:15" x14ac:dyDescent="0.2">
      <c r="L4540" s="4">
        <v>4534</v>
      </c>
      <c r="M4540" s="21">
        <v>-154594.7572816902</v>
      </c>
      <c r="N4540" s="42">
        <v>49.45937749057353</v>
      </c>
      <c r="O4540" s="43">
        <v>13801.992863287487</v>
      </c>
    </row>
    <row r="4541" spans="12:15" x14ac:dyDescent="0.2">
      <c r="L4541" s="4">
        <v>4535</v>
      </c>
      <c r="M4541" s="21">
        <v>20582.024557610712</v>
      </c>
      <c r="N4541" s="42">
        <v>48.958350895075839</v>
      </c>
      <c r="O4541" s="43">
        <v>15910.432282440697</v>
      </c>
    </row>
    <row r="4542" spans="12:15" x14ac:dyDescent="0.2">
      <c r="L4542" s="4">
        <v>4536</v>
      </c>
      <c r="M4542" s="21">
        <v>-168818.00586602074</v>
      </c>
      <c r="N4542" s="42">
        <v>47.98188404958244</v>
      </c>
      <c r="O4542" s="43">
        <v>13845.580721302638</v>
      </c>
    </row>
    <row r="4543" spans="12:15" x14ac:dyDescent="0.2">
      <c r="L4543" s="4">
        <v>4537</v>
      </c>
      <c r="M4543" s="21">
        <v>-82067.019561055829</v>
      </c>
      <c r="N4543" s="42">
        <v>46.711381571674025</v>
      </c>
      <c r="O4543" s="43">
        <v>17212.818186415367</v>
      </c>
    </row>
    <row r="4544" spans="12:15" x14ac:dyDescent="0.2">
      <c r="L4544" s="4">
        <v>4538</v>
      </c>
      <c r="M4544" s="21">
        <v>14877.864539896371</v>
      </c>
      <c r="N4544" s="42">
        <v>49.166413490953573</v>
      </c>
      <c r="O4544" s="43">
        <v>15626.918647366152</v>
      </c>
    </row>
    <row r="4545" spans="12:15" x14ac:dyDescent="0.2">
      <c r="L4545" s="4">
        <v>4539</v>
      </c>
      <c r="M4545" s="21">
        <v>-10421.877266144715</v>
      </c>
      <c r="N4545" s="42">
        <v>51.222467108384919</v>
      </c>
      <c r="O4545" s="43">
        <v>13899.594439732109</v>
      </c>
    </row>
    <row r="4546" spans="12:15" x14ac:dyDescent="0.2">
      <c r="L4546" s="4">
        <v>4540</v>
      </c>
      <c r="M4546" s="21">
        <v>-9040.0516919904476</v>
      </c>
      <c r="N4546" s="42">
        <v>50.37277802439575</v>
      </c>
      <c r="O4546" s="43">
        <v>13897.642224417266</v>
      </c>
    </row>
    <row r="4547" spans="12:15" x14ac:dyDescent="0.2">
      <c r="L4547" s="4">
        <v>4541</v>
      </c>
      <c r="M4547" s="21">
        <v>52821.528505340248</v>
      </c>
      <c r="N4547" s="42">
        <v>48.12012979136243</v>
      </c>
      <c r="O4547" s="43">
        <v>17957.971799565967</v>
      </c>
    </row>
    <row r="4548" spans="12:15" x14ac:dyDescent="0.2">
      <c r="L4548" s="4">
        <v>4542</v>
      </c>
      <c r="M4548" s="21">
        <v>-51096.026998651665</v>
      </c>
      <c r="N4548" s="42">
        <v>47.248172916467574</v>
      </c>
      <c r="O4548" s="43">
        <v>15709.598695764995</v>
      </c>
    </row>
    <row r="4549" spans="12:15" x14ac:dyDescent="0.2">
      <c r="L4549" s="4">
        <v>4543</v>
      </c>
      <c r="M4549" s="21">
        <v>63895.320818973851</v>
      </c>
      <c r="N4549" s="42">
        <v>50.738482278932253</v>
      </c>
      <c r="O4549" s="43">
        <v>15591.366099488489</v>
      </c>
    </row>
    <row r="4550" spans="12:15" x14ac:dyDescent="0.2">
      <c r="L4550" s="4">
        <v>4544</v>
      </c>
      <c r="M4550" s="21">
        <v>56940.917833558109</v>
      </c>
      <c r="N4550" s="42">
        <v>48.638099552802899</v>
      </c>
      <c r="O4550" s="43">
        <v>18098.966262708625</v>
      </c>
    </row>
    <row r="4551" spans="12:15" x14ac:dyDescent="0.2">
      <c r="L4551" s="4">
        <v>4545</v>
      </c>
      <c r="M4551" s="21">
        <v>-99680.320249034936</v>
      </c>
      <c r="N4551" s="42">
        <v>50.462792390635137</v>
      </c>
      <c r="O4551" s="43">
        <v>13435.790203912393</v>
      </c>
    </row>
    <row r="4552" spans="12:15" x14ac:dyDescent="0.2">
      <c r="L4552" s="4">
        <v>4546</v>
      </c>
      <c r="M4552" s="21">
        <v>33692.685883763188</v>
      </c>
      <c r="N4552" s="42">
        <v>50.550993809794903</v>
      </c>
      <c r="O4552" s="43">
        <v>13382.534017440266</v>
      </c>
    </row>
    <row r="4553" spans="12:15" x14ac:dyDescent="0.2">
      <c r="L4553" s="4">
        <v>4547</v>
      </c>
      <c r="M4553" s="21">
        <v>129333.28224013562</v>
      </c>
      <c r="N4553" s="42">
        <v>50.29047990315263</v>
      </c>
      <c r="O4553" s="43">
        <v>15171.86820366491</v>
      </c>
    </row>
    <row r="4554" spans="12:15" x14ac:dyDescent="0.2">
      <c r="L4554" s="4">
        <v>4548</v>
      </c>
      <c r="M4554" s="21">
        <v>-67496.49225096943</v>
      </c>
      <c r="N4554" s="42">
        <v>49.392925632360864</v>
      </c>
      <c r="O4554" s="43">
        <v>15175.990628024922</v>
      </c>
    </row>
    <row r="4555" spans="12:15" x14ac:dyDescent="0.2">
      <c r="L4555" s="4">
        <v>4549</v>
      </c>
      <c r="M4555" s="21">
        <v>-41337.946854546113</v>
      </c>
      <c r="N4555" s="42">
        <v>50.225937758485031</v>
      </c>
      <c r="O4555" s="43">
        <v>13507.327566680817</v>
      </c>
    </row>
    <row r="4556" spans="12:15" x14ac:dyDescent="0.2">
      <c r="L4556" s="4">
        <v>4550</v>
      </c>
      <c r="M4556" s="21">
        <v>-240665.86830698175</v>
      </c>
      <c r="N4556" s="42">
        <v>48.854319042508422</v>
      </c>
      <c r="O4556" s="43">
        <v>13408.758297096581</v>
      </c>
    </row>
    <row r="4557" spans="12:15" x14ac:dyDescent="0.2">
      <c r="L4557" s="4">
        <v>4551</v>
      </c>
      <c r="M4557" s="21">
        <v>-55505.885462407765</v>
      </c>
      <c r="N4557" s="42">
        <v>50.265686762819186</v>
      </c>
      <c r="O4557" s="43">
        <v>14467.438875691925</v>
      </c>
    </row>
    <row r="4558" spans="12:15" x14ac:dyDescent="0.2">
      <c r="L4558" s="4">
        <v>4552</v>
      </c>
      <c r="M4558" s="21">
        <v>20413.007471855119</v>
      </c>
      <c r="N4558" s="42">
        <v>50.732308966981357</v>
      </c>
      <c r="O4558" s="43">
        <v>14136.244955225086</v>
      </c>
    </row>
    <row r="4559" spans="12:15" x14ac:dyDescent="0.2">
      <c r="L4559" s="4">
        <v>4553</v>
      </c>
      <c r="M4559" s="21">
        <v>-38362.069672173369</v>
      </c>
      <c r="N4559" s="42">
        <v>47.824327975181767</v>
      </c>
      <c r="O4559" s="43">
        <v>15876.225961596612</v>
      </c>
    </row>
    <row r="4560" spans="12:15" x14ac:dyDescent="0.2">
      <c r="L4560" s="4">
        <v>4554</v>
      </c>
      <c r="M4560" s="21">
        <v>-61020.116287656027</v>
      </c>
      <c r="N4560" s="42">
        <v>48.051934864132875</v>
      </c>
      <c r="O4560" s="43">
        <v>15337.814076454764</v>
      </c>
    </row>
    <row r="4561" spans="12:15" x14ac:dyDescent="0.2">
      <c r="L4561" s="4">
        <v>4555</v>
      </c>
      <c r="M4561" s="21">
        <v>28268.700818113866</v>
      </c>
      <c r="N4561" s="42">
        <v>50.050507137476281</v>
      </c>
      <c r="O4561" s="43">
        <v>14931.819503309229</v>
      </c>
    </row>
    <row r="4562" spans="12:15" x14ac:dyDescent="0.2">
      <c r="L4562" s="4">
        <v>4556</v>
      </c>
      <c r="M4562" s="21">
        <v>6728.7122296112357</v>
      </c>
      <c r="N4562" s="42">
        <v>49.421606919384402</v>
      </c>
      <c r="O4562" s="43">
        <v>14690.108961767162</v>
      </c>
    </row>
    <row r="4563" spans="12:15" x14ac:dyDescent="0.2">
      <c r="L4563" s="4">
        <v>4557</v>
      </c>
      <c r="M4563" s="21">
        <v>67466.74878435838</v>
      </c>
      <c r="N4563" s="42">
        <v>49.066047491516002</v>
      </c>
      <c r="O4563" s="43">
        <v>15088.260508889623</v>
      </c>
    </row>
    <row r="4564" spans="12:15" x14ac:dyDescent="0.2">
      <c r="L4564" s="4">
        <v>4558</v>
      </c>
      <c r="M4564" s="21">
        <v>-126416.24855427421</v>
      </c>
      <c r="N4564" s="42">
        <v>48.72586303427255</v>
      </c>
      <c r="O4564" s="43">
        <v>14286.457698910672</v>
      </c>
    </row>
    <row r="4565" spans="12:15" x14ac:dyDescent="0.2">
      <c r="L4565" s="4">
        <v>4559</v>
      </c>
      <c r="M4565" s="21">
        <v>-119333.10146903258</v>
      </c>
      <c r="N4565" s="42">
        <v>46.908052749299266</v>
      </c>
      <c r="O4565" s="43">
        <v>17587.46004138541</v>
      </c>
    </row>
    <row r="4566" spans="12:15" x14ac:dyDescent="0.2">
      <c r="L4566" s="4">
        <v>4560</v>
      </c>
      <c r="M4566" s="21">
        <v>-137120.85859320633</v>
      </c>
      <c r="N4566" s="42">
        <v>48.247518910731188</v>
      </c>
      <c r="O4566" s="43">
        <v>14765.651657589697</v>
      </c>
    </row>
    <row r="4567" spans="12:15" x14ac:dyDescent="0.2">
      <c r="L4567" s="4">
        <v>4561</v>
      </c>
      <c r="M4567" s="21">
        <v>-108005.83419882275</v>
      </c>
      <c r="N4567" s="42">
        <v>47.207372509177347</v>
      </c>
      <c r="O4567" s="43">
        <v>19260.919288221441</v>
      </c>
    </row>
    <row r="4568" spans="12:15" x14ac:dyDescent="0.2">
      <c r="L4568" s="4">
        <v>4562</v>
      </c>
      <c r="M4568" s="21">
        <v>-79461.051761036782</v>
      </c>
      <c r="N4568" s="42">
        <v>48.050418321738718</v>
      </c>
      <c r="O4568" s="43">
        <v>16199.984061157716</v>
      </c>
    </row>
    <row r="4569" spans="12:15" x14ac:dyDescent="0.2">
      <c r="L4569" s="4">
        <v>4563</v>
      </c>
      <c r="M4569" s="21">
        <v>78912.169361081178</v>
      </c>
      <c r="N4569" s="42">
        <v>50.625129202180617</v>
      </c>
      <c r="O4569" s="43">
        <v>15030.622786643502</v>
      </c>
    </row>
    <row r="4570" spans="12:15" x14ac:dyDescent="0.2">
      <c r="L4570" s="4">
        <v>4564</v>
      </c>
      <c r="M4570" s="21">
        <v>-127500.95131761143</v>
      </c>
      <c r="N4570" s="42">
        <v>50.903333551705245</v>
      </c>
      <c r="O4570" s="43">
        <v>12863.870976999699</v>
      </c>
    </row>
    <row r="4571" spans="12:15" x14ac:dyDescent="0.2">
      <c r="L4571" s="4">
        <v>4565</v>
      </c>
      <c r="M4571" s="21">
        <v>-73103.608231407707</v>
      </c>
      <c r="N4571" s="42">
        <v>47.532021822158491</v>
      </c>
      <c r="O4571" s="43">
        <v>15050.285824296905</v>
      </c>
    </row>
    <row r="4572" spans="12:15" x14ac:dyDescent="0.2">
      <c r="L4572" s="4">
        <v>4566</v>
      </c>
      <c r="M4572" s="21">
        <v>99950.157809197204</v>
      </c>
      <c r="N4572" s="42">
        <v>50.889966570622988</v>
      </c>
      <c r="O4572" s="43">
        <v>15056.358360674738</v>
      </c>
    </row>
    <row r="4573" spans="12:15" x14ac:dyDescent="0.2">
      <c r="L4573" s="4">
        <v>4567</v>
      </c>
      <c r="M4573" s="21">
        <v>162301.84604791185</v>
      </c>
      <c r="N4573" s="42">
        <v>51.514957587781808</v>
      </c>
      <c r="O4573" s="43">
        <v>14909.922725439006</v>
      </c>
    </row>
    <row r="4574" spans="12:15" x14ac:dyDescent="0.2">
      <c r="L4574" s="4">
        <v>4568</v>
      </c>
      <c r="M4574" s="21">
        <v>-51419.657367547436</v>
      </c>
      <c r="N4574" s="42">
        <v>48.579562758373172</v>
      </c>
      <c r="O4574" s="43">
        <v>14077.352450704251</v>
      </c>
    </row>
    <row r="4575" spans="12:15" x14ac:dyDescent="0.2">
      <c r="L4575" s="4">
        <v>4569</v>
      </c>
      <c r="M4575" s="21">
        <v>42911.474561368203</v>
      </c>
      <c r="N4575" s="42">
        <v>47.971266658461474</v>
      </c>
      <c r="O4575" s="43">
        <v>16468.981312071206</v>
      </c>
    </row>
    <row r="4576" spans="12:15" x14ac:dyDescent="0.2">
      <c r="L4576" s="4">
        <v>4570</v>
      </c>
      <c r="M4576" s="21">
        <v>-95498.196169751842</v>
      </c>
      <c r="N4576" s="42">
        <v>47.511632807808454</v>
      </c>
      <c r="O4576" s="43">
        <v>16088.510336854088</v>
      </c>
    </row>
    <row r="4577" spans="12:15" x14ac:dyDescent="0.2">
      <c r="L4577" s="4">
        <v>4571</v>
      </c>
      <c r="M4577" s="21">
        <v>51820.202134327497</v>
      </c>
      <c r="N4577" s="42">
        <v>50.774495743576153</v>
      </c>
      <c r="O4577" s="43">
        <v>16276.590153635438</v>
      </c>
    </row>
    <row r="4578" spans="12:15" x14ac:dyDescent="0.2">
      <c r="L4578" s="4">
        <v>4572</v>
      </c>
      <c r="M4578" s="21">
        <v>-78963.919368382791</v>
      </c>
      <c r="N4578" s="42">
        <v>49.564144713885973</v>
      </c>
      <c r="O4578" s="43">
        <v>14475.233149228554</v>
      </c>
    </row>
    <row r="4579" spans="12:15" x14ac:dyDescent="0.2">
      <c r="L4579" s="4">
        <v>4573</v>
      </c>
      <c r="M4579" s="21">
        <v>193657.46817018138</v>
      </c>
      <c r="N4579" s="42">
        <v>50.233052641173188</v>
      </c>
      <c r="O4579" s="43">
        <v>18235.895077710582</v>
      </c>
    </row>
    <row r="4580" spans="12:15" x14ac:dyDescent="0.2">
      <c r="L4580" s="4">
        <v>4574</v>
      </c>
      <c r="M4580" s="21">
        <v>-89552.629634000899</v>
      </c>
      <c r="N4580" s="42">
        <v>49.299193608884252</v>
      </c>
      <c r="O4580" s="43">
        <v>12634.129294655258</v>
      </c>
    </row>
    <row r="4581" spans="12:15" x14ac:dyDescent="0.2">
      <c r="L4581" s="4">
        <v>4575</v>
      </c>
      <c r="M4581" s="21">
        <v>41195.148251843231</v>
      </c>
      <c r="N4581" s="42">
        <v>49.175037849655446</v>
      </c>
      <c r="O4581" s="43">
        <v>15030.605626637072</v>
      </c>
    </row>
    <row r="4582" spans="12:15" x14ac:dyDescent="0.2">
      <c r="L4582" s="4">
        <v>4576</v>
      </c>
      <c r="M4582" s="21">
        <v>133249.64676275392</v>
      </c>
      <c r="N4582" s="42">
        <v>49.278346753393159</v>
      </c>
      <c r="O4582" s="43">
        <v>16634.72320007093</v>
      </c>
    </row>
    <row r="4583" spans="12:15" x14ac:dyDescent="0.2">
      <c r="L4583" s="4">
        <v>4577</v>
      </c>
      <c r="M4583" s="21">
        <v>-52321.68373112884</v>
      </c>
      <c r="N4583" s="42">
        <v>48.566238935079788</v>
      </c>
      <c r="O4583" s="43">
        <v>15442.482455270165</v>
      </c>
    </row>
    <row r="4584" spans="12:15" x14ac:dyDescent="0.2">
      <c r="L4584" s="4">
        <v>4578</v>
      </c>
      <c r="M4584" s="21">
        <v>-38613.769019688421</v>
      </c>
      <c r="N4584" s="42">
        <v>49.349965902855963</v>
      </c>
      <c r="O4584" s="43">
        <v>14503.152822363483</v>
      </c>
    </row>
    <row r="4585" spans="12:15" x14ac:dyDescent="0.2">
      <c r="L4585" s="4">
        <v>4579</v>
      </c>
      <c r="M4585" s="21">
        <v>228097.47613203057</v>
      </c>
      <c r="N4585" s="42">
        <v>50.9594009836445</v>
      </c>
      <c r="O4585" s="43">
        <v>15882.259749106004</v>
      </c>
    </row>
    <row r="4586" spans="12:15" x14ac:dyDescent="0.2">
      <c r="L4586" s="4">
        <v>4580</v>
      </c>
      <c r="M4586" s="21">
        <v>-118897.01591900243</v>
      </c>
      <c r="N4586" s="42">
        <v>49.078029320779976</v>
      </c>
      <c r="O4586" s="43">
        <v>13230.182565702504</v>
      </c>
    </row>
    <row r="4587" spans="12:15" x14ac:dyDescent="0.2">
      <c r="L4587" s="4">
        <v>4581</v>
      </c>
      <c r="M4587" s="21">
        <v>107459.55797920673</v>
      </c>
      <c r="N4587" s="42">
        <v>48.096711847721814</v>
      </c>
      <c r="O4587" s="43">
        <v>17860.833198486798</v>
      </c>
    </row>
    <row r="4588" spans="12:15" x14ac:dyDescent="0.2">
      <c r="L4588" s="4">
        <v>4582</v>
      </c>
      <c r="M4588" s="21">
        <v>87142.369302045932</v>
      </c>
      <c r="N4588" s="42">
        <v>50.226372962295329</v>
      </c>
      <c r="O4588" s="43">
        <v>15258.420814781279</v>
      </c>
    </row>
    <row r="4589" spans="12:15" x14ac:dyDescent="0.2">
      <c r="L4589" s="4">
        <v>4583</v>
      </c>
      <c r="M4589" s="21">
        <v>-197474.25418026419</v>
      </c>
      <c r="N4589" s="42">
        <v>45.579048881112435</v>
      </c>
      <c r="O4589" s="43">
        <v>15851.717318571169</v>
      </c>
    </row>
    <row r="4590" spans="12:15" x14ac:dyDescent="0.2">
      <c r="L4590" s="4">
        <v>4584</v>
      </c>
      <c r="M4590" s="21">
        <v>-64524.232712092125</v>
      </c>
      <c r="N4590" s="42">
        <v>46.661472837201622</v>
      </c>
      <c r="O4590" s="43">
        <v>17320.768590787615</v>
      </c>
    </row>
    <row r="4591" spans="12:15" x14ac:dyDescent="0.2">
      <c r="L4591" s="4">
        <v>4585</v>
      </c>
      <c r="M4591" s="21">
        <v>-72626.327790461422</v>
      </c>
      <c r="N4591" s="42">
        <v>47.68164645378684</v>
      </c>
      <c r="O4591" s="43">
        <v>14936.281866768313</v>
      </c>
    </row>
    <row r="4592" spans="12:15" x14ac:dyDescent="0.2">
      <c r="L4592" s="4">
        <v>4586</v>
      </c>
      <c r="M4592" s="21">
        <v>-22837.058991405924</v>
      </c>
      <c r="N4592" s="42">
        <v>46.632222412717219</v>
      </c>
      <c r="O4592" s="43">
        <v>16148.952999220461</v>
      </c>
    </row>
    <row r="4593" spans="12:15" x14ac:dyDescent="0.2">
      <c r="L4593" s="4">
        <v>4587</v>
      </c>
      <c r="M4593" s="21">
        <v>37414.612638339924</v>
      </c>
      <c r="N4593" s="42">
        <v>51.127238711178101</v>
      </c>
      <c r="O4593" s="43">
        <v>15431.918342493133</v>
      </c>
    </row>
    <row r="4594" spans="12:15" x14ac:dyDescent="0.2">
      <c r="L4594" s="4">
        <v>4588</v>
      </c>
      <c r="M4594" s="21">
        <v>-160694.70246986125</v>
      </c>
      <c r="N4594" s="42">
        <v>45.699924395173696</v>
      </c>
      <c r="O4594" s="43">
        <v>15549.325317081588</v>
      </c>
    </row>
    <row r="4595" spans="12:15" x14ac:dyDescent="0.2">
      <c r="L4595" s="4">
        <v>4589</v>
      </c>
      <c r="M4595" s="21">
        <v>223337.63218476044</v>
      </c>
      <c r="N4595" s="42">
        <v>50.075434096908182</v>
      </c>
      <c r="O4595" s="43">
        <v>16256.768970350357</v>
      </c>
    </row>
    <row r="4596" spans="12:15" x14ac:dyDescent="0.2">
      <c r="L4596" s="4">
        <v>4590</v>
      </c>
      <c r="M4596" s="21">
        <v>95704.031764265499</v>
      </c>
      <c r="N4596" s="42">
        <v>48.420059135887612</v>
      </c>
      <c r="O4596" s="43">
        <v>16824.314497061921</v>
      </c>
    </row>
    <row r="4597" spans="12:15" x14ac:dyDescent="0.2">
      <c r="L4597" s="4">
        <v>4591</v>
      </c>
      <c r="M4597" s="21">
        <v>-132317.23972219107</v>
      </c>
      <c r="N4597" s="42">
        <v>49.482385611298014</v>
      </c>
      <c r="O4597" s="43">
        <v>13454.192344203064</v>
      </c>
    </row>
    <row r="4598" spans="12:15" x14ac:dyDescent="0.2">
      <c r="L4598" s="4">
        <v>4592</v>
      </c>
      <c r="M4598" s="21">
        <v>-147169.63221061171</v>
      </c>
      <c r="N4598" s="42">
        <v>50.054100704866087</v>
      </c>
      <c r="O4598" s="43">
        <v>12988.266150813175</v>
      </c>
    </row>
    <row r="4599" spans="12:15" x14ac:dyDescent="0.2">
      <c r="L4599" s="4">
        <v>4593</v>
      </c>
      <c r="M4599" s="21">
        <v>8787.9900186206505</v>
      </c>
      <c r="N4599" s="42">
        <v>48.10403633734547</v>
      </c>
      <c r="O4599" s="43">
        <v>16679.352714918929</v>
      </c>
    </row>
    <row r="4600" spans="12:15" x14ac:dyDescent="0.2">
      <c r="L4600" s="4">
        <v>4594</v>
      </c>
      <c r="M4600" s="21">
        <v>28566.707042018737</v>
      </c>
      <c r="N4600" s="42">
        <v>50.958554279622724</v>
      </c>
      <c r="O4600" s="43">
        <v>14568.748271733952</v>
      </c>
    </row>
    <row r="4601" spans="12:15" x14ac:dyDescent="0.2">
      <c r="L4601" s="4">
        <v>4595</v>
      </c>
      <c r="M4601" s="21">
        <v>-18974.753231224313</v>
      </c>
      <c r="N4601" s="42">
        <v>47.179631857407742</v>
      </c>
      <c r="O4601" s="43">
        <v>17329.830134290223</v>
      </c>
    </row>
    <row r="4602" spans="12:15" x14ac:dyDescent="0.2">
      <c r="L4602" s="4">
        <v>4596</v>
      </c>
      <c r="M4602" s="21">
        <v>-137554.70694932446</v>
      </c>
      <c r="N4602" s="42">
        <v>51.054271174030383</v>
      </c>
      <c r="O4602" s="43">
        <v>11978.202294852275</v>
      </c>
    </row>
    <row r="4603" spans="12:15" x14ac:dyDescent="0.2">
      <c r="L4603" s="4">
        <v>4597</v>
      </c>
      <c r="M4603" s="21">
        <v>-68676.308123144743</v>
      </c>
      <c r="N4603" s="42">
        <v>50.840342583105667</v>
      </c>
      <c r="O4603" s="43">
        <v>13337.326268817029</v>
      </c>
    </row>
    <row r="4604" spans="12:15" x14ac:dyDescent="0.2">
      <c r="L4604" s="4">
        <v>4598</v>
      </c>
      <c r="M4604" s="21">
        <v>-204282.47689609806</v>
      </c>
      <c r="N4604" s="42">
        <v>49.017351757580784</v>
      </c>
      <c r="O4604" s="43">
        <v>13457.97592110098</v>
      </c>
    </row>
    <row r="4605" spans="12:15" x14ac:dyDescent="0.2">
      <c r="L4605" s="4">
        <v>4599</v>
      </c>
      <c r="M4605" s="21">
        <v>53753.259825599671</v>
      </c>
      <c r="N4605" s="42">
        <v>50.885342283539558</v>
      </c>
      <c r="O4605" s="43">
        <v>14478.130289509689</v>
      </c>
    </row>
    <row r="4606" spans="12:15" x14ac:dyDescent="0.2">
      <c r="L4606" s="4">
        <v>4600</v>
      </c>
      <c r="M4606" s="21">
        <v>-475.89943616844539</v>
      </c>
      <c r="N4606" s="42">
        <v>47.694250880287818</v>
      </c>
      <c r="O4606" s="43">
        <v>16702.826624398542</v>
      </c>
    </row>
    <row r="4607" spans="12:15" x14ac:dyDescent="0.2">
      <c r="L4607" s="4">
        <v>4601</v>
      </c>
      <c r="M4607" s="21">
        <v>4970.9059587886732</v>
      </c>
      <c r="N4607" s="42">
        <v>49.90401812976647</v>
      </c>
      <c r="O4607" s="43">
        <v>14838.742572870324</v>
      </c>
    </row>
    <row r="4608" spans="12:15" x14ac:dyDescent="0.2">
      <c r="L4608" s="4">
        <v>4602</v>
      </c>
      <c r="M4608" s="21">
        <v>31483.813848008402</v>
      </c>
      <c r="N4608" s="42">
        <v>48.616512264811334</v>
      </c>
      <c r="O4608" s="43">
        <v>15752.860005401348</v>
      </c>
    </row>
    <row r="4609" spans="12:15" x14ac:dyDescent="0.2">
      <c r="L4609" s="4">
        <v>4603</v>
      </c>
      <c r="M4609" s="21">
        <v>-82247.092708973636</v>
      </c>
      <c r="N4609" s="42">
        <v>50.306948656342868</v>
      </c>
      <c r="O4609" s="43">
        <v>14086.993300521766</v>
      </c>
    </row>
    <row r="4610" spans="12:15" x14ac:dyDescent="0.2">
      <c r="L4610" s="4">
        <v>4604</v>
      </c>
      <c r="M4610" s="21">
        <v>-97359.70119524961</v>
      </c>
      <c r="N4610" s="42">
        <v>50.856684058602148</v>
      </c>
      <c r="O4610" s="43">
        <v>12585.422334440103</v>
      </c>
    </row>
    <row r="4611" spans="12:15" x14ac:dyDescent="0.2">
      <c r="L4611" s="4">
        <v>4605</v>
      </c>
      <c r="M4611" s="21">
        <v>160560.75843028931</v>
      </c>
      <c r="N4611" s="42">
        <v>50.220944034350822</v>
      </c>
      <c r="O4611" s="43">
        <v>15930.114722418724</v>
      </c>
    </row>
    <row r="4612" spans="12:15" x14ac:dyDescent="0.2">
      <c r="L4612" s="4">
        <v>4606</v>
      </c>
      <c r="M4612" s="21">
        <v>-85881.955582768584</v>
      </c>
      <c r="N4612" s="42">
        <v>46.640856345259955</v>
      </c>
      <c r="O4612" s="43">
        <v>16552.75536014944</v>
      </c>
    </row>
    <row r="4613" spans="12:15" x14ac:dyDescent="0.2">
      <c r="L4613" s="4">
        <v>4607</v>
      </c>
      <c r="M4613" s="21">
        <v>-136916.98430757725</v>
      </c>
      <c r="N4613" s="42">
        <v>46.041833498029327</v>
      </c>
      <c r="O4613" s="43">
        <v>15409.960347112738</v>
      </c>
    </row>
    <row r="4614" spans="12:15" x14ac:dyDescent="0.2">
      <c r="L4614" s="4">
        <v>4608</v>
      </c>
      <c r="M4614" s="21">
        <v>-154562.58768119605</v>
      </c>
      <c r="N4614" s="42">
        <v>46.465980064125581</v>
      </c>
      <c r="O4614" s="43">
        <v>16231.848046927365</v>
      </c>
    </row>
    <row r="4615" spans="12:15" x14ac:dyDescent="0.2">
      <c r="L4615" s="4">
        <v>4609</v>
      </c>
      <c r="M4615" s="21">
        <v>200280.89708455632</v>
      </c>
      <c r="N4615" s="42">
        <v>49.080987652321561</v>
      </c>
      <c r="O4615" s="43">
        <v>16725.602636715688</v>
      </c>
    </row>
    <row r="4616" spans="12:15" x14ac:dyDescent="0.2">
      <c r="L4616" s="4">
        <v>4610</v>
      </c>
      <c r="M4616" s="21">
        <v>-19244.202369557024</v>
      </c>
      <c r="N4616" s="42">
        <v>50.765151104443504</v>
      </c>
      <c r="O4616" s="43">
        <v>14381.258111879044</v>
      </c>
    </row>
    <row r="4617" spans="12:15" x14ac:dyDescent="0.2">
      <c r="L4617" s="4">
        <v>4611</v>
      </c>
      <c r="M4617" s="21">
        <v>-90172.431662053626</v>
      </c>
      <c r="N4617" s="42">
        <v>50.609112532754416</v>
      </c>
      <c r="O4617" s="43">
        <v>14005.352939443263</v>
      </c>
    </row>
    <row r="4618" spans="12:15" x14ac:dyDescent="0.2">
      <c r="L4618" s="4">
        <v>4612</v>
      </c>
      <c r="M4618" s="21">
        <v>145431.83138819152</v>
      </c>
      <c r="N4618" s="42">
        <v>49.351055183212388</v>
      </c>
      <c r="O4618" s="43">
        <v>17116.415755218619</v>
      </c>
    </row>
    <row r="4619" spans="12:15" x14ac:dyDescent="0.2">
      <c r="L4619" s="4">
        <v>4613</v>
      </c>
      <c r="M4619" s="21">
        <v>37535.294854744134</v>
      </c>
      <c r="N4619" s="42">
        <v>49.980284679441425</v>
      </c>
      <c r="O4619" s="43">
        <v>14568.896386047187</v>
      </c>
    </row>
    <row r="4620" spans="12:15" x14ac:dyDescent="0.2">
      <c r="L4620" s="4">
        <v>4614</v>
      </c>
      <c r="M4620" s="21">
        <v>-2597.0357227793284</v>
      </c>
      <c r="N4620" s="42">
        <v>51.564281171018742</v>
      </c>
      <c r="O4620" s="43">
        <v>13643.586571905074</v>
      </c>
    </row>
    <row r="4621" spans="12:15" x14ac:dyDescent="0.2">
      <c r="L4621" s="4">
        <v>4615</v>
      </c>
      <c r="M4621" s="21">
        <v>38692.308807933994</v>
      </c>
      <c r="N4621" s="42">
        <v>50.117778738175289</v>
      </c>
      <c r="O4621" s="43">
        <v>14640.67772849124</v>
      </c>
    </row>
    <row r="4622" spans="12:15" x14ac:dyDescent="0.2">
      <c r="L4622" s="4">
        <v>4616</v>
      </c>
      <c r="M4622" s="21">
        <v>35487.373232586397</v>
      </c>
      <c r="N4622" s="42">
        <v>51.442647417648182</v>
      </c>
      <c r="O4622" s="43">
        <v>15179.995366236219</v>
      </c>
    </row>
    <row r="4623" spans="12:15" x14ac:dyDescent="0.2">
      <c r="L4623" s="4">
        <v>4617</v>
      </c>
      <c r="M4623" s="21">
        <v>167203.37556634296</v>
      </c>
      <c r="N4623" s="42">
        <v>48.732571314444385</v>
      </c>
      <c r="O4623" s="43">
        <v>15555.810291434102</v>
      </c>
    </row>
    <row r="4624" spans="12:15" x14ac:dyDescent="0.2">
      <c r="L4624" s="4">
        <v>4618</v>
      </c>
      <c r="M4624" s="21">
        <v>-95222.4728729341</v>
      </c>
      <c r="N4624" s="42">
        <v>48.313834058071251</v>
      </c>
      <c r="O4624" s="43">
        <v>16068.946559761574</v>
      </c>
    </row>
    <row r="4625" spans="12:15" x14ac:dyDescent="0.2">
      <c r="L4625" s="4">
        <v>4619</v>
      </c>
      <c r="M4625" s="21">
        <v>-187330.91714865458</v>
      </c>
      <c r="N4625" s="42">
        <v>49.142506140980821</v>
      </c>
      <c r="O4625" s="43">
        <v>13174.388554415167</v>
      </c>
    </row>
    <row r="4626" spans="12:15" x14ac:dyDescent="0.2">
      <c r="L4626" s="4">
        <v>4620</v>
      </c>
      <c r="M4626" s="21">
        <v>165083.14668101937</v>
      </c>
      <c r="N4626" s="42">
        <v>50.724580173111725</v>
      </c>
      <c r="O4626" s="43">
        <v>15422.753336595932</v>
      </c>
    </row>
    <row r="4627" spans="12:15" x14ac:dyDescent="0.2">
      <c r="L4627" s="4">
        <v>4621</v>
      </c>
      <c r="M4627" s="21">
        <v>35430.884777340951</v>
      </c>
      <c r="N4627" s="42">
        <v>51.109213954832427</v>
      </c>
      <c r="O4627" s="43">
        <v>15090.975358640077</v>
      </c>
    </row>
    <row r="4628" spans="12:15" x14ac:dyDescent="0.2">
      <c r="L4628" s="4">
        <v>4622</v>
      </c>
      <c r="M4628" s="21">
        <v>-78005.182930330586</v>
      </c>
      <c r="N4628" s="42">
        <v>48.848130419897153</v>
      </c>
      <c r="O4628" s="43">
        <v>14843.943816451019</v>
      </c>
    </row>
    <row r="4629" spans="12:15" x14ac:dyDescent="0.2">
      <c r="L4629" s="4">
        <v>4623</v>
      </c>
      <c r="M4629" s="21">
        <v>13401.638036106422</v>
      </c>
      <c r="N4629" s="42">
        <v>50.607498952479247</v>
      </c>
      <c r="O4629" s="43">
        <v>14718.862704798195</v>
      </c>
    </row>
    <row r="4630" spans="12:15" x14ac:dyDescent="0.2">
      <c r="L4630" s="4">
        <v>4624</v>
      </c>
      <c r="M4630" s="21">
        <v>-76871.355850853521</v>
      </c>
      <c r="N4630" s="42">
        <v>51.055393465597867</v>
      </c>
      <c r="O4630" s="43">
        <v>13488.489188031705</v>
      </c>
    </row>
    <row r="4631" spans="12:15" x14ac:dyDescent="0.2">
      <c r="L4631" s="4">
        <v>4625</v>
      </c>
      <c r="M4631" s="21">
        <v>-92390.192730672527</v>
      </c>
      <c r="N4631" s="42">
        <v>48.352256697681781</v>
      </c>
      <c r="O4631" s="43">
        <v>15461.213104214912</v>
      </c>
    </row>
    <row r="4632" spans="12:15" x14ac:dyDescent="0.2">
      <c r="L4632" s="4">
        <v>4626</v>
      </c>
      <c r="M4632" s="21">
        <v>-34949.344533115596</v>
      </c>
      <c r="N4632" s="42">
        <v>49.255177245641221</v>
      </c>
      <c r="O4632" s="43">
        <v>13813.257599454988</v>
      </c>
    </row>
    <row r="4633" spans="12:15" x14ac:dyDescent="0.2">
      <c r="L4633" s="4">
        <v>4627</v>
      </c>
      <c r="M4633" s="21">
        <v>-37744.111683594354</v>
      </c>
      <c r="N4633" s="42">
        <v>49.070698444229677</v>
      </c>
      <c r="O4633" s="43">
        <v>14629.348771658169</v>
      </c>
    </row>
    <row r="4634" spans="12:15" x14ac:dyDescent="0.2">
      <c r="L4634" s="4">
        <v>4628</v>
      </c>
      <c r="M4634" s="21">
        <v>-123005.17461342108</v>
      </c>
      <c r="N4634" s="42">
        <v>46.701446294463373</v>
      </c>
      <c r="O4634" s="43">
        <v>15374.33506405443</v>
      </c>
    </row>
    <row r="4635" spans="12:15" x14ac:dyDescent="0.2">
      <c r="L4635" s="4">
        <v>4629</v>
      </c>
      <c r="M4635" s="21">
        <v>118935.1747851462</v>
      </c>
      <c r="N4635" s="42">
        <v>50.901507688193171</v>
      </c>
      <c r="O4635" s="43">
        <v>15190.521890243746</v>
      </c>
    </row>
    <row r="4636" spans="12:15" x14ac:dyDescent="0.2">
      <c r="L4636" s="4">
        <v>4630</v>
      </c>
      <c r="M4636" s="21">
        <v>-21367.355534747636</v>
      </c>
      <c r="N4636" s="42">
        <v>49.249094118320841</v>
      </c>
      <c r="O4636" s="43">
        <v>13972.014435127448</v>
      </c>
    </row>
    <row r="4637" spans="12:15" x14ac:dyDescent="0.2">
      <c r="L4637" s="4">
        <v>4631</v>
      </c>
      <c r="M4637" s="21">
        <v>-98925.92589171273</v>
      </c>
      <c r="N4637" s="42">
        <v>48.877530783263339</v>
      </c>
      <c r="O4637" s="43">
        <v>15065.924503914492</v>
      </c>
    </row>
    <row r="4638" spans="12:15" x14ac:dyDescent="0.2">
      <c r="L4638" s="4">
        <v>4632</v>
      </c>
      <c r="M4638" s="21">
        <v>-75658.863295323783</v>
      </c>
      <c r="N4638" s="42">
        <v>51.411170113393695</v>
      </c>
      <c r="O4638" s="43">
        <v>12827.139455891178</v>
      </c>
    </row>
    <row r="4639" spans="12:15" x14ac:dyDescent="0.2">
      <c r="L4639" s="4">
        <v>4633</v>
      </c>
      <c r="M4639" s="21">
        <v>55292.555695379211</v>
      </c>
      <c r="N4639" s="42">
        <v>49.055394274247035</v>
      </c>
      <c r="O4639" s="43">
        <v>15021.42621564953</v>
      </c>
    </row>
    <row r="4640" spans="12:15" x14ac:dyDescent="0.2">
      <c r="L4640" s="4">
        <v>4634</v>
      </c>
      <c r="M4640" s="21">
        <v>-18238.512213686408</v>
      </c>
      <c r="N4640" s="42">
        <v>49.388883246377318</v>
      </c>
      <c r="O4640" s="43">
        <v>14786.302291768676</v>
      </c>
    </row>
    <row r="4641" spans="12:15" x14ac:dyDescent="0.2">
      <c r="L4641" s="4">
        <v>4635</v>
      </c>
      <c r="M4641" s="21">
        <v>-44953.957496706789</v>
      </c>
      <c r="N4641" s="42">
        <v>47.553855486660318</v>
      </c>
      <c r="O4641" s="43">
        <v>15643.200657795089</v>
      </c>
    </row>
    <row r="4642" spans="12:15" x14ac:dyDescent="0.2">
      <c r="L4642" s="4">
        <v>4636</v>
      </c>
      <c r="M4642" s="21">
        <v>148376.92800141903</v>
      </c>
      <c r="N4642" s="42">
        <v>48.746394329341314</v>
      </c>
      <c r="O4642" s="43">
        <v>17333.786023846071</v>
      </c>
    </row>
    <row r="4643" spans="12:15" x14ac:dyDescent="0.2">
      <c r="L4643" s="4">
        <v>4637</v>
      </c>
      <c r="M4643" s="21">
        <v>-75393.165708016866</v>
      </c>
      <c r="N4643" s="42">
        <v>50.580682092153765</v>
      </c>
      <c r="O4643" s="43">
        <v>12916.104072099528</v>
      </c>
    </row>
    <row r="4644" spans="12:15" x14ac:dyDescent="0.2">
      <c r="L4644" s="4">
        <v>4638</v>
      </c>
      <c r="M4644" s="21">
        <v>40212.507924734062</v>
      </c>
      <c r="N4644" s="42">
        <v>47.623858293935314</v>
      </c>
      <c r="O4644" s="43">
        <v>16572.723781857017</v>
      </c>
    </row>
    <row r="4645" spans="12:15" x14ac:dyDescent="0.2">
      <c r="L4645" s="4">
        <v>4639</v>
      </c>
      <c r="M4645" s="21">
        <v>-190540.74544360809</v>
      </c>
      <c r="N4645" s="42">
        <v>51.363725744782634</v>
      </c>
      <c r="O4645" s="43">
        <v>11020.844534003199</v>
      </c>
    </row>
    <row r="4646" spans="12:15" x14ac:dyDescent="0.2">
      <c r="L4646" s="4">
        <v>4640</v>
      </c>
      <c r="M4646" s="21">
        <v>-247023.02764890547</v>
      </c>
      <c r="N4646" s="42">
        <v>50.057098894183937</v>
      </c>
      <c r="O4646" s="43">
        <v>11932.077006491236</v>
      </c>
    </row>
    <row r="4647" spans="12:15" x14ac:dyDescent="0.2">
      <c r="L4647" s="4">
        <v>4641</v>
      </c>
      <c r="M4647" s="21">
        <v>-102110.31984166555</v>
      </c>
      <c r="N4647" s="42">
        <v>48.107434362365396</v>
      </c>
      <c r="O4647" s="43">
        <v>16769.329572400937</v>
      </c>
    </row>
    <row r="4648" spans="12:15" x14ac:dyDescent="0.2">
      <c r="L4648" s="4">
        <v>4642</v>
      </c>
      <c r="M4648" s="21">
        <v>-212194.95255877019</v>
      </c>
      <c r="N4648" s="42">
        <v>50.5084141102556</v>
      </c>
      <c r="O4648" s="43">
        <v>13172.890761460101</v>
      </c>
    </row>
    <row r="4649" spans="12:15" x14ac:dyDescent="0.2">
      <c r="L4649" s="4">
        <v>4643</v>
      </c>
      <c r="M4649" s="21">
        <v>86999.800630302896</v>
      </c>
      <c r="N4649" s="42">
        <v>50.410987833111641</v>
      </c>
      <c r="O4649" s="43">
        <v>15083.466692670409</v>
      </c>
    </row>
    <row r="4650" spans="12:15" x14ac:dyDescent="0.2">
      <c r="L4650" s="4">
        <v>4644</v>
      </c>
      <c r="M4650" s="21">
        <v>-145925.60117083811</v>
      </c>
      <c r="N4650" s="42">
        <v>48.361044493783588</v>
      </c>
      <c r="O4650" s="43">
        <v>15068.996799376633</v>
      </c>
    </row>
    <row r="4651" spans="12:15" x14ac:dyDescent="0.2">
      <c r="L4651" s="4">
        <v>4645</v>
      </c>
      <c r="M4651" s="21">
        <v>117775.31620822201</v>
      </c>
      <c r="N4651" s="42">
        <v>49.149912819776496</v>
      </c>
      <c r="O4651" s="43">
        <v>15383.131238015214</v>
      </c>
    </row>
    <row r="4652" spans="12:15" x14ac:dyDescent="0.2">
      <c r="L4652" s="4">
        <v>4646</v>
      </c>
      <c r="M4652" s="21">
        <v>-34629.638565676491</v>
      </c>
      <c r="N4652" s="42">
        <v>49.025652289883411</v>
      </c>
      <c r="O4652" s="43">
        <v>14450.548863124173</v>
      </c>
    </row>
    <row r="4653" spans="12:15" x14ac:dyDescent="0.2">
      <c r="L4653" s="4">
        <v>4647</v>
      </c>
      <c r="M4653" s="21">
        <v>-64494.827349342289</v>
      </c>
      <c r="N4653" s="42">
        <v>47.539252995219186</v>
      </c>
      <c r="O4653" s="43">
        <v>15346.612531803221</v>
      </c>
    </row>
    <row r="4654" spans="12:15" x14ac:dyDescent="0.2">
      <c r="L4654" s="4">
        <v>4648</v>
      </c>
      <c r="M4654" s="21">
        <v>78487.020729628857</v>
      </c>
      <c r="N4654" s="42">
        <v>49.408866928974639</v>
      </c>
      <c r="O4654" s="43">
        <v>15923.229098107795</v>
      </c>
    </row>
    <row r="4655" spans="12:15" x14ac:dyDescent="0.2">
      <c r="L4655" s="4">
        <v>4649</v>
      </c>
      <c r="M4655" s="21">
        <v>21726.45239249224</v>
      </c>
      <c r="N4655" s="42">
        <v>48.247257202698059</v>
      </c>
      <c r="O4655" s="43">
        <v>15472.938927699182</v>
      </c>
    </row>
    <row r="4656" spans="12:15" x14ac:dyDescent="0.2">
      <c r="L4656" s="4">
        <v>4650</v>
      </c>
      <c r="M4656" s="21">
        <v>25251.635507147526</v>
      </c>
      <c r="N4656" s="42">
        <v>49.647274527536773</v>
      </c>
      <c r="O4656" s="43">
        <v>15653.239298789396</v>
      </c>
    </row>
    <row r="4657" spans="12:15" x14ac:dyDescent="0.2">
      <c r="L4657" s="4">
        <v>4651</v>
      </c>
      <c r="M4657" s="21">
        <v>102957.21215004419</v>
      </c>
      <c r="N4657" s="42">
        <v>49.258527824695364</v>
      </c>
      <c r="O4657" s="43">
        <v>16379.930975554678</v>
      </c>
    </row>
    <row r="4658" spans="12:15" x14ac:dyDescent="0.2">
      <c r="L4658" s="4">
        <v>4652</v>
      </c>
      <c r="M4658" s="21">
        <v>27499.852583485947</v>
      </c>
      <c r="N4658" s="42">
        <v>49.399212299077682</v>
      </c>
      <c r="O4658" s="43">
        <v>13639.584724810744</v>
      </c>
    </row>
    <row r="4659" spans="12:15" x14ac:dyDescent="0.2">
      <c r="L4659" s="4">
        <v>4653</v>
      </c>
      <c r="M4659" s="21">
        <v>-12293.010564326702</v>
      </c>
      <c r="N4659" s="42">
        <v>48.178831530698773</v>
      </c>
      <c r="O4659" s="43">
        <v>15435.847478421774</v>
      </c>
    </row>
    <row r="4660" spans="12:15" x14ac:dyDescent="0.2">
      <c r="L4660" s="4">
        <v>4654</v>
      </c>
      <c r="M4660" s="21">
        <v>-107624.5134692456</v>
      </c>
      <c r="N4660" s="42">
        <v>51.521182873372879</v>
      </c>
      <c r="O4660" s="43">
        <v>12290.300414939607</v>
      </c>
    </row>
    <row r="4661" spans="12:15" x14ac:dyDescent="0.2">
      <c r="L4661" s="4">
        <v>4655</v>
      </c>
      <c r="M4661" s="21">
        <v>-142248.65972433542</v>
      </c>
      <c r="N4661" s="42">
        <v>46.424626374219066</v>
      </c>
      <c r="O4661" s="43">
        <v>15712.36107246806</v>
      </c>
    </row>
    <row r="4662" spans="12:15" x14ac:dyDescent="0.2">
      <c r="L4662" s="4">
        <v>4656</v>
      </c>
      <c r="M4662" s="21">
        <v>155753.07314903365</v>
      </c>
      <c r="N4662" s="42">
        <v>50.593889576426093</v>
      </c>
      <c r="O4662" s="43">
        <v>15576.782788305325</v>
      </c>
    </row>
    <row r="4663" spans="12:15" x14ac:dyDescent="0.2">
      <c r="L4663" s="4">
        <v>4657</v>
      </c>
      <c r="M4663" s="21">
        <v>-56894.26321396073</v>
      </c>
      <c r="N4663" s="42">
        <v>47.661031360876073</v>
      </c>
      <c r="O4663" s="43">
        <v>16851.168799406114</v>
      </c>
    </row>
    <row r="4664" spans="12:15" x14ac:dyDescent="0.2">
      <c r="L4664" s="4">
        <v>4658</v>
      </c>
      <c r="M4664" s="21">
        <v>-111435.97862459603</v>
      </c>
      <c r="N4664" s="42">
        <v>50.864319637876335</v>
      </c>
      <c r="O4664" s="43">
        <v>13316.43747666898</v>
      </c>
    </row>
    <row r="4665" spans="12:15" x14ac:dyDescent="0.2">
      <c r="L4665" s="4">
        <v>4659</v>
      </c>
      <c r="M4665" s="21">
        <v>-127606.31246632354</v>
      </c>
      <c r="N4665" s="42">
        <v>47.895262945296885</v>
      </c>
      <c r="O4665" s="43">
        <v>15791.196405856852</v>
      </c>
    </row>
    <row r="4666" spans="12:15" x14ac:dyDescent="0.2">
      <c r="L4666" s="4">
        <v>4660</v>
      </c>
      <c r="M4666" s="21">
        <v>127940.09452091786</v>
      </c>
      <c r="N4666" s="42">
        <v>50.645147757743722</v>
      </c>
      <c r="O4666" s="43">
        <v>15477.590637726531</v>
      </c>
    </row>
    <row r="4667" spans="12:15" x14ac:dyDescent="0.2">
      <c r="L4667" s="4">
        <v>4661</v>
      </c>
      <c r="M4667" s="21">
        <v>-69931.881509138097</v>
      </c>
      <c r="N4667" s="42">
        <v>50.29537842272601</v>
      </c>
      <c r="O4667" s="43">
        <v>14716.733560316541</v>
      </c>
    </row>
    <row r="4668" spans="12:15" x14ac:dyDescent="0.2">
      <c r="L4668" s="4">
        <v>4662</v>
      </c>
      <c r="M4668" s="21">
        <v>28847.325998077315</v>
      </c>
      <c r="N4668" s="42">
        <v>50.36772117203607</v>
      </c>
      <c r="O4668" s="43">
        <v>14973.317167927622</v>
      </c>
    </row>
    <row r="4669" spans="12:15" x14ac:dyDescent="0.2">
      <c r="L4669" s="4">
        <v>4663</v>
      </c>
      <c r="M4669" s="21">
        <v>-141086.45400958147</v>
      </c>
      <c r="N4669" s="42">
        <v>49.866298923298046</v>
      </c>
      <c r="O4669" s="43">
        <v>13385.489488056342</v>
      </c>
    </row>
    <row r="4670" spans="12:15" x14ac:dyDescent="0.2">
      <c r="L4670" s="4">
        <v>4664</v>
      </c>
      <c r="M4670" s="21">
        <v>-7166.7820562810812</v>
      </c>
      <c r="N4670" s="42">
        <v>49.422200127557772</v>
      </c>
      <c r="O4670" s="43">
        <v>14963.145109501276</v>
      </c>
    </row>
    <row r="4671" spans="12:15" x14ac:dyDescent="0.2">
      <c r="L4671" s="4">
        <v>4665</v>
      </c>
      <c r="M4671" s="21">
        <v>107530.45077850771</v>
      </c>
      <c r="N4671" s="42">
        <v>48.703656786046736</v>
      </c>
      <c r="O4671" s="43">
        <v>15810.945579577581</v>
      </c>
    </row>
    <row r="4672" spans="12:15" x14ac:dyDescent="0.2">
      <c r="L4672" s="4">
        <v>4666</v>
      </c>
      <c r="M4672" s="21">
        <v>102952.08475298408</v>
      </c>
      <c r="N4672" s="42">
        <v>49.391194284598775</v>
      </c>
      <c r="O4672" s="43">
        <v>16009.026484928039</v>
      </c>
    </row>
    <row r="4673" spans="12:15" x14ac:dyDescent="0.2">
      <c r="L4673" s="4">
        <v>4667</v>
      </c>
      <c r="M4673" s="21">
        <v>38239.895050636173</v>
      </c>
      <c r="N4673" s="42">
        <v>49.036439279692608</v>
      </c>
      <c r="O4673" s="43">
        <v>13692.073660156708</v>
      </c>
    </row>
    <row r="4674" spans="12:15" x14ac:dyDescent="0.2">
      <c r="L4674" s="4">
        <v>4668</v>
      </c>
      <c r="M4674" s="21">
        <v>11.148174392204965</v>
      </c>
      <c r="N4674" s="42">
        <v>51.677368962868748</v>
      </c>
      <c r="O4674" s="43">
        <v>15098.283811442599</v>
      </c>
    </row>
    <row r="4675" spans="12:15" x14ac:dyDescent="0.2">
      <c r="L4675" s="4">
        <v>4669</v>
      </c>
      <c r="M4675" s="21">
        <v>42554.792617568397</v>
      </c>
      <c r="N4675" s="42">
        <v>51.836560880981139</v>
      </c>
      <c r="O4675" s="43">
        <v>13008.579076485028</v>
      </c>
    </row>
    <row r="4676" spans="12:15" x14ac:dyDescent="0.2">
      <c r="L4676" s="4">
        <v>4670</v>
      </c>
      <c r="M4676" s="21">
        <v>-102800.45125428152</v>
      </c>
      <c r="N4676" s="42">
        <v>48.604784092838969</v>
      </c>
      <c r="O4676" s="43">
        <v>16498.27816971975</v>
      </c>
    </row>
    <row r="4677" spans="12:15" x14ac:dyDescent="0.2">
      <c r="L4677" s="4">
        <v>4671</v>
      </c>
      <c r="M4677" s="21">
        <v>144956.74402937412</v>
      </c>
      <c r="N4677" s="42">
        <v>48.668493231486828</v>
      </c>
      <c r="O4677" s="43">
        <v>17007.113705504788</v>
      </c>
    </row>
    <row r="4678" spans="12:15" x14ac:dyDescent="0.2">
      <c r="L4678" s="4">
        <v>4672</v>
      </c>
      <c r="M4678" s="21">
        <v>-125340.02310065393</v>
      </c>
      <c r="N4678" s="42">
        <v>51.045690226210965</v>
      </c>
      <c r="O4678" s="43">
        <v>12924.530742637429</v>
      </c>
    </row>
    <row r="4679" spans="12:15" x14ac:dyDescent="0.2">
      <c r="L4679" s="4">
        <v>4673</v>
      </c>
      <c r="M4679" s="21">
        <v>174369.75133740657</v>
      </c>
      <c r="N4679" s="42">
        <v>48.243586342438967</v>
      </c>
      <c r="O4679" s="43">
        <v>16358.899454650295</v>
      </c>
    </row>
    <row r="4680" spans="12:15" x14ac:dyDescent="0.2">
      <c r="L4680" s="4">
        <v>4674</v>
      </c>
      <c r="M4680" s="21">
        <v>-144825.86271529869</v>
      </c>
      <c r="N4680" s="42">
        <v>51.69591917638747</v>
      </c>
      <c r="O4680" s="43">
        <v>12095.047072614172</v>
      </c>
    </row>
    <row r="4681" spans="12:15" x14ac:dyDescent="0.2">
      <c r="L4681" s="4">
        <v>4675</v>
      </c>
      <c r="M4681" s="21">
        <v>109543.14461084042</v>
      </c>
      <c r="N4681" s="42">
        <v>48.565168160681608</v>
      </c>
      <c r="O4681" s="43">
        <v>17072.010980403466</v>
      </c>
    </row>
    <row r="4682" spans="12:15" x14ac:dyDescent="0.2">
      <c r="L4682" s="4">
        <v>4676</v>
      </c>
      <c r="M4682" s="21">
        <v>-176490.7092812898</v>
      </c>
      <c r="N4682" s="42">
        <v>47.00464647111491</v>
      </c>
      <c r="O4682" s="43">
        <v>16959.777875440141</v>
      </c>
    </row>
    <row r="4683" spans="12:15" x14ac:dyDescent="0.2">
      <c r="L4683" s="4">
        <v>4677</v>
      </c>
      <c r="M4683" s="21">
        <v>136433.47244939016</v>
      </c>
      <c r="N4683" s="42">
        <v>49.671105638337792</v>
      </c>
      <c r="O4683" s="43">
        <v>15705.536602049082</v>
      </c>
    </row>
    <row r="4684" spans="12:15" x14ac:dyDescent="0.2">
      <c r="L4684" s="4">
        <v>4678</v>
      </c>
      <c r="M4684" s="21">
        <v>-76758.962458114504</v>
      </c>
      <c r="N4684" s="42">
        <v>49.620908041099895</v>
      </c>
      <c r="O4684" s="43">
        <v>13746.071202939012</v>
      </c>
    </row>
    <row r="4685" spans="12:15" x14ac:dyDescent="0.2">
      <c r="L4685" s="4">
        <v>4679</v>
      </c>
      <c r="M4685" s="21">
        <v>254539.89780532036</v>
      </c>
      <c r="N4685" s="42">
        <v>50.128739239393909</v>
      </c>
      <c r="O4685" s="43">
        <v>17141.420166677999</v>
      </c>
    </row>
    <row r="4686" spans="12:15" x14ac:dyDescent="0.2">
      <c r="L4686" s="4">
        <v>4680</v>
      </c>
      <c r="M4686" s="21">
        <v>-94870.814973926463</v>
      </c>
      <c r="N4686" s="42">
        <v>50.102464505545186</v>
      </c>
      <c r="O4686" s="43">
        <v>12525.363718096673</v>
      </c>
    </row>
    <row r="4687" spans="12:15" x14ac:dyDescent="0.2">
      <c r="L4687" s="4">
        <v>4681</v>
      </c>
      <c r="M4687" s="21">
        <v>11275.259190896148</v>
      </c>
      <c r="N4687" s="42">
        <v>48.700004159982164</v>
      </c>
      <c r="O4687" s="43">
        <v>18166.051354651612</v>
      </c>
    </row>
    <row r="4688" spans="12:15" x14ac:dyDescent="0.2">
      <c r="L4688" s="4">
        <v>4682</v>
      </c>
      <c r="M4688" s="21">
        <v>51134.547274976823</v>
      </c>
      <c r="N4688" s="42">
        <v>48.685736804341161</v>
      </c>
      <c r="O4688" s="43">
        <v>17405.766692490015</v>
      </c>
    </row>
    <row r="4689" spans="12:15" x14ac:dyDescent="0.2">
      <c r="L4689" s="4">
        <v>4683</v>
      </c>
      <c r="M4689" s="21">
        <v>5701.9190036520886</v>
      </c>
      <c r="N4689" s="42">
        <v>49.401717206028451</v>
      </c>
      <c r="O4689" s="43">
        <v>15989.322405562789</v>
      </c>
    </row>
    <row r="4690" spans="12:15" x14ac:dyDescent="0.2">
      <c r="L4690" s="4">
        <v>4684</v>
      </c>
      <c r="M4690" s="21">
        <v>-33827.803119652468</v>
      </c>
      <c r="N4690" s="42">
        <v>51.466788140530049</v>
      </c>
      <c r="O4690" s="43">
        <v>12275.019834817513</v>
      </c>
    </row>
    <row r="4691" spans="12:15" x14ac:dyDescent="0.2">
      <c r="L4691" s="4">
        <v>4685</v>
      </c>
      <c r="M4691" s="21">
        <v>-30931.793675550754</v>
      </c>
      <c r="N4691" s="42">
        <v>49.651219281493603</v>
      </c>
      <c r="O4691" s="43">
        <v>14945.859031551414</v>
      </c>
    </row>
    <row r="4692" spans="12:15" x14ac:dyDescent="0.2">
      <c r="L4692" s="4">
        <v>4686</v>
      </c>
      <c r="M4692" s="21">
        <v>-81438.760892498321</v>
      </c>
      <c r="N4692" s="42">
        <v>51.876643629067694</v>
      </c>
      <c r="O4692" s="43">
        <v>12245.536327700869</v>
      </c>
    </row>
    <row r="4693" spans="12:15" x14ac:dyDescent="0.2">
      <c r="L4693" s="4">
        <v>4687</v>
      </c>
      <c r="M4693" s="21">
        <v>58123.185726503405</v>
      </c>
      <c r="N4693" s="42">
        <v>50.993385455474439</v>
      </c>
      <c r="O4693" s="43">
        <v>14374.688995864821</v>
      </c>
    </row>
    <row r="4694" spans="12:15" x14ac:dyDescent="0.2">
      <c r="L4694" s="4">
        <v>4688</v>
      </c>
      <c r="M4694" s="21">
        <v>-205125.46354122052</v>
      </c>
      <c r="N4694" s="42">
        <v>49.186647992091316</v>
      </c>
      <c r="O4694" s="43">
        <v>13286.641529153238</v>
      </c>
    </row>
    <row r="4695" spans="12:15" x14ac:dyDescent="0.2">
      <c r="L4695" s="4">
        <v>4689</v>
      </c>
      <c r="M4695" s="21">
        <v>40182.353741023049</v>
      </c>
      <c r="N4695" s="42">
        <v>50.90671131855094</v>
      </c>
      <c r="O4695" s="43">
        <v>15413.751495034583</v>
      </c>
    </row>
    <row r="4696" spans="12:15" x14ac:dyDescent="0.2">
      <c r="L4696" s="4">
        <v>4690</v>
      </c>
      <c r="M4696" s="21">
        <v>-64033.509648943131</v>
      </c>
      <c r="N4696" s="42">
        <v>49.939808745146294</v>
      </c>
      <c r="O4696" s="43">
        <v>14121.888594863829</v>
      </c>
    </row>
    <row r="4697" spans="12:15" x14ac:dyDescent="0.2">
      <c r="L4697" s="4">
        <v>4691</v>
      </c>
      <c r="M4697" s="21">
        <v>144285.30507227703</v>
      </c>
      <c r="N4697" s="42">
        <v>50.624031799352984</v>
      </c>
      <c r="O4697" s="43">
        <v>15690.332253212371</v>
      </c>
    </row>
    <row r="4698" spans="12:15" x14ac:dyDescent="0.2">
      <c r="L4698" s="4">
        <v>4692</v>
      </c>
      <c r="M4698" s="21">
        <v>179929.25134563571</v>
      </c>
      <c r="N4698" s="42">
        <v>49.428272880863659</v>
      </c>
      <c r="O4698" s="43">
        <v>18502.920743816416</v>
      </c>
    </row>
    <row r="4699" spans="12:15" x14ac:dyDescent="0.2">
      <c r="L4699" s="4">
        <v>4693</v>
      </c>
      <c r="M4699" s="21">
        <v>-151535.60891006317</v>
      </c>
      <c r="N4699" s="42">
        <v>51.255977543890154</v>
      </c>
      <c r="O4699" s="43">
        <v>12006.21123959326</v>
      </c>
    </row>
    <row r="4700" spans="12:15" x14ac:dyDescent="0.2">
      <c r="L4700" s="4">
        <v>4694</v>
      </c>
      <c r="M4700" s="21">
        <v>-212803.30867392727</v>
      </c>
      <c r="N4700" s="42">
        <v>47.22168514189719</v>
      </c>
      <c r="O4700" s="43">
        <v>15419.011933465552</v>
      </c>
    </row>
    <row r="4701" spans="12:15" x14ac:dyDescent="0.2">
      <c r="L4701" s="4">
        <v>4695</v>
      </c>
      <c r="M4701" s="21">
        <v>-25571.716508750644</v>
      </c>
      <c r="N4701" s="42">
        <v>49.035864622649605</v>
      </c>
      <c r="O4701" s="43">
        <v>14594.825441645906</v>
      </c>
    </row>
    <row r="4702" spans="12:15" x14ac:dyDescent="0.2">
      <c r="L4702" s="4">
        <v>4696</v>
      </c>
      <c r="M4702" s="21">
        <v>-171996.20519631583</v>
      </c>
      <c r="N4702" s="42">
        <v>49.861837369639083</v>
      </c>
      <c r="O4702" s="43">
        <v>11960.826078637934</v>
      </c>
    </row>
    <row r="4703" spans="12:15" x14ac:dyDescent="0.2">
      <c r="L4703" s="4">
        <v>4697</v>
      </c>
      <c r="M4703" s="21">
        <v>53508.092675776716</v>
      </c>
      <c r="N4703" s="42">
        <v>50.077044293067821</v>
      </c>
      <c r="O4703" s="43">
        <v>14800.934300191637</v>
      </c>
    </row>
    <row r="4704" spans="12:15" x14ac:dyDescent="0.2">
      <c r="L4704" s="4">
        <v>4698</v>
      </c>
      <c r="M4704" s="21">
        <v>4847.1382431439415</v>
      </c>
      <c r="N4704" s="42">
        <v>49.282375732614902</v>
      </c>
      <c r="O4704" s="43">
        <v>14745.314110295112</v>
      </c>
    </row>
    <row r="4705" spans="12:15" x14ac:dyDescent="0.2">
      <c r="L4705" s="4">
        <v>4699</v>
      </c>
      <c r="M4705" s="21">
        <v>-152194.84995589036</v>
      </c>
      <c r="N4705" s="42">
        <v>49.83120970209503</v>
      </c>
      <c r="O4705" s="43">
        <v>13369.479644402305</v>
      </c>
    </row>
    <row r="4706" spans="12:15" x14ac:dyDescent="0.2">
      <c r="L4706" s="4">
        <v>4700</v>
      </c>
      <c r="M4706" s="21">
        <v>-67098.355040299546</v>
      </c>
      <c r="N4706" s="42">
        <v>48.736671101090906</v>
      </c>
      <c r="O4706" s="43">
        <v>15249.936955906678</v>
      </c>
    </row>
    <row r="4707" spans="12:15" x14ac:dyDescent="0.2">
      <c r="L4707" s="4">
        <v>4701</v>
      </c>
      <c r="M4707" s="21">
        <v>-71614.779930284945</v>
      </c>
      <c r="N4707" s="42">
        <v>46.304183276196945</v>
      </c>
      <c r="O4707" s="43">
        <v>16784.729817815893</v>
      </c>
    </row>
    <row r="4708" spans="12:15" x14ac:dyDescent="0.2">
      <c r="L4708" s="4">
        <v>4702</v>
      </c>
      <c r="M4708" s="21">
        <v>-45328.831740718175</v>
      </c>
      <c r="N4708" s="42">
        <v>50.927428694355925</v>
      </c>
      <c r="O4708" s="43">
        <v>14438.282100019249</v>
      </c>
    </row>
    <row r="4709" spans="12:15" x14ac:dyDescent="0.2">
      <c r="L4709" s="4">
        <v>4703</v>
      </c>
      <c r="M4709" s="21">
        <v>-31433.885245744066</v>
      </c>
      <c r="N4709" s="42">
        <v>49.196160717207597</v>
      </c>
      <c r="O4709" s="43">
        <v>15485.112746233217</v>
      </c>
    </row>
    <row r="4710" spans="12:15" x14ac:dyDescent="0.2">
      <c r="L4710" s="4">
        <v>4704</v>
      </c>
      <c r="M4710" s="21">
        <v>-83067.788976827316</v>
      </c>
      <c r="N4710" s="42">
        <v>46.48851941926798</v>
      </c>
      <c r="O4710" s="43">
        <v>15402.176397714034</v>
      </c>
    </row>
    <row r="4711" spans="12:15" x14ac:dyDescent="0.2">
      <c r="L4711" s="4">
        <v>4705</v>
      </c>
      <c r="M4711" s="21">
        <v>94226.919687975344</v>
      </c>
      <c r="N4711" s="42">
        <v>49.29685062584818</v>
      </c>
      <c r="O4711" s="43">
        <v>15610.707164724479</v>
      </c>
    </row>
    <row r="4712" spans="12:15" x14ac:dyDescent="0.2">
      <c r="L4712" s="4">
        <v>4706</v>
      </c>
      <c r="M4712" s="21">
        <v>-19477.111328458981</v>
      </c>
      <c r="N4712" s="42">
        <v>50.726554390436888</v>
      </c>
      <c r="O4712" s="43">
        <v>14350.24266059304</v>
      </c>
    </row>
    <row r="4713" spans="12:15" x14ac:dyDescent="0.2">
      <c r="L4713" s="4">
        <v>4707</v>
      </c>
      <c r="M4713" s="21">
        <v>247432.88102765413</v>
      </c>
      <c r="N4713" s="42">
        <v>51.424100296099979</v>
      </c>
      <c r="O4713" s="43">
        <v>15291.976073681983</v>
      </c>
    </row>
    <row r="4714" spans="12:15" x14ac:dyDescent="0.2">
      <c r="L4714" s="4">
        <v>4708</v>
      </c>
      <c r="M4714" s="21">
        <v>35135.039611320739</v>
      </c>
      <c r="N4714" s="42">
        <v>50.829302514949219</v>
      </c>
      <c r="O4714" s="43">
        <v>14346.90804088818</v>
      </c>
    </row>
    <row r="4715" spans="12:15" x14ac:dyDescent="0.2">
      <c r="L4715" s="4">
        <v>4709</v>
      </c>
      <c r="M4715" s="21">
        <v>-131379.89192615668</v>
      </c>
      <c r="N4715" s="42">
        <v>47.246500028982851</v>
      </c>
      <c r="O4715" s="43">
        <v>15268.663434115011</v>
      </c>
    </row>
    <row r="4716" spans="12:15" x14ac:dyDescent="0.2">
      <c r="L4716" s="4">
        <v>4710</v>
      </c>
      <c r="M4716" s="21">
        <v>-26730.343149711523</v>
      </c>
      <c r="N4716" s="42">
        <v>50.303159216754786</v>
      </c>
      <c r="O4716" s="43">
        <v>15241.39276101243</v>
      </c>
    </row>
    <row r="4717" spans="12:15" x14ac:dyDescent="0.2">
      <c r="L4717" s="4">
        <v>4711</v>
      </c>
      <c r="M4717" s="21">
        <v>230970.77940525618</v>
      </c>
      <c r="N4717" s="42">
        <v>50.466205533934065</v>
      </c>
      <c r="O4717" s="43">
        <v>14752.156430864066</v>
      </c>
    </row>
    <row r="4718" spans="12:15" x14ac:dyDescent="0.2">
      <c r="L4718" s="4">
        <v>4712</v>
      </c>
      <c r="M4718" s="21">
        <v>139784.49338649868</v>
      </c>
      <c r="N4718" s="42">
        <v>51.23695507723329</v>
      </c>
      <c r="O4718" s="43">
        <v>14748.357571572275</v>
      </c>
    </row>
    <row r="4719" spans="12:15" x14ac:dyDescent="0.2">
      <c r="L4719" s="4">
        <v>4713</v>
      </c>
      <c r="M4719" s="21">
        <v>-16085.928561772642</v>
      </c>
      <c r="N4719" s="42">
        <v>50.720066913324153</v>
      </c>
      <c r="O4719" s="43">
        <v>13398.305854428656</v>
      </c>
    </row>
    <row r="4720" spans="12:15" x14ac:dyDescent="0.2">
      <c r="L4720" s="4">
        <v>4714</v>
      </c>
      <c r="M4720" s="21">
        <v>279593.87651289615</v>
      </c>
      <c r="N4720" s="42">
        <v>50.315855035880865</v>
      </c>
      <c r="O4720" s="43">
        <v>17625.62632844365</v>
      </c>
    </row>
    <row r="4721" spans="12:15" x14ac:dyDescent="0.2">
      <c r="L4721" s="4">
        <v>4715</v>
      </c>
      <c r="M4721" s="21">
        <v>-51220.640148395745</v>
      </c>
      <c r="N4721" s="42">
        <v>48.751714530037496</v>
      </c>
      <c r="O4721" s="43">
        <v>16795.783997273717</v>
      </c>
    </row>
    <row r="4722" spans="12:15" x14ac:dyDescent="0.2">
      <c r="L4722" s="4">
        <v>4716</v>
      </c>
      <c r="M4722" s="21">
        <v>-86484.496333698466</v>
      </c>
      <c r="N4722" s="42">
        <v>45.717842915921516</v>
      </c>
      <c r="O4722" s="43">
        <v>19221.474612446513</v>
      </c>
    </row>
    <row r="4723" spans="12:15" x14ac:dyDescent="0.2">
      <c r="L4723" s="4">
        <v>4717</v>
      </c>
      <c r="M4723" s="21">
        <v>85684.589201082999</v>
      </c>
      <c r="N4723" s="42">
        <v>48.192923655172969</v>
      </c>
      <c r="O4723" s="43">
        <v>16839.822444800066</v>
      </c>
    </row>
    <row r="4724" spans="12:15" x14ac:dyDescent="0.2">
      <c r="L4724" s="4">
        <v>4718</v>
      </c>
      <c r="M4724" s="21">
        <v>-41265.706789090211</v>
      </c>
      <c r="N4724" s="42">
        <v>50.240684562602908</v>
      </c>
      <c r="O4724" s="43">
        <v>14324.343373347985</v>
      </c>
    </row>
    <row r="4725" spans="12:15" x14ac:dyDescent="0.2">
      <c r="L4725" s="4">
        <v>4719</v>
      </c>
      <c r="M4725" s="21">
        <v>-163079.50918718538</v>
      </c>
      <c r="N4725" s="42">
        <v>51.003683830300652</v>
      </c>
      <c r="O4725" s="43">
        <v>12726.276185252129</v>
      </c>
    </row>
    <row r="4726" spans="12:15" x14ac:dyDescent="0.2">
      <c r="L4726" s="4">
        <v>4720</v>
      </c>
      <c r="M4726" s="21">
        <v>131723.69224110886</v>
      </c>
      <c r="N4726" s="42">
        <v>48.779277581413361</v>
      </c>
      <c r="O4726" s="43">
        <v>16241.025303641969</v>
      </c>
    </row>
    <row r="4727" spans="12:15" x14ac:dyDescent="0.2">
      <c r="L4727" s="4">
        <v>4721</v>
      </c>
      <c r="M4727" s="21">
        <v>-78755.424907616951</v>
      </c>
      <c r="N4727" s="42">
        <v>50.459890734344107</v>
      </c>
      <c r="O4727" s="43">
        <v>14662.24210487169</v>
      </c>
    </row>
    <row r="4728" spans="12:15" x14ac:dyDescent="0.2">
      <c r="L4728" s="4">
        <v>4722</v>
      </c>
      <c r="M4728" s="21">
        <v>123191.1958219356</v>
      </c>
      <c r="N4728" s="42">
        <v>49.656997197362244</v>
      </c>
      <c r="O4728" s="43">
        <v>15205.652128014252</v>
      </c>
    </row>
    <row r="4729" spans="12:15" x14ac:dyDescent="0.2">
      <c r="L4729" s="4">
        <v>4723</v>
      </c>
      <c r="M4729" s="21">
        <v>-87323.930449426043</v>
      </c>
      <c r="N4729" s="42">
        <v>48.654632869486704</v>
      </c>
      <c r="O4729" s="43">
        <v>15222.921838047667</v>
      </c>
    </row>
    <row r="4730" spans="12:15" x14ac:dyDescent="0.2">
      <c r="L4730" s="4">
        <v>4724</v>
      </c>
      <c r="M4730" s="21">
        <v>-102490.53926601339</v>
      </c>
      <c r="N4730" s="42">
        <v>50.481030200577059</v>
      </c>
      <c r="O4730" s="43">
        <v>12776.243524174128</v>
      </c>
    </row>
    <row r="4731" spans="12:15" x14ac:dyDescent="0.2">
      <c r="L4731" s="4">
        <v>4725</v>
      </c>
      <c r="M4731" s="21">
        <v>-170612.30411439695</v>
      </c>
      <c r="N4731" s="42">
        <v>49.680665392762236</v>
      </c>
      <c r="O4731" s="43">
        <v>13286.408691689165</v>
      </c>
    </row>
    <row r="4732" spans="12:15" x14ac:dyDescent="0.2">
      <c r="L4732" s="4">
        <v>4726</v>
      </c>
      <c r="M4732" s="21">
        <v>97710.058975367225</v>
      </c>
      <c r="N4732" s="42">
        <v>48.799254081389591</v>
      </c>
      <c r="O4732" s="43">
        <v>19105.130135534477</v>
      </c>
    </row>
    <row r="4733" spans="12:15" x14ac:dyDescent="0.2">
      <c r="L4733" s="4">
        <v>4727</v>
      </c>
      <c r="M4733" s="21">
        <v>13133.467496651778</v>
      </c>
      <c r="N4733" s="42">
        <v>50.774430956774992</v>
      </c>
      <c r="O4733" s="43">
        <v>15334.682991719674</v>
      </c>
    </row>
    <row r="4734" spans="12:15" x14ac:dyDescent="0.2">
      <c r="L4734" s="4">
        <v>4728</v>
      </c>
      <c r="M4734" s="21">
        <v>-68511.395818691642</v>
      </c>
      <c r="N4734" s="42">
        <v>49.714132926966272</v>
      </c>
      <c r="O4734" s="43">
        <v>13310.537023372701</v>
      </c>
    </row>
    <row r="4735" spans="12:15" x14ac:dyDescent="0.2">
      <c r="L4735" s="4">
        <v>4729</v>
      </c>
      <c r="M4735" s="21">
        <v>-32375.526181132329</v>
      </c>
      <c r="N4735" s="42">
        <v>48.857949365596596</v>
      </c>
      <c r="O4735" s="43">
        <v>14259.663630971225</v>
      </c>
    </row>
    <row r="4736" spans="12:15" x14ac:dyDescent="0.2">
      <c r="L4736" s="4">
        <v>4730</v>
      </c>
      <c r="M4736" s="21">
        <v>-24548.82420016882</v>
      </c>
      <c r="N4736" s="42">
        <v>47.816363504359984</v>
      </c>
      <c r="O4736" s="43">
        <v>16501.800062274815</v>
      </c>
    </row>
    <row r="4737" spans="12:15" x14ac:dyDescent="0.2">
      <c r="L4737" s="4">
        <v>4731</v>
      </c>
      <c r="M4737" s="21">
        <v>100841.49543349197</v>
      </c>
      <c r="N4737" s="42">
        <v>50.789111475772543</v>
      </c>
      <c r="O4737" s="43">
        <v>15150.191984893439</v>
      </c>
    </row>
    <row r="4738" spans="12:15" x14ac:dyDescent="0.2">
      <c r="L4738" s="4">
        <v>4732</v>
      </c>
      <c r="M4738" s="21">
        <v>2190.0965175083838</v>
      </c>
      <c r="N4738" s="42">
        <v>50.098138327816294</v>
      </c>
      <c r="O4738" s="43">
        <v>14494.881532803118</v>
      </c>
    </row>
    <row r="4739" spans="12:15" x14ac:dyDescent="0.2">
      <c r="L4739" s="4">
        <v>4733</v>
      </c>
      <c r="M4739" s="21">
        <v>-50053.972707835099</v>
      </c>
      <c r="N4739" s="42">
        <v>49.148610794696481</v>
      </c>
      <c r="O4739" s="43">
        <v>14283.104078055243</v>
      </c>
    </row>
    <row r="4740" spans="12:15" x14ac:dyDescent="0.2">
      <c r="L4740" s="4">
        <v>4734</v>
      </c>
      <c r="M4740" s="21">
        <v>-82657.566664445738</v>
      </c>
      <c r="N4740" s="42">
        <v>46.823604160181731</v>
      </c>
      <c r="O4740" s="43">
        <v>15171.658933805693</v>
      </c>
    </row>
    <row r="4741" spans="12:15" x14ac:dyDescent="0.2">
      <c r="L4741" s="4">
        <v>4735</v>
      </c>
      <c r="M4741" s="21">
        <v>87085.666993238323</v>
      </c>
      <c r="N4741" s="42">
        <v>50.826101764405642</v>
      </c>
      <c r="O4741" s="43">
        <v>14313.440235084909</v>
      </c>
    </row>
    <row r="4742" spans="12:15" x14ac:dyDescent="0.2">
      <c r="L4742" s="4">
        <v>4736</v>
      </c>
      <c r="M4742" s="21">
        <v>-225332.94597921998</v>
      </c>
      <c r="N4742" s="42">
        <v>46.996901380526296</v>
      </c>
      <c r="O4742" s="43">
        <v>14762.112430511414</v>
      </c>
    </row>
    <row r="4743" spans="12:15" x14ac:dyDescent="0.2">
      <c r="L4743" s="4">
        <v>4737</v>
      </c>
      <c r="M4743" s="21">
        <v>-53025.882878012693</v>
      </c>
      <c r="N4743" s="42">
        <v>49.214169781548449</v>
      </c>
      <c r="O4743" s="43">
        <v>13938.958034980698</v>
      </c>
    </row>
    <row r="4744" spans="12:15" x14ac:dyDescent="0.2">
      <c r="L4744" s="4">
        <v>4738</v>
      </c>
      <c r="M4744" s="21">
        <v>-60679.060835461001</v>
      </c>
      <c r="N4744" s="42">
        <v>48.715895451161863</v>
      </c>
      <c r="O4744" s="43">
        <v>14599.633602988679</v>
      </c>
    </row>
    <row r="4745" spans="12:15" x14ac:dyDescent="0.2">
      <c r="L4745" s="4">
        <v>4739</v>
      </c>
      <c r="M4745" s="21">
        <v>-64242.581080481366</v>
      </c>
      <c r="N4745" s="42">
        <v>46.387237952896136</v>
      </c>
      <c r="O4745" s="43">
        <v>18419.844542183939</v>
      </c>
    </row>
    <row r="4746" spans="12:15" x14ac:dyDescent="0.2">
      <c r="L4746" s="4">
        <v>4740</v>
      </c>
      <c r="M4746" s="21">
        <v>49345.426368487533</v>
      </c>
      <c r="N4746" s="42">
        <v>49.880849115781679</v>
      </c>
      <c r="O4746" s="43">
        <v>14276.372432356846</v>
      </c>
    </row>
    <row r="4747" spans="12:15" x14ac:dyDescent="0.2">
      <c r="L4747" s="4">
        <v>4741</v>
      </c>
      <c r="M4747" s="21">
        <v>-8851.3737360321393</v>
      </c>
      <c r="N4747" s="42">
        <v>50.630735620425625</v>
      </c>
      <c r="O4747" s="43">
        <v>13454.233267291303</v>
      </c>
    </row>
    <row r="4748" spans="12:15" x14ac:dyDescent="0.2">
      <c r="L4748" s="4">
        <v>4742</v>
      </c>
      <c r="M4748" s="21">
        <v>-136537.46928731492</v>
      </c>
      <c r="N4748" s="42">
        <v>46.782015132751283</v>
      </c>
      <c r="O4748" s="43">
        <v>16202.617358654741</v>
      </c>
    </row>
    <row r="4749" spans="12:15" x14ac:dyDescent="0.2">
      <c r="L4749" s="4">
        <v>4743</v>
      </c>
      <c r="M4749" s="21">
        <v>8891.1847124145715</v>
      </c>
      <c r="N4749" s="42">
        <v>50.656878078331687</v>
      </c>
      <c r="O4749" s="43">
        <v>13207.088148023793</v>
      </c>
    </row>
    <row r="4750" spans="12:15" x14ac:dyDescent="0.2">
      <c r="L4750" s="4">
        <v>4744</v>
      </c>
      <c r="M4750" s="21">
        <v>-54817.035641363371</v>
      </c>
      <c r="N4750" s="42">
        <v>50.823867826399471</v>
      </c>
      <c r="O4750" s="43">
        <v>14030.797422946072</v>
      </c>
    </row>
    <row r="4751" spans="12:15" x14ac:dyDescent="0.2">
      <c r="L4751" s="4">
        <v>4745</v>
      </c>
      <c r="M4751" s="21">
        <v>71170.310425009899</v>
      </c>
      <c r="N4751" s="42">
        <v>48.342335031128492</v>
      </c>
      <c r="O4751" s="43">
        <v>15314.707703718932</v>
      </c>
    </row>
    <row r="4752" spans="12:15" x14ac:dyDescent="0.2">
      <c r="L4752" s="4">
        <v>4746</v>
      </c>
      <c r="M4752" s="21">
        <v>-169293.68209773389</v>
      </c>
      <c r="N4752" s="42">
        <v>46.778437170616797</v>
      </c>
      <c r="O4752" s="43">
        <v>14574.102479135308</v>
      </c>
    </row>
    <row r="4753" spans="12:15" x14ac:dyDescent="0.2">
      <c r="L4753" s="4">
        <v>4747</v>
      </c>
      <c r="M4753" s="21">
        <v>209590.27157935308</v>
      </c>
      <c r="N4753" s="42">
        <v>49.613734490301987</v>
      </c>
      <c r="O4753" s="43">
        <v>17213.98186458998</v>
      </c>
    </row>
    <row r="4754" spans="12:15" x14ac:dyDescent="0.2">
      <c r="L4754" s="4">
        <v>4748</v>
      </c>
      <c r="M4754" s="21">
        <v>-119143.66538317599</v>
      </c>
      <c r="N4754" s="42">
        <v>47.875409134070829</v>
      </c>
      <c r="O4754" s="43">
        <v>15092.536804052208</v>
      </c>
    </row>
    <row r="4755" spans="12:15" x14ac:dyDescent="0.2">
      <c r="L4755" s="4">
        <v>4749</v>
      </c>
      <c r="M4755" s="21">
        <v>30249.128530648624</v>
      </c>
      <c r="N4755" s="42">
        <v>49.971691350833758</v>
      </c>
      <c r="O4755" s="43">
        <v>15873.170222483426</v>
      </c>
    </row>
    <row r="4756" spans="12:15" x14ac:dyDescent="0.2">
      <c r="L4756" s="4">
        <v>4750</v>
      </c>
      <c r="M4756" s="21">
        <v>-54561.472082295091</v>
      </c>
      <c r="N4756" s="42">
        <v>49.718197895921001</v>
      </c>
      <c r="O4756" s="43">
        <v>14348.889766168901</v>
      </c>
    </row>
    <row r="4757" spans="12:15" x14ac:dyDescent="0.2">
      <c r="L4757" s="4">
        <v>4751</v>
      </c>
      <c r="M4757" s="21">
        <v>183676.00173312353</v>
      </c>
      <c r="N4757" s="42">
        <v>51.284800604392558</v>
      </c>
      <c r="O4757" s="43">
        <v>15620.549778169756</v>
      </c>
    </row>
    <row r="4758" spans="12:15" x14ac:dyDescent="0.2">
      <c r="L4758" s="4">
        <v>4752</v>
      </c>
      <c r="M4758" s="21">
        <v>-129335.93528365572</v>
      </c>
      <c r="N4758" s="42">
        <v>51.390775521246432</v>
      </c>
      <c r="O4758" s="43">
        <v>12100.016790014093</v>
      </c>
    </row>
    <row r="4759" spans="12:15" x14ac:dyDescent="0.2">
      <c r="L4759" s="4">
        <v>4753</v>
      </c>
      <c r="M4759" s="21">
        <v>-64586.783952825892</v>
      </c>
      <c r="N4759" s="42">
        <v>49.478170223999228</v>
      </c>
      <c r="O4759" s="43">
        <v>14744.472736039999</v>
      </c>
    </row>
    <row r="4760" spans="12:15" x14ac:dyDescent="0.2">
      <c r="L4760" s="4">
        <v>4754</v>
      </c>
      <c r="M4760" s="21">
        <v>-18228.67865327136</v>
      </c>
      <c r="N4760" s="42">
        <v>51.760115006382392</v>
      </c>
      <c r="O4760" s="43">
        <v>11955.131792810116</v>
      </c>
    </row>
    <row r="4761" spans="12:15" x14ac:dyDescent="0.2">
      <c r="L4761" s="4">
        <v>4755</v>
      </c>
      <c r="M4761" s="21">
        <v>-98454.391555771916</v>
      </c>
      <c r="N4761" s="42">
        <v>51.215969456232628</v>
      </c>
      <c r="O4761" s="43">
        <v>13191.35394635495</v>
      </c>
    </row>
    <row r="4762" spans="12:15" x14ac:dyDescent="0.2">
      <c r="L4762" s="4">
        <v>4756</v>
      </c>
      <c r="M4762" s="21">
        <v>127612.4813456962</v>
      </c>
      <c r="N4762" s="42">
        <v>50.067586768424569</v>
      </c>
      <c r="O4762" s="43">
        <v>16717.538151822435</v>
      </c>
    </row>
    <row r="4763" spans="12:15" x14ac:dyDescent="0.2">
      <c r="L4763" s="4">
        <v>4757</v>
      </c>
      <c r="M4763" s="21">
        <v>-4133.3269666011329</v>
      </c>
      <c r="N4763" s="42">
        <v>50.90462843892405</v>
      </c>
      <c r="O4763" s="43">
        <v>14240.88815382776</v>
      </c>
    </row>
    <row r="4764" spans="12:15" x14ac:dyDescent="0.2">
      <c r="L4764" s="4">
        <v>4758</v>
      </c>
      <c r="M4764" s="21">
        <v>181433.86464180035</v>
      </c>
      <c r="N4764" s="42">
        <v>49.987547616185765</v>
      </c>
      <c r="O4764" s="43">
        <v>17139.675519168126</v>
      </c>
    </row>
    <row r="4765" spans="12:15" x14ac:dyDescent="0.2">
      <c r="L4765" s="4">
        <v>4759</v>
      </c>
      <c r="M4765" s="21">
        <v>-81980.945992001973</v>
      </c>
      <c r="N4765" s="42">
        <v>49.410865804419586</v>
      </c>
      <c r="O4765" s="43">
        <v>16406.011938082131</v>
      </c>
    </row>
    <row r="4766" spans="12:15" x14ac:dyDescent="0.2">
      <c r="L4766" s="4">
        <v>4760</v>
      </c>
      <c r="M4766" s="21">
        <v>23162.431006476836</v>
      </c>
      <c r="N4766" s="42">
        <v>48.689107693910749</v>
      </c>
      <c r="O4766" s="43">
        <v>15408.208100765576</v>
      </c>
    </row>
    <row r="4767" spans="12:15" x14ac:dyDescent="0.2">
      <c r="L4767" s="4">
        <v>4761</v>
      </c>
      <c r="M4767" s="21">
        <v>-11546.346768861258</v>
      </c>
      <c r="N4767" s="42">
        <v>46.974229966419657</v>
      </c>
      <c r="O4767" s="43">
        <v>17328.646650512532</v>
      </c>
    </row>
    <row r="4768" spans="12:15" x14ac:dyDescent="0.2">
      <c r="L4768" s="4">
        <v>4762</v>
      </c>
      <c r="M4768" s="21">
        <v>169677.99852238776</v>
      </c>
      <c r="N4768" s="42">
        <v>50.447658092621083</v>
      </c>
      <c r="O4768" s="43">
        <v>16369.902797089842</v>
      </c>
    </row>
    <row r="4769" spans="12:15" x14ac:dyDescent="0.2">
      <c r="L4769" s="4">
        <v>4763</v>
      </c>
      <c r="M4769" s="21">
        <v>23051.79020989273</v>
      </c>
      <c r="N4769" s="42">
        <v>50.094846631372192</v>
      </c>
      <c r="O4769" s="43">
        <v>15777.257507224083</v>
      </c>
    </row>
    <row r="4770" spans="12:15" x14ac:dyDescent="0.2">
      <c r="L4770" s="4">
        <v>4764</v>
      </c>
      <c r="M4770" s="21">
        <v>-34348.750450699968</v>
      </c>
      <c r="N4770" s="42">
        <v>49.444165465158861</v>
      </c>
      <c r="O4770" s="43">
        <v>14226.826378056763</v>
      </c>
    </row>
    <row r="4771" spans="12:15" x14ac:dyDescent="0.2">
      <c r="L4771" s="4">
        <v>4765</v>
      </c>
      <c r="M4771" s="21">
        <v>58484.009126093384</v>
      </c>
      <c r="N4771" s="42">
        <v>49.090780277037105</v>
      </c>
      <c r="O4771" s="43">
        <v>15862.053979512972</v>
      </c>
    </row>
    <row r="4772" spans="12:15" x14ac:dyDescent="0.2">
      <c r="L4772" s="4">
        <v>4766</v>
      </c>
      <c r="M4772" s="21">
        <v>-91415.884314180657</v>
      </c>
      <c r="N4772" s="42">
        <v>49.455887146235703</v>
      </c>
      <c r="O4772" s="43">
        <v>14469.062269011045</v>
      </c>
    </row>
    <row r="4773" spans="12:15" x14ac:dyDescent="0.2">
      <c r="L4773" s="4">
        <v>4767</v>
      </c>
      <c r="M4773" s="21">
        <v>-196585.52137693469</v>
      </c>
      <c r="N4773" s="42">
        <v>49.050719099384054</v>
      </c>
      <c r="O4773" s="43">
        <v>14676.133014491019</v>
      </c>
    </row>
    <row r="4774" spans="12:15" x14ac:dyDescent="0.2">
      <c r="L4774" s="4">
        <v>4768</v>
      </c>
      <c r="M4774" s="21">
        <v>-157327.05485686148</v>
      </c>
      <c r="N4774" s="42">
        <v>49.445557046890123</v>
      </c>
      <c r="O4774" s="43">
        <v>12794.276865845992</v>
      </c>
    </row>
    <row r="4775" spans="12:15" x14ac:dyDescent="0.2">
      <c r="L4775" s="4">
        <v>4769</v>
      </c>
      <c r="M4775" s="21">
        <v>-224877.43786443141</v>
      </c>
      <c r="N4775" s="42">
        <v>51.160885808281094</v>
      </c>
      <c r="O4775" s="43">
        <v>11223.257811633528</v>
      </c>
    </row>
    <row r="4776" spans="12:15" x14ac:dyDescent="0.2">
      <c r="L4776" s="4">
        <v>4770</v>
      </c>
      <c r="M4776" s="21">
        <v>61246.922098276293</v>
      </c>
      <c r="N4776" s="42">
        <v>49.757091686060349</v>
      </c>
      <c r="O4776" s="43">
        <v>17258.414361822532</v>
      </c>
    </row>
    <row r="4777" spans="12:15" x14ac:dyDescent="0.2">
      <c r="L4777" s="4">
        <v>4771</v>
      </c>
      <c r="M4777" s="21">
        <v>77190.686504617508</v>
      </c>
      <c r="N4777" s="42">
        <v>50.145145790867517</v>
      </c>
      <c r="O4777" s="43">
        <v>14177.530234550402</v>
      </c>
    </row>
    <row r="4778" spans="12:15" x14ac:dyDescent="0.2">
      <c r="L4778" s="4">
        <v>4772</v>
      </c>
      <c r="M4778" s="21">
        <v>-21512.224955662357</v>
      </c>
      <c r="N4778" s="42">
        <v>49.526605644163894</v>
      </c>
      <c r="O4778" s="43">
        <v>15113.978306761597</v>
      </c>
    </row>
    <row r="4779" spans="12:15" x14ac:dyDescent="0.2">
      <c r="L4779" s="4">
        <v>4773</v>
      </c>
      <c r="M4779" s="21">
        <v>88471.359072218445</v>
      </c>
      <c r="N4779" s="42">
        <v>47.005833503935797</v>
      </c>
      <c r="O4779" s="43">
        <v>17664.340910715102</v>
      </c>
    </row>
    <row r="4780" spans="12:15" x14ac:dyDescent="0.2">
      <c r="L4780" s="4">
        <v>4774</v>
      </c>
      <c r="M4780" s="21">
        <v>-266959.56488461862</v>
      </c>
      <c r="N4780" s="42">
        <v>46.47329369135295</v>
      </c>
      <c r="O4780" s="43">
        <v>15334.303017319093</v>
      </c>
    </row>
    <row r="4781" spans="12:15" x14ac:dyDescent="0.2">
      <c r="L4781" s="4">
        <v>4775</v>
      </c>
      <c r="M4781" s="21">
        <v>-115115.69223873716</v>
      </c>
      <c r="N4781" s="42">
        <v>46.739751655766995</v>
      </c>
      <c r="O4781" s="43">
        <v>15915.53155105412</v>
      </c>
    </row>
    <row r="4782" spans="12:15" x14ac:dyDescent="0.2">
      <c r="L4782" s="4">
        <v>4776</v>
      </c>
      <c r="M4782" s="21">
        <v>-55542.854149772742</v>
      </c>
      <c r="N4782" s="42">
        <v>48.341504752681217</v>
      </c>
      <c r="O4782" s="43">
        <v>14571.127120780307</v>
      </c>
    </row>
    <row r="4783" spans="12:15" x14ac:dyDescent="0.2">
      <c r="L4783" s="4">
        <v>4777</v>
      </c>
      <c r="M4783" s="21">
        <v>-87018.488348811094</v>
      </c>
      <c r="N4783" s="42">
        <v>49.710484111905885</v>
      </c>
      <c r="O4783" s="43">
        <v>13884.907299941831</v>
      </c>
    </row>
    <row r="4784" spans="12:15" x14ac:dyDescent="0.2">
      <c r="L4784" s="4">
        <v>4778</v>
      </c>
      <c r="M4784" s="21">
        <v>293779.22162221407</v>
      </c>
      <c r="N4784" s="42">
        <v>51.153542155820638</v>
      </c>
      <c r="O4784" s="43">
        <v>16264.693798906352</v>
      </c>
    </row>
    <row r="4785" spans="12:15" x14ac:dyDescent="0.2">
      <c r="L4785" s="4">
        <v>4779</v>
      </c>
      <c r="M4785" s="21">
        <v>75670.723828136426</v>
      </c>
      <c r="N4785" s="42">
        <v>51.381651710411596</v>
      </c>
      <c r="O4785" s="43">
        <v>14159.543790589543</v>
      </c>
    </row>
    <row r="4786" spans="12:15" x14ac:dyDescent="0.2">
      <c r="L4786" s="4">
        <v>4780</v>
      </c>
      <c r="M4786" s="21">
        <v>-15948.618763076724</v>
      </c>
      <c r="N4786" s="42">
        <v>50.877766050085654</v>
      </c>
      <c r="O4786" s="43">
        <v>12913.831143342339</v>
      </c>
    </row>
    <row r="4787" spans="12:15" x14ac:dyDescent="0.2">
      <c r="L4787" s="4">
        <v>4781</v>
      </c>
      <c r="M4787" s="21">
        <v>301284.65179122746</v>
      </c>
      <c r="N4787" s="42">
        <v>51.053678114641784</v>
      </c>
      <c r="O4787" s="43">
        <v>16556.808436909909</v>
      </c>
    </row>
    <row r="4788" spans="12:15" x14ac:dyDescent="0.2">
      <c r="L4788" s="4">
        <v>4782</v>
      </c>
      <c r="M4788" s="21">
        <v>209150.02456894904</v>
      </c>
      <c r="N4788" s="42">
        <v>50.242688522831976</v>
      </c>
      <c r="O4788" s="43">
        <v>15522.123997350885</v>
      </c>
    </row>
    <row r="4789" spans="12:15" x14ac:dyDescent="0.2">
      <c r="L4789" s="4">
        <v>4783</v>
      </c>
      <c r="M4789" s="21">
        <v>9445.9370138118102</v>
      </c>
      <c r="N4789" s="42">
        <v>48.613119885927496</v>
      </c>
      <c r="O4789" s="43">
        <v>16949.708794299808</v>
      </c>
    </row>
    <row r="4790" spans="12:15" x14ac:dyDescent="0.2">
      <c r="L4790" s="4">
        <v>4784</v>
      </c>
      <c r="M4790" s="21">
        <v>30153.643457374943</v>
      </c>
      <c r="N4790" s="42">
        <v>50.205575894103553</v>
      </c>
      <c r="O4790" s="43">
        <v>14276.079877264425</v>
      </c>
    </row>
    <row r="4791" spans="12:15" x14ac:dyDescent="0.2">
      <c r="L4791" s="4">
        <v>4785</v>
      </c>
      <c r="M4791" s="21">
        <v>-35296.536327570735</v>
      </c>
      <c r="N4791" s="42">
        <v>50.389243339671623</v>
      </c>
      <c r="O4791" s="43">
        <v>13693.959140179773</v>
      </c>
    </row>
    <row r="4792" spans="12:15" x14ac:dyDescent="0.2">
      <c r="L4792" s="4">
        <v>4786</v>
      </c>
      <c r="M4792" s="21">
        <v>-30596.147152750287</v>
      </c>
      <c r="N4792" s="42">
        <v>51.355928508211939</v>
      </c>
      <c r="O4792" s="43">
        <v>13448.47945887171</v>
      </c>
    </row>
    <row r="4793" spans="12:15" x14ac:dyDescent="0.2">
      <c r="L4793" s="4">
        <v>4787</v>
      </c>
      <c r="M4793" s="21">
        <v>-159105.76911368262</v>
      </c>
      <c r="N4793" s="42">
        <v>45.215344836772431</v>
      </c>
      <c r="O4793" s="43">
        <v>16116.642693206883</v>
      </c>
    </row>
    <row r="4794" spans="12:15" x14ac:dyDescent="0.2">
      <c r="L4794" s="4">
        <v>4788</v>
      </c>
      <c r="M4794" s="21">
        <v>74192.661813348444</v>
      </c>
      <c r="N4794" s="42">
        <v>49.808895174629995</v>
      </c>
      <c r="O4794" s="43">
        <v>15360.305113607972</v>
      </c>
    </row>
    <row r="4795" spans="12:15" x14ac:dyDescent="0.2">
      <c r="L4795" s="4">
        <v>4789</v>
      </c>
      <c r="M4795" s="21">
        <v>-83185.88526522796</v>
      </c>
      <c r="N4795" s="42">
        <v>51.48374480704679</v>
      </c>
      <c r="O4795" s="43">
        <v>13091.504666978159</v>
      </c>
    </row>
    <row r="4796" spans="12:15" x14ac:dyDescent="0.2">
      <c r="L4796" s="4">
        <v>4790</v>
      </c>
      <c r="M4796" s="21">
        <v>45612.753343987686</v>
      </c>
      <c r="N4796" s="42">
        <v>51.808790055130537</v>
      </c>
      <c r="O4796" s="43">
        <v>13723.076007828391</v>
      </c>
    </row>
    <row r="4797" spans="12:15" x14ac:dyDescent="0.2">
      <c r="L4797" s="4">
        <v>4791</v>
      </c>
      <c r="M4797" s="21">
        <v>4510.2870995971607</v>
      </c>
      <c r="N4797" s="42">
        <v>50.774655409146796</v>
      </c>
      <c r="O4797" s="43">
        <v>13897.276248180258</v>
      </c>
    </row>
    <row r="4798" spans="12:15" x14ac:dyDescent="0.2">
      <c r="L4798" s="4">
        <v>4792</v>
      </c>
      <c r="M4798" s="21">
        <v>-140971.35257481562</v>
      </c>
      <c r="N4798" s="42">
        <v>50.293540927370159</v>
      </c>
      <c r="O4798" s="43">
        <v>12927.185483860725</v>
      </c>
    </row>
    <row r="4799" spans="12:15" x14ac:dyDescent="0.2">
      <c r="L4799" s="4">
        <v>4793</v>
      </c>
      <c r="M4799" s="21">
        <v>22331.607330896921</v>
      </c>
      <c r="N4799" s="42">
        <v>49.912827029182559</v>
      </c>
      <c r="O4799" s="43">
        <v>16296.19890693593</v>
      </c>
    </row>
    <row r="4800" spans="12:15" x14ac:dyDescent="0.2">
      <c r="L4800" s="4">
        <v>4794</v>
      </c>
      <c r="M4800" s="21">
        <v>9738.131732157548</v>
      </c>
      <c r="N4800" s="42">
        <v>51.231263024992742</v>
      </c>
      <c r="O4800" s="43">
        <v>13796.941310844013</v>
      </c>
    </row>
    <row r="4801" spans="12:15" x14ac:dyDescent="0.2">
      <c r="L4801" s="4">
        <v>4795</v>
      </c>
      <c r="M4801" s="21">
        <v>98337.784010247153</v>
      </c>
      <c r="N4801" s="42">
        <v>50.189477633645474</v>
      </c>
      <c r="O4801" s="43">
        <v>15184.126377032731</v>
      </c>
    </row>
    <row r="4802" spans="12:15" x14ac:dyDescent="0.2">
      <c r="L4802" s="4">
        <v>4796</v>
      </c>
      <c r="M4802" s="21">
        <v>59928.51215812689</v>
      </c>
      <c r="N4802" s="42">
        <v>51.584766188211923</v>
      </c>
      <c r="O4802" s="43">
        <v>13082.503696253532</v>
      </c>
    </row>
    <row r="4803" spans="12:15" x14ac:dyDescent="0.2">
      <c r="L4803" s="4">
        <v>4797</v>
      </c>
      <c r="M4803" s="21">
        <v>34886.354021947132</v>
      </c>
      <c r="N4803" s="42">
        <v>49.199032612627192</v>
      </c>
      <c r="O4803" s="43">
        <v>15139.465499351511</v>
      </c>
    </row>
    <row r="4804" spans="12:15" x14ac:dyDescent="0.2">
      <c r="L4804" s="4">
        <v>4798</v>
      </c>
      <c r="M4804" s="21">
        <v>64283.329263701715</v>
      </c>
      <c r="N4804" s="42">
        <v>50.664890518961393</v>
      </c>
      <c r="O4804" s="43">
        <v>14638.261391622698</v>
      </c>
    </row>
    <row r="4805" spans="12:15" x14ac:dyDescent="0.2">
      <c r="L4805" s="4">
        <v>4799</v>
      </c>
      <c r="M4805" s="21">
        <v>140244.10033075049</v>
      </c>
      <c r="N4805" s="42">
        <v>50.334541614948435</v>
      </c>
      <c r="O4805" s="43">
        <v>16407.022032439072</v>
      </c>
    </row>
    <row r="4806" spans="12:15" x14ac:dyDescent="0.2">
      <c r="L4806" s="4">
        <v>4800</v>
      </c>
      <c r="M4806" s="21">
        <v>-202280.47015546326</v>
      </c>
      <c r="N4806" s="42">
        <v>50.886939586832632</v>
      </c>
      <c r="O4806" s="43">
        <v>12722.526023908084</v>
      </c>
    </row>
    <row r="4807" spans="12:15" x14ac:dyDescent="0.2">
      <c r="L4807" s="4">
        <v>4801</v>
      </c>
      <c r="M4807" s="21">
        <v>74273.729657709133</v>
      </c>
      <c r="N4807" s="42">
        <v>49.598725742399473</v>
      </c>
      <c r="O4807" s="43">
        <v>15334.501320150088</v>
      </c>
    </row>
    <row r="4808" spans="12:15" x14ac:dyDescent="0.2">
      <c r="L4808" s="4">
        <v>4802</v>
      </c>
      <c r="M4808" s="21">
        <v>297385.84627300256</v>
      </c>
      <c r="N4808" s="42">
        <v>50.631718078331147</v>
      </c>
      <c r="O4808" s="43">
        <v>17453.938768173641</v>
      </c>
    </row>
    <row r="4809" spans="12:15" x14ac:dyDescent="0.2">
      <c r="L4809" s="4">
        <v>4803</v>
      </c>
      <c r="M4809" s="21">
        <v>53898.131812353706</v>
      </c>
      <c r="N4809" s="42">
        <v>50.553455188278448</v>
      </c>
      <c r="O4809" s="43">
        <v>13417.944382712856</v>
      </c>
    </row>
    <row r="4810" spans="12:15" x14ac:dyDescent="0.2">
      <c r="L4810" s="4">
        <v>4804</v>
      </c>
      <c r="M4810" s="21">
        <v>-121451.20871329008</v>
      </c>
      <c r="N4810" s="42">
        <v>48.112298526841151</v>
      </c>
      <c r="O4810" s="43">
        <v>14556.100149970465</v>
      </c>
    </row>
    <row r="4811" spans="12:15" x14ac:dyDescent="0.2">
      <c r="L4811" s="4">
        <v>4805</v>
      </c>
      <c r="M4811" s="21">
        <v>-91821.465587836516</v>
      </c>
      <c r="N4811" s="42">
        <v>49.265936663195269</v>
      </c>
      <c r="O4811" s="43">
        <v>14347.784018608616</v>
      </c>
    </row>
    <row r="4812" spans="12:15" x14ac:dyDescent="0.2">
      <c r="L4812" s="4">
        <v>4806</v>
      </c>
      <c r="M4812" s="21">
        <v>-19.484047608362744</v>
      </c>
      <c r="N4812" s="42">
        <v>47.41758125343955</v>
      </c>
      <c r="O4812" s="43">
        <v>15452.158172461295</v>
      </c>
    </row>
    <row r="4813" spans="12:15" x14ac:dyDescent="0.2">
      <c r="L4813" s="4">
        <v>4807</v>
      </c>
      <c r="M4813" s="21">
        <v>-55297.083718366339</v>
      </c>
      <c r="N4813" s="42">
        <v>50.511521945735687</v>
      </c>
      <c r="O4813" s="43">
        <v>13749.31061733286</v>
      </c>
    </row>
    <row r="4814" spans="12:15" x14ac:dyDescent="0.2">
      <c r="L4814" s="4">
        <v>4808</v>
      </c>
      <c r="M4814" s="21">
        <v>94496.343021020904</v>
      </c>
      <c r="N4814" s="42">
        <v>49.333106888696264</v>
      </c>
      <c r="O4814" s="43">
        <v>15003.411212020685</v>
      </c>
    </row>
    <row r="4815" spans="12:15" x14ac:dyDescent="0.2">
      <c r="L4815" s="4">
        <v>4809</v>
      </c>
      <c r="M4815" s="21">
        <v>97258.533568893123</v>
      </c>
      <c r="N4815" s="42">
        <v>50.693843836561733</v>
      </c>
      <c r="O4815" s="43">
        <v>14748.63729186385</v>
      </c>
    </row>
    <row r="4816" spans="12:15" x14ac:dyDescent="0.2">
      <c r="L4816" s="4">
        <v>4810</v>
      </c>
      <c r="M4816" s="21">
        <v>-30034.432366225548</v>
      </c>
      <c r="N4816" s="42">
        <v>50.777553581396702</v>
      </c>
      <c r="O4816" s="43">
        <v>14623.246843733092</v>
      </c>
    </row>
    <row r="4817" spans="12:15" x14ac:dyDescent="0.2">
      <c r="L4817" s="4">
        <v>4811</v>
      </c>
      <c r="M4817" s="21">
        <v>-19920.893085487492</v>
      </c>
      <c r="N4817" s="42">
        <v>50.449505578188742</v>
      </c>
      <c r="O4817" s="43">
        <v>14777.373402011477</v>
      </c>
    </row>
    <row r="4818" spans="12:15" x14ac:dyDescent="0.2">
      <c r="L4818" s="4">
        <v>4812</v>
      </c>
      <c r="M4818" s="21">
        <v>-172550.54736056458</v>
      </c>
      <c r="N4818" s="42">
        <v>49.955960871863105</v>
      </c>
      <c r="O4818" s="43">
        <v>12681.630635401176</v>
      </c>
    </row>
    <row r="4819" spans="12:15" x14ac:dyDescent="0.2">
      <c r="L4819" s="4">
        <v>4813</v>
      </c>
      <c r="M4819" s="21">
        <v>-6474.2408205334505</v>
      </c>
      <c r="N4819" s="42">
        <v>50.260765797863478</v>
      </c>
      <c r="O4819" s="43">
        <v>14180.672904650559</v>
      </c>
    </row>
    <row r="4820" spans="12:15" x14ac:dyDescent="0.2">
      <c r="L4820" s="4">
        <v>4814</v>
      </c>
      <c r="M4820" s="21">
        <v>-23659.242250679919</v>
      </c>
      <c r="N4820" s="42">
        <v>48.274104044735559</v>
      </c>
      <c r="O4820" s="43">
        <v>16313.484006045852</v>
      </c>
    </row>
    <row r="4821" spans="12:15" x14ac:dyDescent="0.2">
      <c r="L4821" s="4">
        <v>4815</v>
      </c>
      <c r="M4821" s="21">
        <v>47570.160246184299</v>
      </c>
      <c r="N4821" s="42">
        <v>49.445663605269708</v>
      </c>
      <c r="O4821" s="43">
        <v>14305.453331342835</v>
      </c>
    </row>
    <row r="4822" spans="12:15" x14ac:dyDescent="0.2">
      <c r="L4822" s="4">
        <v>4816</v>
      </c>
      <c r="M4822" s="21">
        <v>-22518.496580639636</v>
      </c>
      <c r="N4822" s="42">
        <v>51.206552313603112</v>
      </c>
      <c r="O4822" s="43">
        <v>14393.96406776959</v>
      </c>
    </row>
    <row r="4823" spans="12:15" x14ac:dyDescent="0.2">
      <c r="L4823" s="4">
        <v>4817</v>
      </c>
      <c r="M4823" s="21">
        <v>134605.25599811049</v>
      </c>
      <c r="N4823" s="42">
        <v>50.261890389397458</v>
      </c>
      <c r="O4823" s="43">
        <v>15570.225674223182</v>
      </c>
    </row>
    <row r="4824" spans="12:15" x14ac:dyDescent="0.2">
      <c r="L4824" s="4">
        <v>4818</v>
      </c>
      <c r="M4824" s="21">
        <v>-140324.12690749735</v>
      </c>
      <c r="N4824" s="42">
        <v>45.839353644080887</v>
      </c>
      <c r="O4824" s="43">
        <v>18545.975458204342</v>
      </c>
    </row>
    <row r="4825" spans="12:15" x14ac:dyDescent="0.2">
      <c r="L4825" s="4">
        <v>4819</v>
      </c>
      <c r="M4825" s="21">
        <v>-194162.7821393935</v>
      </c>
      <c r="N4825" s="42">
        <v>49.965136279110716</v>
      </c>
      <c r="O4825" s="43">
        <v>14227.823530953945</v>
      </c>
    </row>
    <row r="4826" spans="12:15" x14ac:dyDescent="0.2">
      <c r="L4826" s="4">
        <v>4820</v>
      </c>
      <c r="M4826" s="21">
        <v>7270.1560409780359</v>
      </c>
      <c r="N4826" s="42">
        <v>50.365288641571965</v>
      </c>
      <c r="O4826" s="43">
        <v>14529.492184833554</v>
      </c>
    </row>
    <row r="4827" spans="12:15" x14ac:dyDescent="0.2">
      <c r="L4827" s="4">
        <v>4821</v>
      </c>
      <c r="M4827" s="21">
        <v>79435.631452904228</v>
      </c>
      <c r="N4827" s="42">
        <v>51.011566304556524</v>
      </c>
      <c r="O4827" s="43">
        <v>13225.664768686549</v>
      </c>
    </row>
    <row r="4828" spans="12:15" x14ac:dyDescent="0.2">
      <c r="L4828" s="4">
        <v>4822</v>
      </c>
      <c r="M4828" s="21">
        <v>19412.17985141027</v>
      </c>
      <c r="N4828" s="42">
        <v>48.058883479183251</v>
      </c>
      <c r="O4828" s="43">
        <v>17609.711852689547</v>
      </c>
    </row>
    <row r="4829" spans="12:15" x14ac:dyDescent="0.2">
      <c r="L4829" s="4">
        <v>4823</v>
      </c>
      <c r="M4829" s="21">
        <v>-119366.83863906302</v>
      </c>
      <c r="N4829" s="42">
        <v>48.406830479515548</v>
      </c>
      <c r="O4829" s="43">
        <v>13657.927127957963</v>
      </c>
    </row>
    <row r="4830" spans="12:15" x14ac:dyDescent="0.2">
      <c r="L4830" s="4">
        <v>4824</v>
      </c>
      <c r="M4830" s="21">
        <v>38514.316351183836</v>
      </c>
      <c r="N4830" s="42">
        <v>51.077912739873064</v>
      </c>
      <c r="O4830" s="43">
        <v>14309.615787431258</v>
      </c>
    </row>
    <row r="4831" spans="12:15" x14ac:dyDescent="0.2">
      <c r="L4831" s="4">
        <v>4825</v>
      </c>
      <c r="M4831" s="21">
        <v>-150651.34560059576</v>
      </c>
      <c r="N4831" s="42">
        <v>48.496832737185542</v>
      </c>
      <c r="O4831" s="43">
        <v>14074.872836877865</v>
      </c>
    </row>
    <row r="4832" spans="12:15" x14ac:dyDescent="0.2">
      <c r="L4832" s="4">
        <v>4826</v>
      </c>
      <c r="M4832" s="21">
        <v>103030.29187624864</v>
      </c>
      <c r="N4832" s="42">
        <v>48.016514237735336</v>
      </c>
      <c r="O4832" s="43">
        <v>16679.988549266382</v>
      </c>
    </row>
    <row r="4833" spans="12:15" x14ac:dyDescent="0.2">
      <c r="L4833" s="4">
        <v>4827</v>
      </c>
      <c r="M4833" s="21">
        <v>-182821.80246550182</v>
      </c>
      <c r="N4833" s="42">
        <v>48.465250527304818</v>
      </c>
      <c r="O4833" s="43">
        <v>14721.230392564385</v>
      </c>
    </row>
    <row r="4834" spans="12:15" x14ac:dyDescent="0.2">
      <c r="L4834" s="4">
        <v>4828</v>
      </c>
      <c r="M4834" s="21">
        <v>-141423.32212478886</v>
      </c>
      <c r="N4834" s="42">
        <v>50.104590465858649</v>
      </c>
      <c r="O4834" s="43">
        <v>12679.218343278795</v>
      </c>
    </row>
    <row r="4835" spans="12:15" x14ac:dyDescent="0.2">
      <c r="L4835" s="4">
        <v>4829</v>
      </c>
      <c r="M4835" s="21">
        <v>198170.78830920192</v>
      </c>
      <c r="N4835" s="42">
        <v>48.996328875640174</v>
      </c>
      <c r="O4835" s="43">
        <v>17877.041955923232</v>
      </c>
    </row>
    <row r="4836" spans="12:15" x14ac:dyDescent="0.2">
      <c r="L4836" s="4">
        <v>4830</v>
      </c>
      <c r="M4836" s="21">
        <v>-109090.66669159087</v>
      </c>
      <c r="N4836" s="42">
        <v>47.712728663962558</v>
      </c>
      <c r="O4836" s="43">
        <v>14248.037846813098</v>
      </c>
    </row>
    <row r="4837" spans="12:15" x14ac:dyDescent="0.2">
      <c r="L4837" s="4">
        <v>4831</v>
      </c>
      <c r="M4837" s="21">
        <v>7482.9941659908218</v>
      </c>
      <c r="N4837" s="42">
        <v>50.052509967951003</v>
      </c>
      <c r="O4837" s="43">
        <v>13910.424537424044</v>
      </c>
    </row>
    <row r="4838" spans="12:15" x14ac:dyDescent="0.2">
      <c r="L4838" s="4">
        <v>4832</v>
      </c>
      <c r="M4838" s="21">
        <v>61918.06095613903</v>
      </c>
      <c r="N4838" s="42">
        <v>49.367497691876764</v>
      </c>
      <c r="O4838" s="43">
        <v>15443.808775051522</v>
      </c>
    </row>
    <row r="4839" spans="12:15" x14ac:dyDescent="0.2">
      <c r="L4839" s="4">
        <v>4833</v>
      </c>
      <c r="M4839" s="21">
        <v>-196010.4834841736</v>
      </c>
      <c r="N4839" s="42">
        <v>49.307596373489289</v>
      </c>
      <c r="O4839" s="43">
        <v>12565.325410258361</v>
      </c>
    </row>
    <row r="4840" spans="12:15" x14ac:dyDescent="0.2">
      <c r="L4840" s="4">
        <v>4834</v>
      </c>
      <c r="M4840" s="21">
        <v>-265875.58948574564</v>
      </c>
      <c r="N4840" s="42">
        <v>49.999811722207511</v>
      </c>
      <c r="O4840" s="43">
        <v>11979.475183487033</v>
      </c>
    </row>
    <row r="4841" spans="12:15" x14ac:dyDescent="0.2">
      <c r="L4841" s="4">
        <v>4835</v>
      </c>
      <c r="M4841" s="21">
        <v>-219546.20920304128</v>
      </c>
      <c r="N4841" s="42">
        <v>46.815898030351988</v>
      </c>
      <c r="O4841" s="43">
        <v>14273.781707084541</v>
      </c>
    </row>
    <row r="4842" spans="12:15" x14ac:dyDescent="0.2">
      <c r="L4842" s="4">
        <v>4836</v>
      </c>
      <c r="M4842" s="21">
        <v>80551.22691450041</v>
      </c>
      <c r="N4842" s="42">
        <v>49.601411287608897</v>
      </c>
      <c r="O4842" s="43">
        <v>15603.32666145435</v>
      </c>
    </row>
    <row r="4843" spans="12:15" x14ac:dyDescent="0.2">
      <c r="L4843" s="4">
        <v>4837</v>
      </c>
      <c r="M4843" s="21">
        <v>95982.223839260114</v>
      </c>
      <c r="N4843" s="42">
        <v>49.160238234546725</v>
      </c>
      <c r="O4843" s="43">
        <v>17000.640080273788</v>
      </c>
    </row>
    <row r="4844" spans="12:15" x14ac:dyDescent="0.2">
      <c r="L4844" s="4">
        <v>4838</v>
      </c>
      <c r="M4844" s="21">
        <v>14803.510701932508</v>
      </c>
      <c r="N4844" s="42">
        <v>48.1980672317355</v>
      </c>
      <c r="O4844" s="43">
        <v>16304.12358641313</v>
      </c>
    </row>
    <row r="4845" spans="12:15" x14ac:dyDescent="0.2">
      <c r="L4845" s="4">
        <v>4839</v>
      </c>
      <c r="M4845" s="21">
        <v>-101024.55162983527</v>
      </c>
      <c r="N4845" s="42">
        <v>51.496484607339298</v>
      </c>
      <c r="O4845" s="43">
        <v>12082.536717386465</v>
      </c>
    </row>
    <row r="4846" spans="12:15" x14ac:dyDescent="0.2">
      <c r="L4846" s="4">
        <v>4840</v>
      </c>
      <c r="M4846" s="21">
        <v>-18558.813163059735</v>
      </c>
      <c r="N4846" s="42">
        <v>47.24178857856915</v>
      </c>
      <c r="O4846" s="43">
        <v>18282.071096401298</v>
      </c>
    </row>
    <row r="4847" spans="12:15" x14ac:dyDescent="0.2">
      <c r="L4847" s="4">
        <v>4841</v>
      </c>
      <c r="M4847" s="21">
        <v>-12876.047827770031</v>
      </c>
      <c r="N4847" s="42">
        <v>48.025328135203623</v>
      </c>
      <c r="O4847" s="43">
        <v>15751.617347185354</v>
      </c>
    </row>
    <row r="4848" spans="12:15" x14ac:dyDescent="0.2">
      <c r="L4848" s="4">
        <v>4842</v>
      </c>
      <c r="M4848" s="21">
        <v>-1587.4621136906935</v>
      </c>
      <c r="N4848" s="42">
        <v>47.689040324086371</v>
      </c>
      <c r="O4848" s="43">
        <v>15482.340743355002</v>
      </c>
    </row>
    <row r="4849" spans="12:15" x14ac:dyDescent="0.2">
      <c r="L4849" s="4">
        <v>4843</v>
      </c>
      <c r="M4849" s="21">
        <v>-147483.28974790993</v>
      </c>
      <c r="N4849" s="42">
        <v>49.47703313004768</v>
      </c>
      <c r="O4849" s="43">
        <v>13096.048233945132</v>
      </c>
    </row>
    <row r="4850" spans="12:15" x14ac:dyDescent="0.2">
      <c r="L4850" s="4">
        <v>4844</v>
      </c>
      <c r="M4850" s="21">
        <v>-60336.644644775239</v>
      </c>
      <c r="N4850" s="42">
        <v>47.843286453109314</v>
      </c>
      <c r="O4850" s="43">
        <v>15791.476651786383</v>
      </c>
    </row>
    <row r="4851" spans="12:15" x14ac:dyDescent="0.2">
      <c r="L4851" s="4">
        <v>4845</v>
      </c>
      <c r="M4851" s="21">
        <v>-79917.381807659651</v>
      </c>
      <c r="N4851" s="42">
        <v>49.881586367756086</v>
      </c>
      <c r="O4851" s="43">
        <v>14933.632921532497</v>
      </c>
    </row>
    <row r="4852" spans="12:15" x14ac:dyDescent="0.2">
      <c r="L4852" s="4">
        <v>4846</v>
      </c>
      <c r="M4852" s="21">
        <v>-66258.26334251494</v>
      </c>
      <c r="N4852" s="42">
        <v>48.670894107168635</v>
      </c>
      <c r="O4852" s="43">
        <v>15556.290778838909</v>
      </c>
    </row>
    <row r="4853" spans="12:15" x14ac:dyDescent="0.2">
      <c r="L4853" s="4">
        <v>4847</v>
      </c>
      <c r="M4853" s="21">
        <v>-94855.65933732441</v>
      </c>
      <c r="N4853" s="42">
        <v>50.999862848183227</v>
      </c>
      <c r="O4853" s="43">
        <v>12045.531920051995</v>
      </c>
    </row>
    <row r="4854" spans="12:15" x14ac:dyDescent="0.2">
      <c r="L4854" s="4">
        <v>4848</v>
      </c>
      <c r="M4854" s="21">
        <v>160025.00806691771</v>
      </c>
      <c r="N4854" s="42">
        <v>50.580688730648788</v>
      </c>
      <c r="O4854" s="43">
        <v>16329.679126369247</v>
      </c>
    </row>
    <row r="4855" spans="12:15" x14ac:dyDescent="0.2">
      <c r="L4855" s="4">
        <v>4849</v>
      </c>
      <c r="M4855" s="21">
        <v>261213.19245964265</v>
      </c>
      <c r="N4855" s="42">
        <v>49.848836711929522</v>
      </c>
      <c r="O4855" s="43">
        <v>15896.313891136448</v>
      </c>
    </row>
    <row r="4856" spans="12:15" x14ac:dyDescent="0.2">
      <c r="L4856" s="4">
        <v>4850</v>
      </c>
      <c r="M4856" s="21">
        <v>162312.53126813105</v>
      </c>
      <c r="N4856" s="42">
        <v>48.896764157641975</v>
      </c>
      <c r="O4856" s="43">
        <v>16448.99940674653</v>
      </c>
    </row>
    <row r="4857" spans="12:15" x14ac:dyDescent="0.2">
      <c r="L4857" s="4">
        <v>4851</v>
      </c>
      <c r="M4857" s="21">
        <v>-11263.085575798948</v>
      </c>
      <c r="N4857" s="42">
        <v>48.756561194379927</v>
      </c>
      <c r="O4857" s="43">
        <v>15026.748379605409</v>
      </c>
    </row>
    <row r="4858" spans="12:15" x14ac:dyDescent="0.2">
      <c r="L4858" s="4">
        <v>4852</v>
      </c>
      <c r="M4858" s="21">
        <v>32290.289868175576</v>
      </c>
      <c r="N4858" s="42">
        <v>48.652102938691108</v>
      </c>
      <c r="O4858" s="43">
        <v>16245.11840908384</v>
      </c>
    </row>
    <row r="4859" spans="12:15" x14ac:dyDescent="0.2">
      <c r="L4859" s="4">
        <v>4853</v>
      </c>
      <c r="M4859" s="21">
        <v>-140.50021577786538</v>
      </c>
      <c r="N4859" s="42">
        <v>49.10289296440444</v>
      </c>
      <c r="O4859" s="43">
        <v>17595.827821519197</v>
      </c>
    </row>
    <row r="4860" spans="12:15" x14ac:dyDescent="0.2">
      <c r="L4860" s="4">
        <v>4854</v>
      </c>
      <c r="M4860" s="21">
        <v>-53168.126554259448</v>
      </c>
      <c r="N4860" s="42">
        <v>48.418057123588149</v>
      </c>
      <c r="O4860" s="43">
        <v>13607.893674688788</v>
      </c>
    </row>
    <row r="4861" spans="12:15" x14ac:dyDescent="0.2">
      <c r="L4861" s="4">
        <v>4855</v>
      </c>
      <c r="M4861" s="21">
        <v>-31900.484257589138</v>
      </c>
      <c r="N4861" s="42">
        <v>46.323551383421972</v>
      </c>
      <c r="O4861" s="43">
        <v>17578.453164121209</v>
      </c>
    </row>
    <row r="4862" spans="12:15" x14ac:dyDescent="0.2">
      <c r="L4862" s="4">
        <v>4856</v>
      </c>
      <c r="M4862" s="21">
        <v>748.53631984887761</v>
      </c>
      <c r="N4862" s="42">
        <v>49.872407057339565</v>
      </c>
      <c r="O4862" s="43">
        <v>15092.972479652879</v>
      </c>
    </row>
    <row r="4863" spans="12:15" x14ac:dyDescent="0.2">
      <c r="L4863" s="4">
        <v>4857</v>
      </c>
      <c r="M4863" s="21">
        <v>32326.785834076873</v>
      </c>
      <c r="N4863" s="42">
        <v>47.712021534194406</v>
      </c>
      <c r="O4863" s="43">
        <v>16282.819214596337</v>
      </c>
    </row>
    <row r="4864" spans="12:15" x14ac:dyDescent="0.2">
      <c r="L4864" s="4">
        <v>4858</v>
      </c>
      <c r="M4864" s="21">
        <v>-124103.20976809185</v>
      </c>
      <c r="N4864" s="42">
        <v>49.873975264655598</v>
      </c>
      <c r="O4864" s="43">
        <v>14280.132487641093</v>
      </c>
    </row>
    <row r="4865" spans="12:15" x14ac:dyDescent="0.2">
      <c r="L4865" s="4">
        <v>4859</v>
      </c>
      <c r="M4865" s="21">
        <v>-171634.01373990194</v>
      </c>
      <c r="N4865" s="42">
        <v>47.384425542328174</v>
      </c>
      <c r="O4865" s="43">
        <v>14894.871009956953</v>
      </c>
    </row>
    <row r="4866" spans="12:15" x14ac:dyDescent="0.2">
      <c r="L4866" s="4">
        <v>4860</v>
      </c>
      <c r="M4866" s="21">
        <v>156322.16008487396</v>
      </c>
      <c r="N4866" s="42">
        <v>49.916906479068501</v>
      </c>
      <c r="O4866" s="43">
        <v>15787.487706506987</v>
      </c>
    </row>
    <row r="4867" spans="12:15" x14ac:dyDescent="0.2">
      <c r="L4867" s="4">
        <v>4861</v>
      </c>
      <c r="M4867" s="21">
        <v>246210.12715093305</v>
      </c>
      <c r="N4867" s="42">
        <v>51.670218398693748</v>
      </c>
      <c r="O4867" s="43">
        <v>17935.725852986947</v>
      </c>
    </row>
    <row r="4868" spans="12:15" x14ac:dyDescent="0.2">
      <c r="L4868" s="4">
        <v>4862</v>
      </c>
      <c r="M4868" s="21">
        <v>58653.017039231083</v>
      </c>
      <c r="N4868" s="42">
        <v>50.209170899844864</v>
      </c>
      <c r="O4868" s="43">
        <v>15457.541055632986</v>
      </c>
    </row>
    <row r="4869" spans="12:15" x14ac:dyDescent="0.2">
      <c r="L4869" s="4">
        <v>4863</v>
      </c>
      <c r="M4869" s="21">
        <v>56842.180356370605</v>
      </c>
      <c r="N4869" s="42">
        <v>50.886110384482521</v>
      </c>
      <c r="O4869" s="43">
        <v>14686.239611263252</v>
      </c>
    </row>
    <row r="4870" spans="12:15" x14ac:dyDescent="0.2">
      <c r="L4870" s="4">
        <v>4864</v>
      </c>
      <c r="M4870" s="21">
        <v>-74382.345902387911</v>
      </c>
      <c r="N4870" s="42">
        <v>47.601962287033963</v>
      </c>
      <c r="O4870" s="43">
        <v>14704.003394351412</v>
      </c>
    </row>
    <row r="4871" spans="12:15" x14ac:dyDescent="0.2">
      <c r="L4871" s="4">
        <v>4865</v>
      </c>
      <c r="M4871" s="21">
        <v>-301736.76008796669</v>
      </c>
      <c r="N4871" s="42">
        <v>46.685120218529185</v>
      </c>
      <c r="O4871" s="43">
        <v>13490.915832605937</v>
      </c>
    </row>
    <row r="4872" spans="12:15" x14ac:dyDescent="0.2">
      <c r="L4872" s="4">
        <v>4866</v>
      </c>
      <c r="M4872" s="21">
        <v>-122474.74314237875</v>
      </c>
      <c r="N4872" s="42">
        <v>48.891513504346761</v>
      </c>
      <c r="O4872" s="43">
        <v>15362.370587024494</v>
      </c>
    </row>
    <row r="4873" spans="12:15" x14ac:dyDescent="0.2">
      <c r="L4873" s="4">
        <v>4867</v>
      </c>
      <c r="M4873" s="21">
        <v>23662.373363707127</v>
      </c>
      <c r="N4873" s="42">
        <v>47.893326659217387</v>
      </c>
      <c r="O4873" s="43">
        <v>15571.550881315628</v>
      </c>
    </row>
    <row r="4874" spans="12:15" x14ac:dyDescent="0.2">
      <c r="L4874" s="4">
        <v>4868</v>
      </c>
      <c r="M4874" s="21">
        <v>-34954.627572116951</v>
      </c>
      <c r="N4874" s="42">
        <v>50.090027349418698</v>
      </c>
      <c r="O4874" s="43">
        <v>14647.951156859584</v>
      </c>
    </row>
    <row r="4875" spans="12:15" x14ac:dyDescent="0.2">
      <c r="L4875" s="4">
        <v>4869</v>
      </c>
      <c r="M4875" s="21">
        <v>-115638.97075841505</v>
      </c>
      <c r="N4875" s="42">
        <v>47.730947883754183</v>
      </c>
      <c r="O4875" s="43">
        <v>13800.920974744786</v>
      </c>
    </row>
    <row r="4876" spans="12:15" x14ac:dyDescent="0.2">
      <c r="L4876" s="4">
        <v>4870</v>
      </c>
      <c r="M4876" s="21">
        <v>23864.874434541911</v>
      </c>
      <c r="N4876" s="42">
        <v>49.471060239328814</v>
      </c>
      <c r="O4876" s="43">
        <v>16433.934598402036</v>
      </c>
    </row>
    <row r="4877" spans="12:15" x14ac:dyDescent="0.2">
      <c r="L4877" s="4">
        <v>4871</v>
      </c>
      <c r="M4877" s="21">
        <v>-8139.9397642291442</v>
      </c>
      <c r="N4877" s="42">
        <v>46.763074125793146</v>
      </c>
      <c r="O4877" s="43">
        <v>16169.486870007988</v>
      </c>
    </row>
    <row r="4878" spans="12:15" x14ac:dyDescent="0.2">
      <c r="L4878" s="4">
        <v>4872</v>
      </c>
      <c r="M4878" s="21">
        <v>34985.937379460636</v>
      </c>
      <c r="N4878" s="42">
        <v>51.467525623146699</v>
      </c>
      <c r="O4878" s="43">
        <v>13559.818249420669</v>
      </c>
    </row>
    <row r="4879" spans="12:15" x14ac:dyDescent="0.2">
      <c r="L4879" s="4">
        <v>4873</v>
      </c>
      <c r="M4879" s="21">
        <v>67883.881470891007</v>
      </c>
      <c r="N4879" s="42">
        <v>50.020543494889466</v>
      </c>
      <c r="O4879" s="43">
        <v>16116.899620672826</v>
      </c>
    </row>
    <row r="4880" spans="12:15" x14ac:dyDescent="0.2">
      <c r="L4880" s="4">
        <v>4874</v>
      </c>
      <c r="M4880" s="21">
        <v>62816.622572802647</v>
      </c>
      <c r="N4880" s="42">
        <v>48.380080649782869</v>
      </c>
      <c r="O4880" s="43">
        <v>17056.452573514816</v>
      </c>
    </row>
    <row r="4881" spans="12:15" x14ac:dyDescent="0.2">
      <c r="L4881" s="4">
        <v>4875</v>
      </c>
      <c r="M4881" s="21">
        <v>17987.577543399268</v>
      </c>
      <c r="N4881" s="42">
        <v>51.368928172585676</v>
      </c>
      <c r="O4881" s="43">
        <v>13689.609329066725</v>
      </c>
    </row>
    <row r="4882" spans="12:15" x14ac:dyDescent="0.2">
      <c r="L4882" s="4">
        <v>4876</v>
      </c>
      <c r="M4882" s="21">
        <v>77839.235286993557</v>
      </c>
      <c r="N4882" s="42">
        <v>50.5729235592759</v>
      </c>
      <c r="O4882" s="43">
        <v>15240.890964732997</v>
      </c>
    </row>
    <row r="4883" spans="12:15" x14ac:dyDescent="0.2">
      <c r="L4883" s="4">
        <v>4877</v>
      </c>
      <c r="M4883" s="21">
        <v>-118196.98477419945</v>
      </c>
      <c r="N4883" s="42">
        <v>50.698286676180899</v>
      </c>
      <c r="O4883" s="43">
        <v>13147.786617330747</v>
      </c>
    </row>
    <row r="4884" spans="12:15" x14ac:dyDescent="0.2">
      <c r="L4884" s="4">
        <v>4878</v>
      </c>
      <c r="M4884" s="21">
        <v>-143452.42895848249</v>
      </c>
      <c r="N4884" s="42">
        <v>44.562130123944506</v>
      </c>
      <c r="O4884" s="43">
        <v>17813.957832441178</v>
      </c>
    </row>
    <row r="4885" spans="12:15" x14ac:dyDescent="0.2">
      <c r="L4885" s="4">
        <v>4879</v>
      </c>
      <c r="M4885" s="21">
        <v>-74537.221731027719</v>
      </c>
      <c r="N4885" s="42">
        <v>49.409103133250291</v>
      </c>
      <c r="O4885" s="43">
        <v>15127.218782112775</v>
      </c>
    </row>
    <row r="4886" spans="12:15" x14ac:dyDescent="0.2">
      <c r="L4886" s="4">
        <v>4880</v>
      </c>
      <c r="M4886" s="21">
        <v>-121294.88023641898</v>
      </c>
      <c r="N4886" s="42">
        <v>47.627030282337842</v>
      </c>
      <c r="O4886" s="43">
        <v>15928.678463420452</v>
      </c>
    </row>
    <row r="4887" spans="12:15" x14ac:dyDescent="0.2">
      <c r="L4887" s="4">
        <v>4881</v>
      </c>
      <c r="M4887" s="21">
        <v>-9331.6989246103476</v>
      </c>
      <c r="N4887" s="42">
        <v>51.536337921475678</v>
      </c>
      <c r="O4887" s="43">
        <v>13607.449210108098</v>
      </c>
    </row>
    <row r="4888" spans="12:15" x14ac:dyDescent="0.2">
      <c r="L4888" s="4">
        <v>4882</v>
      </c>
      <c r="M4888" s="21">
        <v>-66806.217223155865</v>
      </c>
      <c r="N4888" s="42">
        <v>51.503198502462993</v>
      </c>
      <c r="O4888" s="43">
        <v>13443.076952376587</v>
      </c>
    </row>
    <row r="4889" spans="12:15" x14ac:dyDescent="0.2">
      <c r="L4889" s="4">
        <v>4883</v>
      </c>
      <c r="M4889" s="21">
        <v>-27092.411551709345</v>
      </c>
      <c r="N4889" s="42">
        <v>48.768900796792607</v>
      </c>
      <c r="O4889" s="43">
        <v>16169.957554769815</v>
      </c>
    </row>
    <row r="4890" spans="12:15" x14ac:dyDescent="0.2">
      <c r="L4890" s="4">
        <v>4884</v>
      </c>
      <c r="M4890" s="21">
        <v>61301.946516799595</v>
      </c>
      <c r="N4890" s="42">
        <v>50.377183546920222</v>
      </c>
      <c r="O4890" s="43">
        <v>15687.637152805311</v>
      </c>
    </row>
    <row r="4891" spans="12:15" x14ac:dyDescent="0.2">
      <c r="L4891" s="4">
        <v>4885</v>
      </c>
      <c r="M4891" s="21">
        <v>-27465.26639677021</v>
      </c>
      <c r="N4891" s="42">
        <v>48.140725041755616</v>
      </c>
      <c r="O4891" s="43">
        <v>16116.218566344302</v>
      </c>
    </row>
    <row r="4892" spans="12:15" x14ac:dyDescent="0.2">
      <c r="L4892" s="4">
        <v>4886</v>
      </c>
      <c r="M4892" s="21">
        <v>-45445.134874124094</v>
      </c>
      <c r="N4892" s="42">
        <v>49.832825302704983</v>
      </c>
      <c r="O4892" s="43">
        <v>13705.595641472231</v>
      </c>
    </row>
    <row r="4893" spans="12:15" x14ac:dyDescent="0.2">
      <c r="L4893" s="4">
        <v>4887</v>
      </c>
      <c r="M4893" s="21">
        <v>-326144.50506169297</v>
      </c>
      <c r="N4893" s="42">
        <v>45.640122732219339</v>
      </c>
      <c r="O4893" s="43">
        <v>13824.393135361197</v>
      </c>
    </row>
    <row r="4894" spans="12:15" x14ac:dyDescent="0.2">
      <c r="L4894" s="4">
        <v>4888</v>
      </c>
      <c r="M4894" s="21">
        <v>86627.622679206455</v>
      </c>
      <c r="N4894" s="42">
        <v>48.572168649317959</v>
      </c>
      <c r="O4894" s="43">
        <v>16280.748532859287</v>
      </c>
    </row>
    <row r="4895" spans="12:15" x14ac:dyDescent="0.2">
      <c r="L4895" s="4">
        <v>4889</v>
      </c>
      <c r="M4895" s="21">
        <v>185145.76263908925</v>
      </c>
      <c r="N4895" s="42">
        <v>50.141806273969436</v>
      </c>
      <c r="O4895" s="43">
        <v>14256.889837709099</v>
      </c>
    </row>
    <row r="4896" spans="12:15" x14ac:dyDescent="0.2">
      <c r="L4896" s="4">
        <v>4890</v>
      </c>
      <c r="M4896" s="21">
        <v>-28141.320747810969</v>
      </c>
      <c r="N4896" s="42">
        <v>51.783872970349336</v>
      </c>
      <c r="O4896" s="43">
        <v>12839.069904153101</v>
      </c>
    </row>
    <row r="4897" spans="12:15" x14ac:dyDescent="0.2">
      <c r="L4897" s="4">
        <v>4891</v>
      </c>
      <c r="M4897" s="21">
        <v>-14250.915131680653</v>
      </c>
      <c r="N4897" s="42">
        <v>50.002349632373736</v>
      </c>
      <c r="O4897" s="43">
        <v>13515.882226238218</v>
      </c>
    </row>
    <row r="4898" spans="12:15" x14ac:dyDescent="0.2">
      <c r="L4898" s="4">
        <v>4892</v>
      </c>
      <c r="M4898" s="21">
        <v>-85278.108294585909</v>
      </c>
      <c r="N4898" s="42">
        <v>49.266902208620309</v>
      </c>
      <c r="O4898" s="43">
        <v>13931.90297651925</v>
      </c>
    </row>
    <row r="4899" spans="12:15" x14ac:dyDescent="0.2">
      <c r="L4899" s="4">
        <v>4893</v>
      </c>
      <c r="M4899" s="21">
        <v>51082.994023351523</v>
      </c>
      <c r="N4899" s="42">
        <v>47.331469123033514</v>
      </c>
      <c r="O4899" s="43">
        <v>16011.475312384875</v>
      </c>
    </row>
    <row r="4900" spans="12:15" x14ac:dyDescent="0.2">
      <c r="L4900" s="4">
        <v>4894</v>
      </c>
      <c r="M4900" s="21">
        <v>-101255.84635600727</v>
      </c>
      <c r="N4900" s="42">
        <v>50.031294945603932</v>
      </c>
      <c r="O4900" s="43">
        <v>13433.437703648769</v>
      </c>
    </row>
    <row r="4901" spans="12:15" x14ac:dyDescent="0.2">
      <c r="L4901" s="4">
        <v>4895</v>
      </c>
      <c r="M4901" s="21">
        <v>43058.469759227417</v>
      </c>
      <c r="N4901" s="42">
        <v>51.042392037414487</v>
      </c>
      <c r="O4901" s="43">
        <v>14496.740761931434</v>
      </c>
    </row>
    <row r="4902" spans="12:15" x14ac:dyDescent="0.2">
      <c r="L4902" s="4">
        <v>4896</v>
      </c>
      <c r="M4902" s="21">
        <v>-90478.696640798109</v>
      </c>
      <c r="N4902" s="42">
        <v>50.076548897770749</v>
      </c>
      <c r="O4902" s="43">
        <v>12443.792039468932</v>
      </c>
    </row>
    <row r="4903" spans="12:15" x14ac:dyDescent="0.2">
      <c r="L4903" s="4">
        <v>4897</v>
      </c>
      <c r="M4903" s="21">
        <v>-196610.92495742464</v>
      </c>
      <c r="N4903" s="42">
        <v>48.465242860519467</v>
      </c>
      <c r="O4903" s="43">
        <v>14609.996354149109</v>
      </c>
    </row>
    <row r="4904" spans="12:15" x14ac:dyDescent="0.2">
      <c r="L4904" s="4">
        <v>4898</v>
      </c>
      <c r="M4904" s="21">
        <v>7496.5314535471844</v>
      </c>
      <c r="N4904" s="42">
        <v>48.907343117295056</v>
      </c>
      <c r="O4904" s="43">
        <v>16081.37963449471</v>
      </c>
    </row>
    <row r="4905" spans="12:15" x14ac:dyDescent="0.2">
      <c r="L4905" s="4">
        <v>4899</v>
      </c>
      <c r="M4905" s="21">
        <v>138185.46773064576</v>
      </c>
      <c r="N4905" s="42">
        <v>50.038482680151795</v>
      </c>
      <c r="O4905" s="43">
        <v>15589.639817839367</v>
      </c>
    </row>
    <row r="4906" spans="12:15" x14ac:dyDescent="0.2">
      <c r="L4906" s="4">
        <v>4900</v>
      </c>
      <c r="M4906" s="21">
        <v>-40683.705177380471</v>
      </c>
      <c r="N4906" s="42">
        <v>48.105411110629419</v>
      </c>
      <c r="O4906" s="43">
        <v>15479.996204961815</v>
      </c>
    </row>
    <row r="4907" spans="12:15" x14ac:dyDescent="0.2">
      <c r="L4907" s="4">
        <v>4901</v>
      </c>
      <c r="M4907" s="21">
        <v>-179404.0360038864</v>
      </c>
      <c r="N4907" s="42">
        <v>49.093625874065026</v>
      </c>
      <c r="O4907" s="43">
        <v>13514.88605678163</v>
      </c>
    </row>
    <row r="4908" spans="12:15" x14ac:dyDescent="0.2">
      <c r="L4908" s="4">
        <v>4902</v>
      </c>
      <c r="M4908" s="21">
        <v>-89052.367427314908</v>
      </c>
      <c r="N4908" s="42">
        <v>50.428043948344026</v>
      </c>
      <c r="O4908" s="43">
        <v>14098.734461498201</v>
      </c>
    </row>
    <row r="4909" spans="12:15" x14ac:dyDescent="0.2">
      <c r="L4909" s="4">
        <v>4903</v>
      </c>
      <c r="M4909" s="21">
        <v>-239997.96394196886</v>
      </c>
      <c r="N4909" s="42">
        <v>49.887294912395177</v>
      </c>
      <c r="O4909" s="43">
        <v>12843.617957324122</v>
      </c>
    </row>
    <row r="4910" spans="12:15" x14ac:dyDescent="0.2">
      <c r="L4910" s="4">
        <v>4904</v>
      </c>
      <c r="M4910" s="21">
        <v>-276570.83312152891</v>
      </c>
      <c r="N4910" s="42">
        <v>50.525105472132907</v>
      </c>
      <c r="O4910" s="43">
        <v>11227.883770935048</v>
      </c>
    </row>
    <row r="4911" spans="12:15" x14ac:dyDescent="0.2">
      <c r="L4911" s="4">
        <v>4905</v>
      </c>
      <c r="M4911" s="21">
        <v>-43927.841817118417</v>
      </c>
      <c r="N4911" s="42">
        <v>49.553100043921127</v>
      </c>
      <c r="O4911" s="43">
        <v>14940.717250685551</v>
      </c>
    </row>
    <row r="4912" spans="12:15" x14ac:dyDescent="0.2">
      <c r="L4912" s="4">
        <v>4906</v>
      </c>
      <c r="M4912" s="21">
        <v>-215438.48063110388</v>
      </c>
      <c r="N4912" s="42">
        <v>48.39181385437125</v>
      </c>
      <c r="O4912" s="43">
        <v>13693.281994542864</v>
      </c>
    </row>
    <row r="4913" spans="12:15" x14ac:dyDescent="0.2">
      <c r="L4913" s="4">
        <v>4907</v>
      </c>
      <c r="M4913" s="21">
        <v>-113656.59428123329</v>
      </c>
      <c r="N4913" s="42">
        <v>49.088050059530161</v>
      </c>
      <c r="O4913" s="43">
        <v>13406.054714643935</v>
      </c>
    </row>
    <row r="4914" spans="12:15" x14ac:dyDescent="0.2">
      <c r="L4914" s="4">
        <v>4908</v>
      </c>
      <c r="M4914" s="21">
        <v>114250.09403133625</v>
      </c>
      <c r="N4914" s="42">
        <v>50.962057469422206</v>
      </c>
      <c r="O4914" s="43">
        <v>15274.226193074521</v>
      </c>
    </row>
    <row r="4915" spans="12:15" x14ac:dyDescent="0.2">
      <c r="L4915" s="4">
        <v>4909</v>
      </c>
      <c r="M4915" s="21">
        <v>194962.27067723317</v>
      </c>
      <c r="N4915" s="42">
        <v>50.815429954481942</v>
      </c>
      <c r="O4915" s="43">
        <v>15531.790829778229</v>
      </c>
    </row>
    <row r="4916" spans="12:15" x14ac:dyDescent="0.2">
      <c r="L4916" s="4">
        <v>4910</v>
      </c>
      <c r="M4916" s="21">
        <v>192675.50643109574</v>
      </c>
      <c r="N4916" s="42">
        <v>51.553931092752407</v>
      </c>
      <c r="O4916" s="43">
        <v>15303.388447173094</v>
      </c>
    </row>
    <row r="4917" spans="12:15" x14ac:dyDescent="0.2">
      <c r="L4917" s="4">
        <v>4911</v>
      </c>
      <c r="M4917" s="21">
        <v>-75026.435183813563</v>
      </c>
      <c r="N4917" s="42">
        <v>48.841054752686652</v>
      </c>
      <c r="O4917" s="43">
        <v>15868.105305296694</v>
      </c>
    </row>
    <row r="4918" spans="12:15" x14ac:dyDescent="0.2">
      <c r="L4918" s="4">
        <v>4912</v>
      </c>
      <c r="M4918" s="21">
        <v>104905.86207569932</v>
      </c>
      <c r="N4918" s="42">
        <v>48.497857188038807</v>
      </c>
      <c r="O4918" s="43">
        <v>17154.91607819745</v>
      </c>
    </row>
    <row r="4919" spans="12:15" x14ac:dyDescent="0.2">
      <c r="L4919" s="4">
        <v>4913</v>
      </c>
      <c r="M4919" s="21">
        <v>223757.61350425385</v>
      </c>
      <c r="N4919" s="42">
        <v>50.013523551511945</v>
      </c>
      <c r="O4919" s="43">
        <v>16352.499754695184</v>
      </c>
    </row>
    <row r="4920" spans="12:15" x14ac:dyDescent="0.2">
      <c r="L4920" s="4">
        <v>4914</v>
      </c>
      <c r="M4920" s="21">
        <v>-10579.726798367847</v>
      </c>
      <c r="N4920" s="42">
        <v>47.340060014823777</v>
      </c>
      <c r="O4920" s="43">
        <v>15343.522203579005</v>
      </c>
    </row>
    <row r="4921" spans="12:15" x14ac:dyDescent="0.2">
      <c r="L4921" s="4">
        <v>4915</v>
      </c>
      <c r="M4921" s="21">
        <v>-35168.704574667136</v>
      </c>
      <c r="N4921" s="42">
        <v>49.941325728345497</v>
      </c>
      <c r="O4921" s="43">
        <v>13846.729770521109</v>
      </c>
    </row>
    <row r="4922" spans="12:15" x14ac:dyDescent="0.2">
      <c r="L4922" s="4">
        <v>4916</v>
      </c>
      <c r="M4922" s="21">
        <v>-116126.8933577163</v>
      </c>
      <c r="N4922" s="42">
        <v>46.886451629786343</v>
      </c>
      <c r="O4922" s="43">
        <v>14358.630536961498</v>
      </c>
    </row>
    <row r="4923" spans="12:15" x14ac:dyDescent="0.2">
      <c r="L4923" s="4">
        <v>4917</v>
      </c>
      <c r="M4923" s="21">
        <v>-45156.413168555708</v>
      </c>
      <c r="N4923" s="42">
        <v>49.685753154809866</v>
      </c>
      <c r="O4923" s="43">
        <v>12187.735085458236</v>
      </c>
    </row>
    <row r="4924" spans="12:15" x14ac:dyDescent="0.2">
      <c r="L4924" s="4">
        <v>4918</v>
      </c>
      <c r="M4924" s="21">
        <v>-106309.31596975372</v>
      </c>
      <c r="N4924" s="42">
        <v>47.788354052837171</v>
      </c>
      <c r="O4924" s="43">
        <v>15344.967070147495</v>
      </c>
    </row>
    <row r="4925" spans="12:15" x14ac:dyDescent="0.2">
      <c r="L4925" s="4">
        <v>4919</v>
      </c>
      <c r="M4925" s="21">
        <v>-105905.61958878614</v>
      </c>
      <c r="N4925" s="42">
        <v>47.261599151819901</v>
      </c>
      <c r="O4925" s="43">
        <v>16527.899286202941</v>
      </c>
    </row>
    <row r="4926" spans="12:15" x14ac:dyDescent="0.2">
      <c r="L4926" s="4">
        <v>4920</v>
      </c>
      <c r="M4926" s="21">
        <v>66219.574169827916</v>
      </c>
      <c r="N4926" s="42">
        <v>48.787021226218307</v>
      </c>
      <c r="O4926" s="43">
        <v>16387.321939863061</v>
      </c>
    </row>
    <row r="4927" spans="12:15" x14ac:dyDescent="0.2">
      <c r="L4927" s="4">
        <v>4921</v>
      </c>
      <c r="M4927" s="21">
        <v>-77218.332547030514</v>
      </c>
      <c r="N4927" s="42">
        <v>49.53452182992023</v>
      </c>
      <c r="O4927" s="43">
        <v>13524.425494050871</v>
      </c>
    </row>
    <row r="4928" spans="12:15" x14ac:dyDescent="0.2">
      <c r="L4928" s="4">
        <v>4922</v>
      </c>
      <c r="M4928" s="21">
        <v>171539.87480279637</v>
      </c>
      <c r="N4928" s="42">
        <v>48.201172404357941</v>
      </c>
      <c r="O4928" s="43">
        <v>19089.827721779311</v>
      </c>
    </row>
    <row r="4929" spans="12:15" x14ac:dyDescent="0.2">
      <c r="L4929" s="4">
        <v>4923</v>
      </c>
      <c r="M4929" s="21">
        <v>112463.69720714845</v>
      </c>
      <c r="N4929" s="42">
        <v>49.700032761763353</v>
      </c>
      <c r="O4929" s="43">
        <v>15069.704178652841</v>
      </c>
    </row>
    <row r="4930" spans="12:15" x14ac:dyDescent="0.2">
      <c r="L4930" s="4">
        <v>4924</v>
      </c>
      <c r="M4930" s="21">
        <v>-63292.500477956259</v>
      </c>
      <c r="N4930" s="42">
        <v>49.552054950002912</v>
      </c>
      <c r="O4930" s="43">
        <v>14662.446173482709</v>
      </c>
    </row>
    <row r="4931" spans="12:15" x14ac:dyDescent="0.2">
      <c r="L4931" s="4">
        <v>4925</v>
      </c>
      <c r="M4931" s="21">
        <v>-229858.86130887925</v>
      </c>
      <c r="N4931" s="42">
        <v>47.250611301576861</v>
      </c>
      <c r="O4931" s="43">
        <v>13508.61671896187</v>
      </c>
    </row>
    <row r="4932" spans="12:15" x14ac:dyDescent="0.2">
      <c r="L4932" s="4">
        <v>4926</v>
      </c>
      <c r="M4932" s="21">
        <v>-160969.48574812483</v>
      </c>
      <c r="N4932" s="42">
        <v>48.416458902707362</v>
      </c>
      <c r="O4932" s="43">
        <v>15218.08171021594</v>
      </c>
    </row>
    <row r="4933" spans="12:15" x14ac:dyDescent="0.2">
      <c r="L4933" s="4">
        <v>4927</v>
      </c>
      <c r="M4933" s="21">
        <v>187336.05231890365</v>
      </c>
      <c r="N4933" s="42">
        <v>51.391083416690712</v>
      </c>
      <c r="O4933" s="43">
        <v>17303.413667201297</v>
      </c>
    </row>
    <row r="4934" spans="12:15" x14ac:dyDescent="0.2">
      <c r="L4934" s="4">
        <v>4928</v>
      </c>
      <c r="M4934" s="21">
        <v>19007.522452849953</v>
      </c>
      <c r="N4934" s="42">
        <v>49.547269185809618</v>
      </c>
      <c r="O4934" s="43">
        <v>14074.839734697371</v>
      </c>
    </row>
    <row r="4935" spans="12:15" x14ac:dyDescent="0.2">
      <c r="L4935" s="4">
        <v>4929</v>
      </c>
      <c r="M4935" s="21">
        <v>-206781.73197069007</v>
      </c>
      <c r="N4935" s="42">
        <v>51.443116839121856</v>
      </c>
      <c r="O4935" s="43">
        <v>11115.763895284279</v>
      </c>
    </row>
    <row r="4936" spans="12:15" x14ac:dyDescent="0.2">
      <c r="L4936" s="4">
        <v>4930</v>
      </c>
      <c r="M4936" s="21">
        <v>-74712.270711185149</v>
      </c>
      <c r="N4936" s="42">
        <v>49.407600060900947</v>
      </c>
      <c r="O4936" s="43">
        <v>13085.402160141846</v>
      </c>
    </row>
    <row r="4937" spans="12:15" x14ac:dyDescent="0.2">
      <c r="L4937" s="4">
        <v>4931</v>
      </c>
      <c r="M4937" s="21">
        <v>-190693.13502676986</v>
      </c>
      <c r="N4937" s="42">
        <v>48.798914584501823</v>
      </c>
      <c r="O4937" s="43">
        <v>13952.878466059527</v>
      </c>
    </row>
    <row r="4938" spans="12:15" x14ac:dyDescent="0.2">
      <c r="L4938" s="4">
        <v>4932</v>
      </c>
      <c r="M4938" s="21">
        <v>37412.944308018719</v>
      </c>
      <c r="N4938" s="42">
        <v>49.250612428266784</v>
      </c>
      <c r="O4938" s="43">
        <v>15712.562894322673</v>
      </c>
    </row>
    <row r="4939" spans="12:15" x14ac:dyDescent="0.2">
      <c r="L4939" s="4">
        <v>4933</v>
      </c>
      <c r="M4939" s="21">
        <v>98276.618702300591</v>
      </c>
      <c r="N4939" s="42">
        <v>50.798697988065904</v>
      </c>
      <c r="O4939" s="43">
        <v>15204.641345815449</v>
      </c>
    </row>
    <row r="4940" spans="12:15" x14ac:dyDescent="0.2">
      <c r="L4940" s="4">
        <v>4934</v>
      </c>
      <c r="M4940" s="21">
        <v>-104950.55078117564</v>
      </c>
      <c r="N4940" s="42">
        <v>47.594586976898185</v>
      </c>
      <c r="O4940" s="43">
        <v>16242.963409893182</v>
      </c>
    </row>
    <row r="4941" spans="12:15" x14ac:dyDescent="0.2">
      <c r="L4941" s="4">
        <v>4935</v>
      </c>
      <c r="M4941" s="21">
        <v>-108576.80072579951</v>
      </c>
      <c r="N4941" s="42">
        <v>49.326431669991479</v>
      </c>
      <c r="O4941" s="43">
        <v>15888.877144553704</v>
      </c>
    </row>
    <row r="4942" spans="12:15" x14ac:dyDescent="0.2">
      <c r="L4942" s="4">
        <v>4936</v>
      </c>
      <c r="M4942" s="21">
        <v>-109947.94228967153</v>
      </c>
      <c r="N4942" s="42">
        <v>50.93501885397577</v>
      </c>
      <c r="O4942" s="43">
        <v>12654.297817043736</v>
      </c>
    </row>
    <row r="4943" spans="12:15" x14ac:dyDescent="0.2">
      <c r="L4943" s="4">
        <v>4937</v>
      </c>
      <c r="M4943" s="21">
        <v>-43185.079600181314</v>
      </c>
      <c r="N4943" s="42">
        <v>51.738057228691247</v>
      </c>
      <c r="O4943" s="43">
        <v>12425.425521663459</v>
      </c>
    </row>
    <row r="4944" spans="12:15" x14ac:dyDescent="0.2">
      <c r="L4944" s="4">
        <v>4938</v>
      </c>
      <c r="M4944" s="21">
        <v>148166.54270863355</v>
      </c>
      <c r="N4944" s="42">
        <v>51.304676975275321</v>
      </c>
      <c r="O4944" s="43">
        <v>15214.174196682823</v>
      </c>
    </row>
    <row r="4945" spans="12:15" x14ac:dyDescent="0.2">
      <c r="L4945" s="4">
        <v>4939</v>
      </c>
      <c r="M4945" s="21">
        <v>76508.905834276986</v>
      </c>
      <c r="N4945" s="42">
        <v>47.946026067823908</v>
      </c>
      <c r="O4945" s="43">
        <v>16836.601999072202</v>
      </c>
    </row>
    <row r="4946" spans="12:15" x14ac:dyDescent="0.2">
      <c r="L4946" s="4">
        <v>4940</v>
      </c>
      <c r="M4946" s="21">
        <v>104918.86216819269</v>
      </c>
      <c r="N4946" s="42">
        <v>49.977630280961222</v>
      </c>
      <c r="O4946" s="43">
        <v>15739.309633173529</v>
      </c>
    </row>
    <row r="4947" spans="12:15" x14ac:dyDescent="0.2">
      <c r="L4947" s="4">
        <v>4941</v>
      </c>
      <c r="M4947" s="21">
        <v>168928.01185415988</v>
      </c>
      <c r="N4947" s="42">
        <v>49.228071268075723</v>
      </c>
      <c r="O4947" s="43">
        <v>17421.720630930577</v>
      </c>
    </row>
    <row r="4948" spans="12:15" x14ac:dyDescent="0.2">
      <c r="L4948" s="4">
        <v>4942</v>
      </c>
      <c r="M4948" s="21">
        <v>35510.516696965758</v>
      </c>
      <c r="N4948" s="42">
        <v>46.788275892310999</v>
      </c>
      <c r="O4948" s="43">
        <v>17603.593047579299</v>
      </c>
    </row>
    <row r="4949" spans="12:15" x14ac:dyDescent="0.2">
      <c r="L4949" s="4">
        <v>4943</v>
      </c>
      <c r="M4949" s="21">
        <v>27186.96084767321</v>
      </c>
      <c r="N4949" s="42">
        <v>50.481195087430365</v>
      </c>
      <c r="O4949" s="43">
        <v>13209.061294847521</v>
      </c>
    </row>
    <row r="4950" spans="12:15" x14ac:dyDescent="0.2">
      <c r="L4950" s="4">
        <v>4944</v>
      </c>
      <c r="M4950" s="21">
        <v>111979.50410448093</v>
      </c>
      <c r="N4950" s="42">
        <v>50.328266889899496</v>
      </c>
      <c r="O4950" s="43">
        <v>17309.23736942582</v>
      </c>
    </row>
    <row r="4951" spans="12:15" x14ac:dyDescent="0.2">
      <c r="L4951" s="4">
        <v>4945</v>
      </c>
      <c r="M4951" s="21">
        <v>-133760.9619911139</v>
      </c>
      <c r="N4951" s="42">
        <v>46.068764880563826</v>
      </c>
      <c r="O4951" s="43">
        <v>16245.757462904603</v>
      </c>
    </row>
    <row r="4952" spans="12:15" x14ac:dyDescent="0.2">
      <c r="L4952" s="4">
        <v>4946</v>
      </c>
      <c r="M4952" s="21">
        <v>89336.99244590415</v>
      </c>
      <c r="N4952" s="42">
        <v>49.81068958309514</v>
      </c>
      <c r="O4952" s="43">
        <v>15957.764485737667</v>
      </c>
    </row>
    <row r="4953" spans="12:15" x14ac:dyDescent="0.2">
      <c r="L4953" s="4">
        <v>4947</v>
      </c>
      <c r="M4953" s="21">
        <v>56174.894817606633</v>
      </c>
      <c r="N4953" s="42">
        <v>49.286368161715437</v>
      </c>
      <c r="O4953" s="43">
        <v>14903.611173228901</v>
      </c>
    </row>
    <row r="4954" spans="12:15" x14ac:dyDescent="0.2">
      <c r="L4954" s="4">
        <v>4948</v>
      </c>
      <c r="M4954" s="21">
        <v>-13551.317108049538</v>
      </c>
      <c r="N4954" s="42">
        <v>50.072912469544335</v>
      </c>
      <c r="O4954" s="43">
        <v>15787.503620648511</v>
      </c>
    </row>
    <row r="4955" spans="12:15" x14ac:dyDescent="0.2">
      <c r="L4955" s="4">
        <v>4949</v>
      </c>
      <c r="M4955" s="21">
        <v>-116303.21514987916</v>
      </c>
      <c r="N4955" s="42">
        <v>49.461359211775132</v>
      </c>
      <c r="O4955" s="43">
        <v>14359.357868548848</v>
      </c>
    </row>
    <row r="4956" spans="12:15" x14ac:dyDescent="0.2">
      <c r="L4956" s="4">
        <v>4950</v>
      </c>
      <c r="M4956" s="21">
        <v>9624.7723790406017</v>
      </c>
      <c r="N4956" s="42">
        <v>49.53181587945322</v>
      </c>
      <c r="O4956" s="43">
        <v>13602.298451802913</v>
      </c>
    </row>
    <row r="4957" spans="12:15" x14ac:dyDescent="0.2">
      <c r="L4957" s="4">
        <v>4951</v>
      </c>
      <c r="M4957" s="21">
        <v>30804.720645399328</v>
      </c>
      <c r="N4957" s="42">
        <v>49.422376119610362</v>
      </c>
      <c r="O4957" s="43">
        <v>15329.680226148419</v>
      </c>
    </row>
    <row r="4958" spans="12:15" x14ac:dyDescent="0.2">
      <c r="L4958" s="4">
        <v>4952</v>
      </c>
      <c r="M4958" s="21">
        <v>-65703.706577423203</v>
      </c>
      <c r="N4958" s="42">
        <v>48.24664927621572</v>
      </c>
      <c r="O4958" s="43">
        <v>14829.771810572249</v>
      </c>
    </row>
    <row r="4959" spans="12:15" x14ac:dyDescent="0.2">
      <c r="L4959" s="4">
        <v>4953</v>
      </c>
      <c r="M4959" s="21">
        <v>-319284.84125182714</v>
      </c>
      <c r="N4959" s="42">
        <v>48.286079812824347</v>
      </c>
      <c r="O4959" s="43">
        <v>12243.769326799491</v>
      </c>
    </row>
    <row r="4960" spans="12:15" x14ac:dyDescent="0.2">
      <c r="L4960" s="4">
        <v>4954</v>
      </c>
      <c r="M4960" s="21">
        <v>74837.938102464133</v>
      </c>
      <c r="N4960" s="42">
        <v>49.348104057067964</v>
      </c>
      <c r="O4960" s="43">
        <v>15408.450725198967</v>
      </c>
    </row>
    <row r="4961" spans="12:15" x14ac:dyDescent="0.2">
      <c r="L4961" s="4">
        <v>4955</v>
      </c>
      <c r="M4961" s="21">
        <v>-191118.31498564468</v>
      </c>
      <c r="N4961" s="42">
        <v>49.647139819811684</v>
      </c>
      <c r="O4961" s="43">
        <v>12539.599837372316</v>
      </c>
    </row>
    <row r="4962" spans="12:15" x14ac:dyDescent="0.2">
      <c r="L4962" s="4">
        <v>4956</v>
      </c>
      <c r="M4962" s="21">
        <v>-270016.67764712428</v>
      </c>
      <c r="N4962" s="42">
        <v>50.51471652143502</v>
      </c>
      <c r="O4962" s="43">
        <v>11013.575459657579</v>
      </c>
    </row>
    <row r="4963" spans="12:15" x14ac:dyDescent="0.2">
      <c r="L4963" s="4">
        <v>4957</v>
      </c>
      <c r="M4963" s="21">
        <v>9272.2811235950212</v>
      </c>
      <c r="N4963" s="42">
        <v>49.093678731214098</v>
      </c>
      <c r="O4963" s="43">
        <v>14920.16751318028</v>
      </c>
    </row>
    <row r="4964" spans="12:15" x14ac:dyDescent="0.2">
      <c r="L4964" s="4">
        <v>4958</v>
      </c>
      <c r="M4964" s="21">
        <v>-34900.439222539382</v>
      </c>
      <c r="N4964" s="42">
        <v>49.966602189924757</v>
      </c>
      <c r="O4964" s="43">
        <v>13796.578787756165</v>
      </c>
    </row>
    <row r="4965" spans="12:15" x14ac:dyDescent="0.2">
      <c r="L4965" s="4">
        <v>4959</v>
      </c>
      <c r="M4965" s="21">
        <v>-89466.274624286772</v>
      </c>
      <c r="N4965" s="42">
        <v>49.092762043071851</v>
      </c>
      <c r="O4965" s="43">
        <v>14979.227186261194</v>
      </c>
    </row>
    <row r="4966" spans="12:15" x14ac:dyDescent="0.2">
      <c r="L4966" s="4">
        <v>4960</v>
      </c>
      <c r="M4966" s="21">
        <v>129017.88179775819</v>
      </c>
      <c r="N4966" s="42">
        <v>49.739242686513066</v>
      </c>
      <c r="O4966" s="43">
        <v>15444.843550170808</v>
      </c>
    </row>
    <row r="4967" spans="12:15" x14ac:dyDescent="0.2">
      <c r="L4967" s="4">
        <v>4961</v>
      </c>
      <c r="M4967" s="21">
        <v>134830.61031934636</v>
      </c>
      <c r="N4967" s="42">
        <v>49.487585198947876</v>
      </c>
      <c r="O4967" s="43">
        <v>15814.840491493929</v>
      </c>
    </row>
    <row r="4968" spans="12:15" x14ac:dyDescent="0.2">
      <c r="L4968" s="4">
        <v>4962</v>
      </c>
      <c r="M4968" s="21">
        <v>2537.6870279315335</v>
      </c>
      <c r="N4968" s="42">
        <v>48.024182035085829</v>
      </c>
      <c r="O4968" s="43">
        <v>16815.857065570683</v>
      </c>
    </row>
    <row r="4969" spans="12:15" x14ac:dyDescent="0.2">
      <c r="L4969" s="4">
        <v>4963</v>
      </c>
      <c r="M4969" s="21">
        <v>843.04325034673093</v>
      </c>
      <c r="N4969" s="42">
        <v>48.943155837995619</v>
      </c>
      <c r="O4969" s="43">
        <v>15987.476179656209</v>
      </c>
    </row>
    <row r="4970" spans="12:15" x14ac:dyDescent="0.2">
      <c r="L4970" s="4">
        <v>4964</v>
      </c>
      <c r="M4970" s="21">
        <v>25276.312679519644</v>
      </c>
      <c r="N4970" s="42">
        <v>46.929974910871685</v>
      </c>
      <c r="O4970" s="43">
        <v>17974.930590871318</v>
      </c>
    </row>
    <row r="4971" spans="12:15" x14ac:dyDescent="0.2">
      <c r="L4971" s="4">
        <v>4965</v>
      </c>
      <c r="M4971" s="21">
        <v>-70781.904940468987</v>
      </c>
      <c r="N4971" s="42">
        <v>51.143102298820885</v>
      </c>
      <c r="O4971" s="43">
        <v>13331.436694761684</v>
      </c>
    </row>
    <row r="4972" spans="12:15" x14ac:dyDescent="0.2">
      <c r="L4972" s="4">
        <v>4966</v>
      </c>
      <c r="M4972" s="21">
        <v>-157795.96879068477</v>
      </c>
      <c r="N4972" s="42">
        <v>50.124099713514241</v>
      </c>
      <c r="O4972" s="43">
        <v>13076.015380648567</v>
      </c>
    </row>
    <row r="4973" spans="12:15" x14ac:dyDescent="0.2">
      <c r="L4973" s="4">
        <v>4967</v>
      </c>
      <c r="M4973" s="21">
        <v>225940.94500015196</v>
      </c>
      <c r="N4973" s="42">
        <v>50.803101795731457</v>
      </c>
      <c r="O4973" s="43">
        <v>15777.769233944928</v>
      </c>
    </row>
    <row r="4974" spans="12:15" x14ac:dyDescent="0.2">
      <c r="L4974" s="4">
        <v>4968</v>
      </c>
      <c r="M4974" s="21">
        <v>34198.317832050991</v>
      </c>
      <c r="N4974" s="42">
        <v>48.900183448773127</v>
      </c>
      <c r="O4974" s="43">
        <v>14789.679585535589</v>
      </c>
    </row>
    <row r="4975" spans="12:15" x14ac:dyDescent="0.2">
      <c r="L4975" s="4">
        <v>4969</v>
      </c>
      <c r="M4975" s="21">
        <v>-114076.94940763272</v>
      </c>
      <c r="N4975" s="42">
        <v>49.338426621525635</v>
      </c>
      <c r="O4975" s="43">
        <v>12948.869047902652</v>
      </c>
    </row>
    <row r="4976" spans="12:15" x14ac:dyDescent="0.2">
      <c r="L4976" s="4">
        <v>4970</v>
      </c>
      <c r="M4976" s="21">
        <v>3648.9569018793118</v>
      </c>
      <c r="N4976" s="42">
        <v>49.705868046546769</v>
      </c>
      <c r="O4976" s="43">
        <v>15042.59831444542</v>
      </c>
    </row>
    <row r="4977" spans="12:15" x14ac:dyDescent="0.2">
      <c r="L4977" s="4">
        <v>4971</v>
      </c>
      <c r="M4977" s="21">
        <v>-116960.46841391738</v>
      </c>
      <c r="N4977" s="42">
        <v>49.902924021573902</v>
      </c>
      <c r="O4977" s="43">
        <v>14700.217464163867</v>
      </c>
    </row>
    <row r="4978" spans="12:15" x14ac:dyDescent="0.2">
      <c r="L4978" s="4">
        <v>4972</v>
      </c>
      <c r="M4978" s="21">
        <v>90926.600988870196</v>
      </c>
      <c r="N4978" s="42">
        <v>50.568778034638058</v>
      </c>
      <c r="O4978" s="43">
        <v>15053.925769979258</v>
      </c>
    </row>
    <row r="4979" spans="12:15" x14ac:dyDescent="0.2">
      <c r="L4979" s="4">
        <v>4973</v>
      </c>
      <c r="M4979" s="21">
        <v>-7005.3416200165811</v>
      </c>
      <c r="N4979" s="42">
        <v>50.046406090853807</v>
      </c>
      <c r="O4979" s="43">
        <v>14775.936140874534</v>
      </c>
    </row>
    <row r="4980" spans="12:15" x14ac:dyDescent="0.2">
      <c r="L4980" s="4">
        <v>4974</v>
      </c>
      <c r="M4980" s="21">
        <v>77861.027228180406</v>
      </c>
      <c r="N4980" s="42">
        <v>48.543128666306984</v>
      </c>
      <c r="O4980" s="43">
        <v>16679.7388439153</v>
      </c>
    </row>
    <row r="4981" spans="12:15" x14ac:dyDescent="0.2">
      <c r="L4981" s="4">
        <v>4975</v>
      </c>
      <c r="M4981" s="21">
        <v>-66161.681516192446</v>
      </c>
      <c r="N4981" s="42">
        <v>49.29329296290453</v>
      </c>
      <c r="O4981" s="43">
        <v>15540.219321347058</v>
      </c>
    </row>
    <row r="4982" spans="12:15" x14ac:dyDescent="0.2">
      <c r="L4982" s="4">
        <v>4976</v>
      </c>
      <c r="M4982" s="21">
        <v>-48406.401943001561</v>
      </c>
      <c r="N4982" s="42">
        <v>48.772245878470237</v>
      </c>
      <c r="O4982" s="43">
        <v>15255.129211113592</v>
      </c>
    </row>
    <row r="4983" spans="12:15" x14ac:dyDescent="0.2">
      <c r="L4983" s="4">
        <v>4977</v>
      </c>
      <c r="M4983" s="21">
        <v>-4190.4265940432524</v>
      </c>
      <c r="N4983" s="42">
        <v>49.620700153966183</v>
      </c>
      <c r="O4983" s="43">
        <v>14927.413697213438</v>
      </c>
    </row>
    <row r="4984" spans="12:15" x14ac:dyDescent="0.2">
      <c r="L4984" s="4">
        <v>4978</v>
      </c>
      <c r="M4984" s="21">
        <v>-122707.53666860408</v>
      </c>
      <c r="N4984" s="42">
        <v>45.815041514103811</v>
      </c>
      <c r="O4984" s="43">
        <v>16703.651113727858</v>
      </c>
    </row>
    <row r="4985" spans="12:15" x14ac:dyDescent="0.2">
      <c r="L4985" s="4">
        <v>4979</v>
      </c>
      <c r="M4985" s="21">
        <v>-108051.52532442981</v>
      </c>
      <c r="N4985" s="42">
        <v>47.932499286108097</v>
      </c>
      <c r="O4985" s="43">
        <v>16110.316191937269</v>
      </c>
    </row>
    <row r="4986" spans="12:15" x14ac:dyDescent="0.2">
      <c r="L4986" s="4">
        <v>4980</v>
      </c>
      <c r="M4986" s="21">
        <v>-164062.60474967887</v>
      </c>
      <c r="N4986" s="42">
        <v>47.123787253156401</v>
      </c>
      <c r="O4986" s="43">
        <v>16079.164143824401</v>
      </c>
    </row>
    <row r="4987" spans="12:15" x14ac:dyDescent="0.2">
      <c r="L4987" s="4">
        <v>4981</v>
      </c>
      <c r="M4987" s="21">
        <v>-120127.1174271138</v>
      </c>
      <c r="N4987" s="42">
        <v>47.240262522674151</v>
      </c>
      <c r="O4987" s="43">
        <v>16448.558129161684</v>
      </c>
    </row>
    <row r="4988" spans="12:15" x14ac:dyDescent="0.2">
      <c r="L4988" s="4">
        <v>4982</v>
      </c>
      <c r="M4988" s="21">
        <v>152411.04556482701</v>
      </c>
      <c r="N4988" s="42">
        <v>49.557499271928251</v>
      </c>
      <c r="O4988" s="43">
        <v>15492.715057221072</v>
      </c>
    </row>
    <row r="4989" spans="12:15" x14ac:dyDescent="0.2">
      <c r="L4989" s="4">
        <v>4983</v>
      </c>
      <c r="M4989" s="21">
        <v>-73994.700813432966</v>
      </c>
      <c r="N4989" s="42">
        <v>48.080473145985685</v>
      </c>
      <c r="O4989" s="43">
        <v>15701.240558140607</v>
      </c>
    </row>
    <row r="4990" spans="12:15" x14ac:dyDescent="0.2">
      <c r="L4990" s="4">
        <v>4984</v>
      </c>
      <c r="M4990" s="21">
        <v>-109339.3439634923</v>
      </c>
      <c r="N4990" s="42">
        <v>47.46288424424651</v>
      </c>
      <c r="O4990" s="43">
        <v>14995.848509623944</v>
      </c>
    </row>
    <row r="4991" spans="12:15" x14ac:dyDescent="0.2">
      <c r="L4991" s="4">
        <v>4985</v>
      </c>
      <c r="M4991" s="21">
        <v>-233995.3887154301</v>
      </c>
      <c r="N4991" s="42">
        <v>51.455168209016378</v>
      </c>
      <c r="O4991" s="43">
        <v>11669.749431560393</v>
      </c>
    </row>
    <row r="4992" spans="12:15" x14ac:dyDescent="0.2">
      <c r="L4992" s="4">
        <v>4986</v>
      </c>
      <c r="M4992" s="21">
        <v>-116931.24354071308</v>
      </c>
      <c r="N4992" s="42">
        <v>48.243630581901918</v>
      </c>
      <c r="O4992" s="43">
        <v>14847.206854564707</v>
      </c>
    </row>
    <row r="4993" spans="12:15" x14ac:dyDescent="0.2">
      <c r="L4993" s="4">
        <v>4987</v>
      </c>
      <c r="M4993" s="21">
        <v>-91438.076532612846</v>
      </c>
      <c r="N4993" s="42">
        <v>46.93529910748957</v>
      </c>
      <c r="O4993" s="43">
        <v>15630.703046506314</v>
      </c>
    </row>
    <row r="4994" spans="12:15" x14ac:dyDescent="0.2">
      <c r="L4994" s="4">
        <v>4988</v>
      </c>
      <c r="M4994" s="21">
        <v>-84613.007146505406</v>
      </c>
      <c r="N4994" s="42">
        <v>49.612225014049734</v>
      </c>
      <c r="O4994" s="43">
        <v>13850.444735263229</v>
      </c>
    </row>
    <row r="4995" spans="12:15" x14ac:dyDescent="0.2">
      <c r="L4995" s="4">
        <v>4989</v>
      </c>
      <c r="M4995" s="21">
        <v>-60442.180395227624</v>
      </c>
      <c r="N4995" s="42">
        <v>51.164900121415002</v>
      </c>
      <c r="O4995" s="43">
        <v>13045.254652776823</v>
      </c>
    </row>
    <row r="4996" spans="12:15" x14ac:dyDescent="0.2">
      <c r="L4996" s="4">
        <v>4990</v>
      </c>
      <c r="M4996" s="21">
        <v>28559.923922637594</v>
      </c>
      <c r="N4996" s="42">
        <v>50.245041531830218</v>
      </c>
      <c r="O4996" s="43">
        <v>14855.926292118244</v>
      </c>
    </row>
    <row r="4997" spans="12:15" x14ac:dyDescent="0.2">
      <c r="L4997" s="4">
        <v>4991</v>
      </c>
      <c r="M4997" s="21">
        <v>-216960.80949965492</v>
      </c>
      <c r="N4997" s="42">
        <v>51.163417496247746</v>
      </c>
      <c r="O4997" s="43">
        <v>11235.30616966062</v>
      </c>
    </row>
    <row r="4998" spans="12:15" x14ac:dyDescent="0.2">
      <c r="L4998" s="4">
        <v>4992</v>
      </c>
      <c r="M4998" s="21">
        <v>-88021.449098927696</v>
      </c>
      <c r="N4998" s="42">
        <v>49.28428146166511</v>
      </c>
      <c r="O4998" s="43">
        <v>12887.975979124436</v>
      </c>
    </row>
    <row r="4999" spans="12:15" x14ac:dyDescent="0.2">
      <c r="L4999" s="4">
        <v>4993</v>
      </c>
      <c r="M4999" s="21">
        <v>-133846.60145606508</v>
      </c>
      <c r="N4999" s="42">
        <v>47.291084306310026</v>
      </c>
      <c r="O4999" s="43">
        <v>14378.506579038938</v>
      </c>
    </row>
    <row r="5000" spans="12:15" x14ac:dyDescent="0.2">
      <c r="L5000" s="4">
        <v>4994</v>
      </c>
      <c r="M5000" s="21">
        <v>-9635.064919572309</v>
      </c>
      <c r="N5000" s="42">
        <v>47.959915585923845</v>
      </c>
      <c r="O5000" s="43">
        <v>16118.857193018594</v>
      </c>
    </row>
    <row r="5001" spans="12:15" x14ac:dyDescent="0.2">
      <c r="L5001" s="4">
        <v>4995</v>
      </c>
      <c r="M5001" s="21">
        <v>123497.88817696593</v>
      </c>
      <c r="N5001" s="42">
        <v>51.54581456325689</v>
      </c>
      <c r="O5001" s="43">
        <v>15731.721765558925</v>
      </c>
    </row>
    <row r="5002" spans="12:15" x14ac:dyDescent="0.2">
      <c r="L5002" s="4">
        <v>4996</v>
      </c>
      <c r="M5002" s="21">
        <v>-25941.906961180168</v>
      </c>
      <c r="N5002" s="42">
        <v>47.89586944074523</v>
      </c>
      <c r="O5002" s="43">
        <v>15144.449518413412</v>
      </c>
    </row>
    <row r="5003" spans="12:15" x14ac:dyDescent="0.2">
      <c r="L5003" s="4">
        <v>4997</v>
      </c>
      <c r="M5003" s="21">
        <v>28110.554293803289</v>
      </c>
      <c r="N5003" s="42">
        <v>49.645638722907634</v>
      </c>
      <c r="O5003" s="43">
        <v>15819.960574354835</v>
      </c>
    </row>
    <row r="5004" spans="12:15" x14ac:dyDescent="0.2">
      <c r="L5004" s="4">
        <v>4998</v>
      </c>
      <c r="M5004" s="21">
        <v>-2547.3568056552613</v>
      </c>
      <c r="N5004" s="42">
        <v>47.807523525381107</v>
      </c>
      <c r="O5004" s="43">
        <v>15382.567501876138</v>
      </c>
    </row>
    <row r="5005" spans="12:15" x14ac:dyDescent="0.2">
      <c r="L5005" s="4">
        <v>4999</v>
      </c>
      <c r="M5005" s="21">
        <v>-191499.54766866792</v>
      </c>
      <c r="N5005" s="42">
        <v>48.53035953936827</v>
      </c>
      <c r="O5005" s="43">
        <v>13622.295232431585</v>
      </c>
    </row>
    <row r="5006" spans="12:15" x14ac:dyDescent="0.2">
      <c r="L5006" s="4">
        <v>5000</v>
      </c>
      <c r="M5006" s="21">
        <v>-5329.9672285142587</v>
      </c>
      <c r="N5006" s="42">
        <v>50.429584628807881</v>
      </c>
      <c r="O5006" s="43">
        <v>14621.508029965111</v>
      </c>
    </row>
  </sheetData>
  <pageMargins left="0.75" right="0.75" top="1" bottom="1" header="0.5" footer="0.5"/>
  <pageSetup paperSize="9" fitToHeight="0" orientation="landscape"/>
  <rowBreaks count="2" manualBreakCount="2">
    <brk id="34" max="16383" man="1"/>
    <brk id="65" max="16383" man="1"/>
  </rowBreaks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I14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5" x14ac:dyDescent="0.2"/>
  <cols>
    <col min="1" max="1" width="2" customWidth="1"/>
    <col min="2" max="2" width="26" customWidth="1"/>
    <col min="3" max="3" width="18" customWidth="1"/>
    <col min="4" max="4" width="16" customWidth="1"/>
    <col min="5" max="5" width="14" customWidth="1"/>
    <col min="6" max="6" width="18" customWidth="1"/>
    <col min="7" max="7" width="14" customWidth="1"/>
    <col min="8" max="8" width="11" customWidth="1"/>
    <col min="9" max="9" width="14" customWidth="1"/>
  </cols>
  <sheetData>
    <row r="1" spans="2:9" ht="18" x14ac:dyDescent="0.2">
      <c r="B1" s="16" t="s">
        <v>155</v>
      </c>
    </row>
    <row r="2" spans="2:9" x14ac:dyDescent="0.2">
      <c r="B2" s="2" t="s">
        <v>156</v>
      </c>
    </row>
    <row r="3" spans="2:9" x14ac:dyDescent="0.2">
      <c r="B3" s="2" t="s">
        <v>157</v>
      </c>
    </row>
    <row r="5" spans="2:9" x14ac:dyDescent="0.2">
      <c r="B5" s="3" t="s">
        <v>158</v>
      </c>
      <c r="C5" s="3"/>
      <c r="D5" s="3"/>
      <c r="E5" s="3"/>
      <c r="F5" s="3"/>
      <c r="G5" s="3"/>
      <c r="H5" s="3"/>
      <c r="I5" s="3"/>
    </row>
    <row r="6" spans="2:9" x14ac:dyDescent="0.2">
      <c r="B6" s="5" t="s">
        <v>8</v>
      </c>
      <c r="C6" s="6" t="s">
        <v>93</v>
      </c>
      <c r="D6" s="6" t="s">
        <v>159</v>
      </c>
      <c r="E6" s="6" t="s">
        <v>160</v>
      </c>
      <c r="F6" s="6" t="s">
        <v>161</v>
      </c>
      <c r="G6" s="6" t="s">
        <v>162</v>
      </c>
      <c r="H6" s="6" t="s">
        <v>163</v>
      </c>
      <c r="I6" s="6" t="s">
        <v>164</v>
      </c>
    </row>
    <row r="7" spans="2:9" x14ac:dyDescent="0.2">
      <c r="B7" s="46" t="s">
        <v>165</v>
      </c>
      <c r="C7" s="46" t="s">
        <v>9</v>
      </c>
      <c r="D7" s="8">
        <f>Independent!$C$39</f>
        <v>29828.591819812125</v>
      </c>
      <c r="E7" s="8">
        <f>Independent!$C$48</f>
        <v>2899.546364864721</v>
      </c>
      <c r="F7" s="47">
        <v>34037.33</v>
      </c>
      <c r="G7" s="47">
        <v>201.77</v>
      </c>
      <c r="H7" s="48">
        <f t="shared" ref="H7:H12" si="0">(D7-F7)/SQRT(E7^2+G7^2)</f>
        <v>-1.4480144449453218</v>
      </c>
      <c r="I7" s="49" t="str">
        <f t="shared" ref="I7:I12" si="1">IF(ABS(H7)&lt;2,"Consistent","Check")</f>
        <v>Consistent</v>
      </c>
    </row>
    <row r="8" spans="2:9" x14ac:dyDescent="0.2">
      <c r="B8" s="46"/>
      <c r="C8" s="46" t="s">
        <v>13</v>
      </c>
      <c r="D8" s="9">
        <f>Independent!$C$46</f>
        <v>0.4496</v>
      </c>
      <c r="E8" s="50">
        <f>Independent!$C$47</f>
        <v>7.0350528071934188E-3</v>
      </c>
      <c r="F8" s="51">
        <v>0.447853</v>
      </c>
      <c r="G8" s="52">
        <v>4.9700000000000005E-4</v>
      </c>
      <c r="H8" s="48">
        <f t="shared" si="0"/>
        <v>0.24771053689436889</v>
      </c>
      <c r="I8" s="49" t="str">
        <f t="shared" si="1"/>
        <v>Consistent</v>
      </c>
    </row>
    <row r="9" spans="2:9" x14ac:dyDescent="0.2">
      <c r="B9" s="46" t="s">
        <v>166</v>
      </c>
      <c r="C9" s="46" t="s">
        <v>9</v>
      </c>
      <c r="D9" s="8">
        <f>Justified!$C$49</f>
        <v>-12665.029326236105</v>
      </c>
      <c r="E9" s="8">
        <f>Justified!$C$58</f>
        <v>2092.1096248117074</v>
      </c>
      <c r="F9" s="47">
        <v>-11940.12</v>
      </c>
      <c r="G9" s="47">
        <v>147.58000000000001</v>
      </c>
      <c r="H9" s="48">
        <f t="shared" si="0"/>
        <v>-0.34563792577627345</v>
      </c>
      <c r="I9" s="49" t="str">
        <f t="shared" si="1"/>
        <v>Consistent</v>
      </c>
    </row>
    <row r="10" spans="2:9" x14ac:dyDescent="0.2">
      <c r="B10" s="46"/>
      <c r="C10" s="46" t="s">
        <v>13</v>
      </c>
      <c r="D10" s="9">
        <f>Justified!$C$56</f>
        <v>0.53480000000000005</v>
      </c>
      <c r="E10" s="50">
        <f>Justified!$C$57</f>
        <v>7.0539203284414832E-3</v>
      </c>
      <c r="F10" s="51">
        <v>0.53192700000000004</v>
      </c>
      <c r="G10" s="52">
        <v>4.9899999999999999E-4</v>
      </c>
      <c r="H10" s="48">
        <f t="shared" si="0"/>
        <v>0.40627595908120534</v>
      </c>
      <c r="I10" s="49" t="str">
        <f t="shared" si="1"/>
        <v>Consistent</v>
      </c>
    </row>
    <row r="11" spans="2:9" x14ac:dyDescent="0.2">
      <c r="B11" s="46" t="s">
        <v>167</v>
      </c>
      <c r="C11" s="46" t="s">
        <v>9</v>
      </c>
      <c r="D11" s="8">
        <f>Correlated!$C$54</f>
        <v>-16730.853455609591</v>
      </c>
      <c r="E11" s="8">
        <f>Correlated!$C$63</f>
        <v>1696.7764166435891</v>
      </c>
      <c r="F11" s="47">
        <v>-15687.58</v>
      </c>
      <c r="G11" s="47">
        <v>119.28</v>
      </c>
      <c r="H11" s="48">
        <f t="shared" si="0"/>
        <v>-0.61334253064336586</v>
      </c>
      <c r="I11" s="49" t="str">
        <f t="shared" si="1"/>
        <v>Consistent</v>
      </c>
    </row>
    <row r="12" spans="2:9" x14ac:dyDescent="0.2">
      <c r="B12" s="46"/>
      <c r="C12" s="46" t="s">
        <v>13</v>
      </c>
      <c r="D12" s="9">
        <f>Correlated!$C$61</f>
        <v>0.56020000000000003</v>
      </c>
      <c r="E12" s="50">
        <f>Correlated!$C$62</f>
        <v>7.0196290500282137E-3</v>
      </c>
      <c r="F12" s="51">
        <v>0.55753299999999995</v>
      </c>
      <c r="G12" s="52">
        <v>4.9700000000000005E-4</v>
      </c>
      <c r="H12" s="48">
        <f t="shared" si="0"/>
        <v>0.37898589466368554</v>
      </c>
      <c r="I12" s="49" t="str">
        <f t="shared" si="1"/>
        <v>Consistent</v>
      </c>
    </row>
    <row r="14" spans="2:9" x14ac:dyDescent="0.2">
      <c r="B14" s="2" t="s">
        <v>168</v>
      </c>
    </row>
  </sheetData>
  <pageMargins left="0.75" right="0.75" top="1" bottom="1" header="0.5" footer="0.5"/>
  <pageSetup paperSize="9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Cover</vt:lpstr>
      <vt:lpstr>Independent</vt:lpstr>
      <vt:lpstr>Justified</vt:lpstr>
      <vt:lpstr>Correlated</vt:lpstr>
      <vt:lpstr>Validation</vt:lpstr>
      <vt:lpstr>Correlated!Print_Area</vt:lpstr>
      <vt:lpstr>Cover!Print_Area</vt:lpstr>
      <vt:lpstr>Independent!Print_Area</vt:lpstr>
      <vt:lpstr>Justified!Print_Area</vt:lpstr>
      <vt:lpstr>Validation!Print_Area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Monte Carlo Simulation of Project NPV</dc:title>
  <dc:creator>Yacine Haddouche</dc:creator>
  <cp:lastModifiedBy>HADDOUCHE Yacine</cp:lastModifiedBy>
  <dcterms:created xsi:type="dcterms:W3CDTF">2026-10-05T08:31:05Z</dcterms:created>
  <dcterms:modified xsi:type="dcterms:W3CDTF">2026-10-05T08:32:03Z</dcterms:modified>
</cp:coreProperties>
</file>